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mb\Общая\Private Documents\Гл.Бух\ОТЧЕТЫ 2026\"/>
    </mc:Choice>
  </mc:AlternateContent>
  <xr:revisionPtr revIDLastSave="0" documentId="13_ncr:1_{B88956FA-F1C8-4AF0-8696-6342B349D9CA}" xr6:coauthVersionLast="47" xr6:coauthVersionMax="47" xr10:uidLastSave="{00000000-0000-0000-0000-000000000000}"/>
  <bookViews>
    <workbookView xWindow="-120" yWindow="-120" windowWidth="29040" windowHeight="15840" tabRatio="880" xr2:uid="{00000000-000D-0000-FFFF-FFFF00000000}"/>
  </bookViews>
  <sheets>
    <sheet name="Отчет о фин.рез." sheetId="1" r:id="rId1"/>
    <sheet name="Расходы" sheetId="2" r:id="rId2"/>
    <sheet name="расходы Доп.подразделение" sheetId="3" r:id="rId3"/>
    <sheet name="баланс" sheetId="4" r:id="rId4"/>
    <sheet name="Деление БарКухня" sheetId="5" r:id="rId5"/>
    <sheet name="Аналитическая форма" sheetId="6" r:id="rId6"/>
    <sheet name="Лист2" sheetId="7" r:id="rId7"/>
  </sheets>
  <externalReferences>
    <externalReference r:id="rId8"/>
  </externalReferences>
  <definedNames>
    <definedName name="_xlnm._FilterDatabase" localSheetId="1" hidden="1">Расходы!$A$1:$T$397</definedName>
    <definedName name="_xlnm.Print_Area" localSheetId="0">'Отчет о фин.рез.'!$A$1:$E$60</definedName>
    <definedName name="_xlnm.Print_Area" localSheetId="1">Расходы!$A$1:$F$246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" i="1" l="1"/>
  <c r="F61" i="1"/>
  <c r="G58" i="1"/>
  <c r="Q2" i="4" l="1"/>
  <c r="Q1" i="4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N34" i="7"/>
  <c r="G34" i="7"/>
  <c r="N33" i="7"/>
  <c r="G33" i="7"/>
  <c r="N32" i="7"/>
  <c r="G32" i="7"/>
  <c r="N31" i="7"/>
  <c r="G31" i="7"/>
  <c r="N30" i="7"/>
  <c r="G30" i="7"/>
  <c r="N29" i="7"/>
  <c r="G29" i="7"/>
  <c r="N28" i="7"/>
  <c r="G28" i="7"/>
  <c r="N27" i="7"/>
  <c r="G27" i="7"/>
  <c r="N26" i="7"/>
  <c r="G26" i="7"/>
  <c r="N25" i="7"/>
  <c r="G25" i="7"/>
  <c r="N24" i="7"/>
  <c r="G24" i="7"/>
  <c r="N23" i="7"/>
  <c r="G23" i="7"/>
  <c r="N22" i="7"/>
  <c r="G22" i="7"/>
  <c r="N21" i="7"/>
  <c r="G21" i="7"/>
  <c r="N20" i="7"/>
  <c r="G20" i="7"/>
  <c r="N19" i="7"/>
  <c r="G19" i="7"/>
  <c r="N18" i="7"/>
  <c r="G18" i="7"/>
  <c r="N17" i="7"/>
  <c r="G17" i="7"/>
  <c r="N16" i="7"/>
  <c r="G16" i="7"/>
  <c r="N15" i="7"/>
  <c r="G15" i="7"/>
  <c r="N14" i="7"/>
  <c r="G14" i="7"/>
  <c r="N13" i="7"/>
  <c r="G13" i="7"/>
  <c r="N12" i="7"/>
  <c r="G12" i="7"/>
  <c r="N11" i="7"/>
  <c r="G11" i="7"/>
  <c r="N10" i="7"/>
  <c r="G10" i="7"/>
  <c r="N9" i="7"/>
  <c r="G9" i="7"/>
  <c r="N8" i="7"/>
  <c r="G8" i="7"/>
  <c r="N7" i="7"/>
  <c r="G7" i="7"/>
  <c r="N6" i="7"/>
  <c r="G6" i="7"/>
  <c r="N5" i="7"/>
  <c r="G5" i="7"/>
  <c r="N4" i="7"/>
  <c r="G4" i="7"/>
  <c r="N3" i="7"/>
  <c r="G3" i="7"/>
  <c r="CY232" i="6"/>
  <c r="CW232" i="6"/>
  <c r="CU232" i="6"/>
  <c r="CT232" i="6"/>
  <c r="CS232" i="6"/>
  <c r="CL232" i="6"/>
  <c r="CK232" i="6"/>
  <c r="CD232" i="6"/>
  <c r="CC232" i="6"/>
  <c r="BV232" i="6"/>
  <c r="BU232" i="6"/>
  <c r="BN232" i="6"/>
  <c r="BM232" i="6"/>
  <c r="BF232" i="6"/>
  <c r="BE232" i="6"/>
  <c r="AX232" i="6"/>
  <c r="AW232" i="6"/>
  <c r="AP232" i="6"/>
  <c r="AO232" i="6"/>
  <c r="AH232" i="6"/>
  <c r="AG232" i="6"/>
  <c r="Z232" i="6"/>
  <c r="Y232" i="6"/>
  <c r="R232" i="6"/>
  <c r="Q232" i="6"/>
  <c r="J232" i="6"/>
  <c r="I232" i="6"/>
  <c r="CW231" i="6"/>
  <c r="CU231" i="6"/>
  <c r="CW229" i="6"/>
  <c r="CU229" i="6"/>
  <c r="B229" i="6"/>
  <c r="CW228" i="6"/>
  <c r="CU228" i="6"/>
  <c r="B228" i="6"/>
  <c r="CW227" i="6"/>
  <c r="CU227" i="6"/>
  <c r="B227" i="6"/>
  <c r="CW226" i="6"/>
  <c r="CU226" i="6"/>
  <c r="B226" i="6"/>
  <c r="CW225" i="6"/>
  <c r="CU225" i="6"/>
  <c r="B225" i="6"/>
  <c r="CW224" i="6"/>
  <c r="CU224" i="6"/>
  <c r="B224" i="6"/>
  <c r="CW223" i="6"/>
  <c r="CU223" i="6"/>
  <c r="B223" i="6"/>
  <c r="CW222" i="6"/>
  <c r="CU222" i="6"/>
  <c r="B222" i="6"/>
  <c r="CW221" i="6"/>
  <c r="CU221" i="6"/>
  <c r="B221" i="6"/>
  <c r="CW220" i="6"/>
  <c r="CU220" i="6"/>
  <c r="B220" i="6"/>
  <c r="CW219" i="6"/>
  <c r="CU219" i="6"/>
  <c r="B219" i="6"/>
  <c r="CW218" i="6"/>
  <c r="CU218" i="6"/>
  <c r="B218" i="6"/>
  <c r="CW217" i="6"/>
  <c r="CU217" i="6"/>
  <c r="CQ217" i="6"/>
  <c r="CT217" i="6" s="1"/>
  <c r="CI217" i="6"/>
  <c r="CA217" i="6"/>
  <c r="CD217" i="6" s="1"/>
  <c r="BS217" i="6"/>
  <c r="BV217" i="6" s="1"/>
  <c r="BN217" i="6"/>
  <c r="BM217" i="6"/>
  <c r="BK217" i="6"/>
  <c r="BC217" i="6"/>
  <c r="AU217" i="6"/>
  <c r="AX217" i="6" s="1"/>
  <c r="AM217" i="6"/>
  <c r="AP217" i="6" s="1"/>
  <c r="AE217" i="6"/>
  <c r="AH217" i="6" s="1"/>
  <c r="W217" i="6"/>
  <c r="O217" i="6"/>
  <c r="R217" i="6" s="1"/>
  <c r="G217" i="6"/>
  <c r="J217" i="6" s="1"/>
  <c r="CO216" i="6"/>
  <c r="CM216" i="6"/>
  <c r="CG216" i="6"/>
  <c r="CE216" i="6"/>
  <c r="BY216" i="6"/>
  <c r="BW216" i="6"/>
  <c r="BQ216" i="6"/>
  <c r="BO216" i="6"/>
  <c r="BI216" i="6"/>
  <c r="BG216" i="6"/>
  <c r="BA216" i="6"/>
  <c r="AY216" i="6"/>
  <c r="AS216" i="6"/>
  <c r="AQ216" i="6"/>
  <c r="AK216" i="6"/>
  <c r="AI216" i="6"/>
  <c r="AC216" i="6"/>
  <c r="AA216" i="6"/>
  <c r="U216" i="6"/>
  <c r="S216" i="6"/>
  <c r="M216" i="6"/>
  <c r="K216" i="6"/>
  <c r="E216" i="6"/>
  <c r="C216" i="6"/>
  <c r="CY215" i="6"/>
  <c r="DA215" i="6" s="1"/>
  <c r="CW215" i="6"/>
  <c r="CU215" i="6"/>
  <c r="CT215" i="6"/>
  <c r="CS215" i="6"/>
  <c r="CL215" i="6"/>
  <c r="CK215" i="6"/>
  <c r="CD215" i="6"/>
  <c r="CC215" i="6"/>
  <c r="BV215" i="6"/>
  <c r="BU215" i="6"/>
  <c r="BN215" i="6"/>
  <c r="BM215" i="6"/>
  <c r="BF215" i="6"/>
  <c r="BE215" i="6"/>
  <c r="AX215" i="6"/>
  <c r="AW215" i="6"/>
  <c r="AP215" i="6"/>
  <c r="AO215" i="6"/>
  <c r="AH215" i="6"/>
  <c r="AG215" i="6"/>
  <c r="Z215" i="6"/>
  <c r="Y215" i="6"/>
  <c r="R215" i="6"/>
  <c r="Q215" i="6"/>
  <c r="J215" i="6"/>
  <c r="I215" i="6"/>
  <c r="B214" i="6"/>
  <c r="B213" i="6"/>
  <c r="B212" i="6"/>
  <c r="CW210" i="6"/>
  <c r="CU210" i="6"/>
  <c r="CP210" i="6"/>
  <c r="CN210" i="6"/>
  <c r="CH210" i="6"/>
  <c r="CF210" i="6"/>
  <c r="BZ210" i="6"/>
  <c r="BX210" i="6"/>
  <c r="BR210" i="6"/>
  <c r="BP210" i="6"/>
  <c r="BJ210" i="6"/>
  <c r="BH210" i="6"/>
  <c r="BB210" i="6"/>
  <c r="AZ210" i="6"/>
  <c r="AT210" i="6"/>
  <c r="AR210" i="6"/>
  <c r="AL210" i="6"/>
  <c r="AJ210" i="6"/>
  <c r="AD210" i="6"/>
  <c r="AB210" i="6"/>
  <c r="V210" i="6"/>
  <c r="T210" i="6"/>
  <c r="N210" i="6"/>
  <c r="L210" i="6"/>
  <c r="F210" i="6"/>
  <c r="D210" i="6"/>
  <c r="CY209" i="6"/>
  <c r="CW209" i="6"/>
  <c r="CU209" i="6"/>
  <c r="CT209" i="6"/>
  <c r="CS209" i="6"/>
  <c r="CL209" i="6"/>
  <c r="CK209" i="6"/>
  <c r="CD209" i="6"/>
  <c r="CC209" i="6"/>
  <c r="BV209" i="6"/>
  <c r="BU209" i="6"/>
  <c r="BN209" i="6"/>
  <c r="BM209" i="6"/>
  <c r="BF209" i="6"/>
  <c r="BE209" i="6"/>
  <c r="AX209" i="6"/>
  <c r="AW209" i="6"/>
  <c r="AP209" i="6"/>
  <c r="AO209" i="6"/>
  <c r="AH209" i="6"/>
  <c r="AG209" i="6"/>
  <c r="Z209" i="6"/>
  <c r="Y209" i="6"/>
  <c r="R209" i="6"/>
  <c r="Q209" i="6"/>
  <c r="J209" i="6"/>
  <c r="I209" i="6"/>
  <c r="CW208" i="6"/>
  <c r="CU208" i="6"/>
  <c r="CP208" i="6"/>
  <c r="CN208" i="6"/>
  <c r="CH208" i="6"/>
  <c r="CF208" i="6"/>
  <c r="BZ208" i="6"/>
  <c r="BX208" i="6"/>
  <c r="BR208" i="6"/>
  <c r="BP208" i="6"/>
  <c r="BJ208" i="6"/>
  <c r="BH208" i="6"/>
  <c r="BB208" i="6"/>
  <c r="AZ208" i="6"/>
  <c r="AT208" i="6"/>
  <c r="AR208" i="6"/>
  <c r="AL208" i="6"/>
  <c r="AJ208" i="6"/>
  <c r="AD208" i="6"/>
  <c r="AB208" i="6"/>
  <c r="V208" i="6"/>
  <c r="T208" i="6"/>
  <c r="N208" i="6"/>
  <c r="L208" i="6"/>
  <c r="F208" i="6"/>
  <c r="D208" i="6"/>
  <c r="CY207" i="6"/>
  <c r="CW207" i="6"/>
  <c r="CU207" i="6"/>
  <c r="CT207" i="6"/>
  <c r="CS207" i="6"/>
  <c r="CL207" i="6"/>
  <c r="CK207" i="6"/>
  <c r="CD207" i="6"/>
  <c r="CC207" i="6"/>
  <c r="BV207" i="6"/>
  <c r="BU207" i="6"/>
  <c r="BN207" i="6"/>
  <c r="BM207" i="6"/>
  <c r="BF207" i="6"/>
  <c r="BE207" i="6"/>
  <c r="AX207" i="6"/>
  <c r="AW207" i="6"/>
  <c r="AP207" i="6"/>
  <c r="AO207" i="6"/>
  <c r="AH207" i="6"/>
  <c r="AG207" i="6"/>
  <c r="Z207" i="6"/>
  <c r="Y207" i="6"/>
  <c r="R207" i="6"/>
  <c r="Q207" i="6"/>
  <c r="J207" i="6"/>
  <c r="I207" i="6"/>
  <c r="CW206" i="6"/>
  <c r="CU206" i="6"/>
  <c r="CQ206" i="6"/>
  <c r="CI206" i="6"/>
  <c r="CA206" i="6"/>
  <c r="CC206" i="6" s="1"/>
  <c r="BS206" i="6"/>
  <c r="BV206" i="6" s="1"/>
  <c r="BK206" i="6"/>
  <c r="BC206" i="6"/>
  <c r="BE206" i="6" s="1"/>
  <c r="AU206" i="6"/>
  <c r="AE206" i="6"/>
  <c r="W206" i="6"/>
  <c r="Z206" i="6" s="1"/>
  <c r="O206" i="6"/>
  <c r="R206" i="6" s="1"/>
  <c r="G206" i="6"/>
  <c r="CW205" i="6"/>
  <c r="CU205" i="6"/>
  <c r="CW204" i="6"/>
  <c r="CU204" i="6"/>
  <c r="CW203" i="6"/>
  <c r="CU203" i="6"/>
  <c r="CQ203" i="6"/>
  <c r="CI203" i="6"/>
  <c r="CA203" i="6"/>
  <c r="CC203" i="6" s="1"/>
  <c r="BS203" i="6"/>
  <c r="BK203" i="6"/>
  <c r="BC203" i="6"/>
  <c r="AU203" i="6"/>
  <c r="AX203" i="6" s="1"/>
  <c r="AM203" i="6"/>
  <c r="AE203" i="6"/>
  <c r="AH203" i="6" s="1"/>
  <c r="W203" i="6"/>
  <c r="O203" i="6"/>
  <c r="G203" i="6"/>
  <c r="B203" i="6"/>
  <c r="CW202" i="6"/>
  <c r="CU202" i="6"/>
  <c r="CQ202" i="6"/>
  <c r="CT202" i="6" s="1"/>
  <c r="CI202" i="6"/>
  <c r="CA202" i="6"/>
  <c r="CD202" i="6" s="1"/>
  <c r="BS202" i="6"/>
  <c r="BK202" i="6"/>
  <c r="BN202" i="6" s="1"/>
  <c r="BC202" i="6"/>
  <c r="AU202" i="6"/>
  <c r="AX202" i="6" s="1"/>
  <c r="AM202" i="6"/>
  <c r="AP202" i="6" s="1"/>
  <c r="AE202" i="6"/>
  <c r="AH202" i="6" s="1"/>
  <c r="W202" i="6"/>
  <c r="O202" i="6"/>
  <c r="G202" i="6"/>
  <c r="B202" i="6"/>
  <c r="CW201" i="6"/>
  <c r="CU201" i="6"/>
  <c r="CQ201" i="6"/>
  <c r="CT201" i="6" s="1"/>
  <c r="CI201" i="6"/>
  <c r="CA201" i="6"/>
  <c r="CD201" i="6" s="1"/>
  <c r="BS201" i="6"/>
  <c r="BV201" i="6" s="1"/>
  <c r="BK201" i="6"/>
  <c r="BC201" i="6"/>
  <c r="AU201" i="6"/>
  <c r="AM201" i="6"/>
  <c r="AP201" i="6" s="1"/>
  <c r="AE201" i="6"/>
  <c r="W201" i="6"/>
  <c r="Z201" i="6" s="1"/>
  <c r="O201" i="6"/>
  <c r="G201" i="6"/>
  <c r="J201" i="6" s="1"/>
  <c r="B201" i="6"/>
  <c r="CW200" i="6"/>
  <c r="CU200" i="6"/>
  <c r="CQ200" i="6"/>
  <c r="CT200" i="6" s="1"/>
  <c r="CI200" i="6"/>
  <c r="CL200" i="6" s="1"/>
  <c r="CA200" i="6"/>
  <c r="BS200" i="6"/>
  <c r="BV200" i="6" s="1"/>
  <c r="BK200" i="6"/>
  <c r="BC200" i="6"/>
  <c r="BF200" i="6" s="1"/>
  <c r="AU200" i="6"/>
  <c r="AM200" i="6"/>
  <c r="AP200" i="6" s="1"/>
  <c r="AE200" i="6"/>
  <c r="W200" i="6"/>
  <c r="O200" i="6"/>
  <c r="G200" i="6"/>
  <c r="J200" i="6" s="1"/>
  <c r="B200" i="6"/>
  <c r="CW199" i="6"/>
  <c r="CU199" i="6"/>
  <c r="CQ199" i="6"/>
  <c r="CT199" i="6" s="1"/>
  <c r="CI199" i="6"/>
  <c r="CA199" i="6"/>
  <c r="CD199" i="6" s="1"/>
  <c r="BS199" i="6"/>
  <c r="BK199" i="6"/>
  <c r="BN199" i="6" s="1"/>
  <c r="BC199" i="6"/>
  <c r="BF199" i="6" s="1"/>
  <c r="AU199" i="6"/>
  <c r="AX199" i="6" s="1"/>
  <c r="AM199" i="6"/>
  <c r="AP199" i="6" s="1"/>
  <c r="AE199" i="6"/>
  <c r="AH199" i="6" s="1"/>
  <c r="W199" i="6"/>
  <c r="O199" i="6"/>
  <c r="R199" i="6" s="1"/>
  <c r="G199" i="6"/>
  <c r="B199" i="6"/>
  <c r="CW198" i="6"/>
  <c r="CU198" i="6"/>
  <c r="CQ198" i="6"/>
  <c r="CT198" i="6" s="1"/>
  <c r="CI198" i="6"/>
  <c r="CL198" i="6" s="1"/>
  <c r="CA198" i="6"/>
  <c r="BS198" i="6"/>
  <c r="BK198" i="6"/>
  <c r="BN198" i="6" s="1"/>
  <c r="BC198" i="6"/>
  <c r="BF198" i="6" s="1"/>
  <c r="AU198" i="6"/>
  <c r="AX198" i="6" s="1"/>
  <c r="AM198" i="6"/>
  <c r="AE198" i="6"/>
  <c r="AG198" i="6" s="1"/>
  <c r="W198" i="6"/>
  <c r="O198" i="6"/>
  <c r="R198" i="6" s="1"/>
  <c r="G198" i="6"/>
  <c r="B198" i="6"/>
  <c r="CO197" i="6"/>
  <c r="CM197" i="6"/>
  <c r="CG197" i="6"/>
  <c r="CE197" i="6"/>
  <c r="BY197" i="6"/>
  <c r="BW197" i="6"/>
  <c r="BQ197" i="6"/>
  <c r="BO197" i="6"/>
  <c r="BI197" i="6"/>
  <c r="BG197" i="6"/>
  <c r="BA197" i="6"/>
  <c r="AY197" i="6"/>
  <c r="AS197" i="6"/>
  <c r="AQ197" i="6"/>
  <c r="AK197" i="6"/>
  <c r="AI197" i="6"/>
  <c r="AC197" i="6"/>
  <c r="AA197" i="6"/>
  <c r="U197" i="6"/>
  <c r="S197" i="6"/>
  <c r="M197" i="6"/>
  <c r="K197" i="6"/>
  <c r="E197" i="6"/>
  <c r="C197" i="6"/>
  <c r="B197" i="6"/>
  <c r="CW196" i="6"/>
  <c r="CU196" i="6"/>
  <c r="CQ196" i="6"/>
  <c r="CI196" i="6"/>
  <c r="CA196" i="6"/>
  <c r="CD196" i="6" s="1"/>
  <c r="BS196" i="6"/>
  <c r="BV196" i="6" s="1"/>
  <c r="BK196" i="6"/>
  <c r="BC196" i="6"/>
  <c r="AU196" i="6"/>
  <c r="AM196" i="6"/>
  <c r="AP196" i="6" s="1"/>
  <c r="AE196" i="6"/>
  <c r="W196" i="6"/>
  <c r="O196" i="6"/>
  <c r="G196" i="6"/>
  <c r="J196" i="6" s="1"/>
  <c r="B196" i="6"/>
  <c r="CW195" i="6"/>
  <c r="CU195" i="6"/>
  <c r="CQ195" i="6"/>
  <c r="CI195" i="6"/>
  <c r="CL195" i="6" s="1"/>
  <c r="CA195" i="6"/>
  <c r="CD195" i="6" s="1"/>
  <c r="BS195" i="6"/>
  <c r="BK195" i="6"/>
  <c r="BN195" i="6" s="1"/>
  <c r="BC195" i="6"/>
  <c r="BF195" i="6" s="1"/>
  <c r="AU195" i="6"/>
  <c r="AM195" i="6"/>
  <c r="AO195" i="6" s="1"/>
  <c r="AE195" i="6"/>
  <c r="W195" i="6"/>
  <c r="Z195" i="6" s="1"/>
  <c r="O195" i="6"/>
  <c r="R195" i="6" s="1"/>
  <c r="G195" i="6"/>
  <c r="B195" i="6"/>
  <c r="CW194" i="6"/>
  <c r="CU194" i="6"/>
  <c r="CQ194" i="6"/>
  <c r="CT194" i="6" s="1"/>
  <c r="CI194" i="6"/>
  <c r="CL194" i="6" s="1"/>
  <c r="CA194" i="6"/>
  <c r="BS194" i="6"/>
  <c r="BV194" i="6" s="1"/>
  <c r="BK194" i="6"/>
  <c r="BC194" i="6"/>
  <c r="BF194" i="6" s="1"/>
  <c r="AU194" i="6"/>
  <c r="AX194" i="6" s="1"/>
  <c r="AM194" i="6"/>
  <c r="AP194" i="6" s="1"/>
  <c r="AE194" i="6"/>
  <c r="AH194" i="6" s="1"/>
  <c r="W194" i="6"/>
  <c r="Z194" i="6" s="1"/>
  <c r="O194" i="6"/>
  <c r="R194" i="6" s="1"/>
  <c r="G194" i="6"/>
  <c r="I194" i="6" s="1"/>
  <c r="B194" i="6"/>
  <c r="CW193" i="6"/>
  <c r="CU193" i="6"/>
  <c r="CQ193" i="6"/>
  <c r="CT193" i="6" s="1"/>
  <c r="CI193" i="6"/>
  <c r="CA193" i="6"/>
  <c r="CD193" i="6" s="1"/>
  <c r="BS193" i="6"/>
  <c r="BV193" i="6" s="1"/>
  <c r="BK193" i="6"/>
  <c r="BN193" i="6" s="1"/>
  <c r="BC193" i="6"/>
  <c r="AU193" i="6"/>
  <c r="AW193" i="6" s="1"/>
  <c r="AM193" i="6"/>
  <c r="AE193" i="6"/>
  <c r="AH193" i="6" s="1"/>
  <c r="W193" i="6"/>
  <c r="O193" i="6"/>
  <c r="R193" i="6" s="1"/>
  <c r="G193" i="6"/>
  <c r="B193" i="6"/>
  <c r="CW192" i="6"/>
  <c r="CU192" i="6"/>
  <c r="CQ192" i="6"/>
  <c r="CI192" i="6"/>
  <c r="CL192" i="6" s="1"/>
  <c r="CA192" i="6"/>
  <c r="BS192" i="6"/>
  <c r="BV192" i="6" s="1"/>
  <c r="BK192" i="6"/>
  <c r="BN192" i="6" s="1"/>
  <c r="BC192" i="6"/>
  <c r="BF192" i="6" s="1"/>
  <c r="AU192" i="6"/>
  <c r="AX192" i="6" s="1"/>
  <c r="AM192" i="6"/>
  <c r="AP192" i="6" s="1"/>
  <c r="AE192" i="6"/>
  <c r="W192" i="6"/>
  <c r="O192" i="6"/>
  <c r="R192" i="6" s="1"/>
  <c r="G192" i="6"/>
  <c r="J192" i="6" s="1"/>
  <c r="B192" i="6"/>
  <c r="CW191" i="6"/>
  <c r="CU191" i="6"/>
  <c r="CQ191" i="6"/>
  <c r="CI191" i="6"/>
  <c r="CL191" i="6" s="1"/>
  <c r="CA191" i="6"/>
  <c r="BS191" i="6"/>
  <c r="BU191" i="6" s="1"/>
  <c r="BK191" i="6"/>
  <c r="BC191" i="6"/>
  <c r="AU191" i="6"/>
  <c r="AM191" i="6"/>
  <c r="AO191" i="6" s="1"/>
  <c r="AE191" i="6"/>
  <c r="W191" i="6"/>
  <c r="Z191" i="6" s="1"/>
  <c r="O191" i="6"/>
  <c r="G191" i="6"/>
  <c r="J191" i="6" s="1"/>
  <c r="B191" i="6"/>
  <c r="CW190" i="6"/>
  <c r="CU190" i="6"/>
  <c r="CQ190" i="6"/>
  <c r="CS190" i="6" s="1"/>
  <c r="CI190" i="6"/>
  <c r="CA190" i="6"/>
  <c r="CD190" i="6" s="1"/>
  <c r="BS190" i="6"/>
  <c r="BK190" i="6"/>
  <c r="BN190" i="6" s="1"/>
  <c r="BC190" i="6"/>
  <c r="AU190" i="6"/>
  <c r="AW190" i="6" s="1"/>
  <c r="AM190" i="6"/>
  <c r="AP190" i="6" s="1"/>
  <c r="AE190" i="6"/>
  <c r="AH190" i="6" s="1"/>
  <c r="W190" i="6"/>
  <c r="Z190" i="6" s="1"/>
  <c r="O190" i="6"/>
  <c r="G190" i="6"/>
  <c r="J190" i="6" s="1"/>
  <c r="B190" i="6"/>
  <c r="CW189" i="6"/>
  <c r="CU189" i="6"/>
  <c r="CQ189" i="6"/>
  <c r="CT189" i="6" s="1"/>
  <c r="CI189" i="6"/>
  <c r="CA189" i="6"/>
  <c r="CD189" i="6" s="1"/>
  <c r="BS189" i="6"/>
  <c r="BK189" i="6"/>
  <c r="BN189" i="6" s="1"/>
  <c r="BC189" i="6"/>
  <c r="BE189" i="6" s="1"/>
  <c r="AU189" i="6"/>
  <c r="AM189" i="6"/>
  <c r="AE189" i="6"/>
  <c r="AH189" i="6" s="1"/>
  <c r="W189" i="6"/>
  <c r="Z189" i="6" s="1"/>
  <c r="O189" i="6"/>
  <c r="G189" i="6"/>
  <c r="B189" i="6"/>
  <c r="CW188" i="6"/>
  <c r="CU188" i="6"/>
  <c r="CQ188" i="6"/>
  <c r="CT188" i="6" s="1"/>
  <c r="CI188" i="6"/>
  <c r="CL188" i="6" s="1"/>
  <c r="CA188" i="6"/>
  <c r="CD188" i="6" s="1"/>
  <c r="BS188" i="6"/>
  <c r="BV188" i="6" s="1"/>
  <c r="BK188" i="6"/>
  <c r="BC188" i="6"/>
  <c r="BF188" i="6" s="1"/>
  <c r="AU188" i="6"/>
  <c r="AX188" i="6" s="1"/>
  <c r="AM188" i="6"/>
  <c r="AE188" i="6"/>
  <c r="AH188" i="6" s="1"/>
  <c r="W188" i="6"/>
  <c r="Z188" i="6" s="1"/>
  <c r="O188" i="6"/>
  <c r="Q188" i="6" s="1"/>
  <c r="G188" i="6"/>
  <c r="B188" i="6"/>
  <c r="CW187" i="6"/>
  <c r="CU187" i="6"/>
  <c r="CQ187" i="6"/>
  <c r="CI187" i="6"/>
  <c r="CK187" i="6" s="1"/>
  <c r="CA187" i="6"/>
  <c r="CD187" i="6" s="1"/>
  <c r="BS187" i="6"/>
  <c r="BK187" i="6"/>
  <c r="BM187" i="6" s="1"/>
  <c r="BC187" i="6"/>
  <c r="BE187" i="6" s="1"/>
  <c r="AU187" i="6"/>
  <c r="AX187" i="6" s="1"/>
  <c r="AM187" i="6"/>
  <c r="AP187" i="6" s="1"/>
  <c r="AE187" i="6"/>
  <c r="W187" i="6"/>
  <c r="O187" i="6"/>
  <c r="G187" i="6"/>
  <c r="J187" i="6" s="1"/>
  <c r="B187" i="6"/>
  <c r="CW186" i="6"/>
  <c r="CU186" i="6"/>
  <c r="CQ186" i="6"/>
  <c r="CI186" i="6"/>
  <c r="CL186" i="6" s="1"/>
  <c r="CA186" i="6"/>
  <c r="BS186" i="6"/>
  <c r="BV186" i="6" s="1"/>
  <c r="BK186" i="6"/>
  <c r="BM186" i="6" s="1"/>
  <c r="BC186" i="6"/>
  <c r="BF186" i="6" s="1"/>
  <c r="AU186" i="6"/>
  <c r="AM186" i="6"/>
  <c r="AP186" i="6" s="1"/>
  <c r="AE186" i="6"/>
  <c r="AG186" i="6" s="1"/>
  <c r="W186" i="6"/>
  <c r="Z186" i="6" s="1"/>
  <c r="O186" i="6"/>
  <c r="G186" i="6"/>
  <c r="J186" i="6" s="1"/>
  <c r="B186" i="6"/>
  <c r="CW185" i="6"/>
  <c r="CU185" i="6"/>
  <c r="CQ185" i="6"/>
  <c r="CT185" i="6" s="1"/>
  <c r="CI185" i="6"/>
  <c r="CL185" i="6" s="1"/>
  <c r="CA185" i="6"/>
  <c r="BS185" i="6"/>
  <c r="BK185" i="6"/>
  <c r="BN185" i="6" s="1"/>
  <c r="BC185" i="6"/>
  <c r="BF185" i="6" s="1"/>
  <c r="AU185" i="6"/>
  <c r="AX185" i="6" s="1"/>
  <c r="AM185" i="6"/>
  <c r="AE185" i="6"/>
  <c r="AH185" i="6" s="1"/>
  <c r="W185" i="6"/>
  <c r="Z185" i="6" s="1"/>
  <c r="O185" i="6"/>
  <c r="R185" i="6" s="1"/>
  <c r="G185" i="6"/>
  <c r="B185" i="6"/>
  <c r="CW184" i="6"/>
  <c r="CU184" i="6"/>
  <c r="CQ184" i="6"/>
  <c r="CT184" i="6" s="1"/>
  <c r="CI184" i="6"/>
  <c r="CK184" i="6" s="1"/>
  <c r="CA184" i="6"/>
  <c r="CD184" i="6" s="1"/>
  <c r="BS184" i="6"/>
  <c r="BK184" i="6"/>
  <c r="BN184" i="6" s="1"/>
  <c r="BC184" i="6"/>
  <c r="BE184" i="6" s="1"/>
  <c r="AU184" i="6"/>
  <c r="AX184" i="6" s="1"/>
  <c r="AM184" i="6"/>
  <c r="AE184" i="6"/>
  <c r="AH184" i="6" s="1"/>
  <c r="W184" i="6"/>
  <c r="Y184" i="6" s="1"/>
  <c r="O184" i="6"/>
  <c r="R184" i="6" s="1"/>
  <c r="G184" i="6"/>
  <c r="B184" i="6"/>
  <c r="CW183" i="6"/>
  <c r="CU183" i="6"/>
  <c r="CQ183" i="6"/>
  <c r="CI183" i="6"/>
  <c r="CL183" i="6" s="1"/>
  <c r="CA183" i="6"/>
  <c r="BS183" i="6"/>
  <c r="BV183" i="6" s="1"/>
  <c r="BK183" i="6"/>
  <c r="BC183" i="6"/>
  <c r="BF183" i="6" s="1"/>
  <c r="AU183" i="6"/>
  <c r="AW183" i="6" s="1"/>
  <c r="AM183" i="6"/>
  <c r="AE183" i="6"/>
  <c r="W183" i="6"/>
  <c r="Z183" i="6" s="1"/>
  <c r="O183" i="6"/>
  <c r="Q183" i="6" s="1"/>
  <c r="G183" i="6"/>
  <c r="B183" i="6"/>
  <c r="CW182" i="6"/>
  <c r="CU182" i="6"/>
  <c r="CQ182" i="6"/>
  <c r="CI182" i="6"/>
  <c r="CA182" i="6"/>
  <c r="CD182" i="6" s="1"/>
  <c r="BS182" i="6"/>
  <c r="BV182" i="6" s="1"/>
  <c r="BK182" i="6"/>
  <c r="BC182" i="6"/>
  <c r="AU182" i="6"/>
  <c r="AM182" i="6"/>
  <c r="AE182" i="6"/>
  <c r="W182" i="6"/>
  <c r="Z182" i="6" s="1"/>
  <c r="O182" i="6"/>
  <c r="G182" i="6"/>
  <c r="B182" i="6"/>
  <c r="CW181" i="6"/>
  <c r="CU181" i="6"/>
  <c r="CQ181" i="6"/>
  <c r="CT181" i="6" s="1"/>
  <c r="CI181" i="6"/>
  <c r="CL181" i="6" s="1"/>
  <c r="CA181" i="6"/>
  <c r="CD181" i="6" s="1"/>
  <c r="BS181" i="6"/>
  <c r="BK181" i="6"/>
  <c r="BC181" i="6"/>
  <c r="AU181" i="6"/>
  <c r="AX181" i="6" s="1"/>
  <c r="AM181" i="6"/>
  <c r="AE181" i="6"/>
  <c r="W181" i="6"/>
  <c r="Z181" i="6" s="1"/>
  <c r="O181" i="6"/>
  <c r="R181" i="6" s="1"/>
  <c r="G181" i="6"/>
  <c r="I181" i="6" s="1"/>
  <c r="B181" i="6"/>
  <c r="CW180" i="6"/>
  <c r="CU180" i="6"/>
  <c r="CQ180" i="6"/>
  <c r="CI180" i="6"/>
  <c r="CA180" i="6"/>
  <c r="BS180" i="6"/>
  <c r="BK180" i="6"/>
  <c r="BM180" i="6" s="1"/>
  <c r="BC180" i="6"/>
  <c r="AU180" i="6"/>
  <c r="AX180" i="6" s="1"/>
  <c r="AM180" i="6"/>
  <c r="AE180" i="6"/>
  <c r="AG180" i="6" s="1"/>
  <c r="W180" i="6"/>
  <c r="O180" i="6"/>
  <c r="R180" i="6" s="1"/>
  <c r="G180" i="6"/>
  <c r="J180" i="6" s="1"/>
  <c r="B180" i="6"/>
  <c r="CW179" i="6"/>
  <c r="CU179" i="6"/>
  <c r="CQ179" i="6"/>
  <c r="CS179" i="6" s="1"/>
  <c r="CI179" i="6"/>
  <c r="CA179" i="6"/>
  <c r="CD179" i="6" s="1"/>
  <c r="BS179" i="6"/>
  <c r="BV179" i="6" s="1"/>
  <c r="BK179" i="6"/>
  <c r="BM179" i="6" s="1"/>
  <c r="BC179" i="6"/>
  <c r="BF179" i="6" s="1"/>
  <c r="AU179" i="6"/>
  <c r="AX179" i="6" s="1"/>
  <c r="AM179" i="6"/>
  <c r="AP179" i="6" s="1"/>
  <c r="AE179" i="6"/>
  <c r="W179" i="6"/>
  <c r="Z179" i="6" s="1"/>
  <c r="O179" i="6"/>
  <c r="R179" i="6" s="1"/>
  <c r="G179" i="6"/>
  <c r="J179" i="6" s="1"/>
  <c r="B179" i="6"/>
  <c r="CW178" i="6"/>
  <c r="CU178" i="6"/>
  <c r="CQ178" i="6"/>
  <c r="CT178" i="6" s="1"/>
  <c r="CI178" i="6"/>
  <c r="CA178" i="6"/>
  <c r="BS178" i="6"/>
  <c r="BV178" i="6" s="1"/>
  <c r="BK178" i="6"/>
  <c r="BC178" i="6"/>
  <c r="AU178" i="6"/>
  <c r="AM178" i="6"/>
  <c r="AE178" i="6"/>
  <c r="W178" i="6"/>
  <c r="O178" i="6"/>
  <c r="G178" i="6"/>
  <c r="B178" i="6"/>
  <c r="CW177" i="6"/>
  <c r="CU177" i="6"/>
  <c r="CQ177" i="6"/>
  <c r="CI177" i="6"/>
  <c r="CA177" i="6"/>
  <c r="BS177" i="6"/>
  <c r="BK177" i="6"/>
  <c r="BC177" i="6"/>
  <c r="BF177" i="6" s="1"/>
  <c r="AU177" i="6"/>
  <c r="AM177" i="6"/>
  <c r="AE177" i="6"/>
  <c r="W177" i="6"/>
  <c r="Z177" i="6" s="1"/>
  <c r="O177" i="6"/>
  <c r="G177" i="6"/>
  <c r="B177" i="6"/>
  <c r="CW176" i="6"/>
  <c r="CU176" i="6"/>
  <c r="CQ176" i="6"/>
  <c r="CI176" i="6"/>
  <c r="CL176" i="6" s="1"/>
  <c r="CA176" i="6"/>
  <c r="BS176" i="6"/>
  <c r="BK176" i="6"/>
  <c r="BN176" i="6" s="1"/>
  <c r="BC176" i="6"/>
  <c r="BF176" i="6" s="1"/>
  <c r="AU176" i="6"/>
  <c r="AM176" i="6"/>
  <c r="AO176" i="6" s="1"/>
  <c r="AE176" i="6"/>
  <c r="AH176" i="6" s="1"/>
  <c r="W176" i="6"/>
  <c r="O176" i="6"/>
  <c r="R176" i="6" s="1"/>
  <c r="G176" i="6"/>
  <c r="B176" i="6"/>
  <c r="CW175" i="6"/>
  <c r="CU175" i="6"/>
  <c r="CQ175" i="6"/>
  <c r="CS175" i="6" s="1"/>
  <c r="CI175" i="6"/>
  <c r="CA175" i="6"/>
  <c r="BS175" i="6"/>
  <c r="BV175" i="6" s="1"/>
  <c r="BK175" i="6"/>
  <c r="BC175" i="6"/>
  <c r="BE175" i="6" s="1"/>
  <c r="AU175" i="6"/>
  <c r="AW175" i="6" s="1"/>
  <c r="AM175" i="6"/>
  <c r="AP175" i="6" s="1"/>
  <c r="AE175" i="6"/>
  <c r="W175" i="6"/>
  <c r="Y175" i="6" s="1"/>
  <c r="O175" i="6"/>
  <c r="Q175" i="6" s="1"/>
  <c r="G175" i="6"/>
  <c r="B175" i="6"/>
  <c r="CW174" i="6"/>
  <c r="CU174" i="6"/>
  <c r="CQ174" i="6"/>
  <c r="CS174" i="6" s="1"/>
  <c r="CI174" i="6"/>
  <c r="CL174" i="6" s="1"/>
  <c r="CA174" i="6"/>
  <c r="BS174" i="6"/>
  <c r="BK174" i="6"/>
  <c r="BM174" i="6" s="1"/>
  <c r="BC174" i="6"/>
  <c r="BF174" i="6" s="1"/>
  <c r="AU174" i="6"/>
  <c r="AM174" i="6"/>
  <c r="AO174" i="6" s="1"/>
  <c r="AE174" i="6"/>
  <c r="W174" i="6"/>
  <c r="O174" i="6"/>
  <c r="R174" i="6" s="1"/>
  <c r="G174" i="6"/>
  <c r="B174" i="6"/>
  <c r="CW173" i="6"/>
  <c r="CU173" i="6"/>
  <c r="CQ173" i="6"/>
  <c r="CT173" i="6" s="1"/>
  <c r="CI173" i="6"/>
  <c r="CA173" i="6"/>
  <c r="CC173" i="6" s="1"/>
  <c r="BS173" i="6"/>
  <c r="BU173" i="6" s="1"/>
  <c r="BK173" i="6"/>
  <c r="BN173" i="6" s="1"/>
  <c r="BC173" i="6"/>
  <c r="AU173" i="6"/>
  <c r="AM173" i="6"/>
  <c r="AE173" i="6"/>
  <c r="AH173" i="6" s="1"/>
  <c r="W173" i="6"/>
  <c r="O173" i="6"/>
  <c r="Q173" i="6" s="1"/>
  <c r="G173" i="6"/>
  <c r="B173" i="6"/>
  <c r="CW172" i="6"/>
  <c r="CU172" i="6"/>
  <c r="CQ172" i="6"/>
  <c r="CT172" i="6" s="1"/>
  <c r="CI172" i="6"/>
  <c r="CA172" i="6"/>
  <c r="BS172" i="6"/>
  <c r="BV172" i="6" s="1"/>
  <c r="BK172" i="6"/>
  <c r="BC172" i="6"/>
  <c r="BF172" i="6" s="1"/>
  <c r="AU172" i="6"/>
  <c r="AX172" i="6" s="1"/>
  <c r="AM172" i="6"/>
  <c r="AE172" i="6"/>
  <c r="AH172" i="6" s="1"/>
  <c r="W172" i="6"/>
  <c r="Y172" i="6" s="1"/>
  <c r="O172" i="6"/>
  <c r="G172" i="6"/>
  <c r="B172" i="6"/>
  <c r="CO171" i="6"/>
  <c r="CM171" i="6"/>
  <c r="CG171" i="6"/>
  <c r="CE171" i="6"/>
  <c r="BY171" i="6"/>
  <c r="BW171" i="6"/>
  <c r="BQ171" i="6"/>
  <c r="BO171" i="6"/>
  <c r="BI171" i="6"/>
  <c r="BG171" i="6"/>
  <c r="BA171" i="6"/>
  <c r="AY171" i="6"/>
  <c r="AS171" i="6"/>
  <c r="AQ171" i="6"/>
  <c r="AK171" i="6"/>
  <c r="AI171" i="6"/>
  <c r="AC171" i="6"/>
  <c r="AA171" i="6"/>
  <c r="U171" i="6"/>
  <c r="S171" i="6"/>
  <c r="M171" i="6"/>
  <c r="K171" i="6"/>
  <c r="E171" i="6"/>
  <c r="C171" i="6"/>
  <c r="B171" i="6"/>
  <c r="CW170" i="6"/>
  <c r="CU170" i="6"/>
  <c r="CQ170" i="6"/>
  <c r="CS170" i="6" s="1"/>
  <c r="CI170" i="6"/>
  <c r="CL170" i="6" s="1"/>
  <c r="CA170" i="6"/>
  <c r="BS170" i="6"/>
  <c r="BV170" i="6" s="1"/>
  <c r="BK170" i="6"/>
  <c r="BM170" i="6" s="1"/>
  <c r="BC170" i="6"/>
  <c r="AU170" i="6"/>
  <c r="AX170" i="6" s="1"/>
  <c r="AM170" i="6"/>
  <c r="AE170" i="6"/>
  <c r="W170" i="6"/>
  <c r="Z170" i="6" s="1"/>
  <c r="O170" i="6"/>
  <c r="Q170" i="6" s="1"/>
  <c r="G170" i="6"/>
  <c r="B170" i="6"/>
  <c r="CW169" i="6"/>
  <c r="CU169" i="6"/>
  <c r="CQ169" i="6"/>
  <c r="CI169" i="6"/>
  <c r="CK169" i="6" s="1"/>
  <c r="CA169" i="6"/>
  <c r="BS169" i="6"/>
  <c r="BV169" i="6" s="1"/>
  <c r="BK169" i="6"/>
  <c r="BM169" i="6" s="1"/>
  <c r="BC169" i="6"/>
  <c r="BE169" i="6" s="1"/>
  <c r="AU169" i="6"/>
  <c r="AX169" i="6" s="1"/>
  <c r="AM169" i="6"/>
  <c r="AP169" i="6" s="1"/>
  <c r="AE169" i="6"/>
  <c r="W169" i="6"/>
  <c r="Y169" i="6" s="1"/>
  <c r="O169" i="6"/>
  <c r="G169" i="6"/>
  <c r="B169" i="6"/>
  <c r="CW168" i="6"/>
  <c r="CU168" i="6"/>
  <c r="CQ168" i="6"/>
  <c r="CI168" i="6"/>
  <c r="CK168" i="6" s="1"/>
  <c r="CA168" i="6"/>
  <c r="BS168" i="6"/>
  <c r="BV168" i="6" s="1"/>
  <c r="BK168" i="6"/>
  <c r="BN168" i="6" s="1"/>
  <c r="BC168" i="6"/>
  <c r="AU168" i="6"/>
  <c r="AX168" i="6" s="1"/>
  <c r="AM168" i="6"/>
  <c r="AE168" i="6"/>
  <c r="W168" i="6"/>
  <c r="Y168" i="6" s="1"/>
  <c r="O168" i="6"/>
  <c r="G168" i="6"/>
  <c r="B168" i="6"/>
  <c r="CW167" i="6"/>
  <c r="CU167" i="6"/>
  <c r="CQ167" i="6"/>
  <c r="CT167" i="6" s="1"/>
  <c r="CI167" i="6"/>
  <c r="CA167" i="6"/>
  <c r="BS167" i="6"/>
  <c r="BK167" i="6"/>
  <c r="BN167" i="6" s="1"/>
  <c r="BC167" i="6"/>
  <c r="BE167" i="6" s="1"/>
  <c r="AU167" i="6"/>
  <c r="AX167" i="6" s="1"/>
  <c r="AM167" i="6"/>
  <c r="AE167" i="6"/>
  <c r="AH167" i="6" s="1"/>
  <c r="W167" i="6"/>
  <c r="O167" i="6"/>
  <c r="R167" i="6" s="1"/>
  <c r="G167" i="6"/>
  <c r="J167" i="6" s="1"/>
  <c r="B167" i="6"/>
  <c r="CW166" i="6"/>
  <c r="CU166" i="6"/>
  <c r="CQ166" i="6"/>
  <c r="CT166" i="6" s="1"/>
  <c r="CI166" i="6"/>
  <c r="CL166" i="6" s="1"/>
  <c r="CA166" i="6"/>
  <c r="CD166" i="6" s="1"/>
  <c r="BS166" i="6"/>
  <c r="BV166" i="6" s="1"/>
  <c r="BK166" i="6"/>
  <c r="BN166" i="6" s="1"/>
  <c r="BC166" i="6"/>
  <c r="AU166" i="6"/>
  <c r="AX166" i="6" s="1"/>
  <c r="AM166" i="6"/>
  <c r="AE166" i="6"/>
  <c r="W166" i="6"/>
  <c r="O166" i="6"/>
  <c r="G166" i="6"/>
  <c r="I166" i="6" s="1"/>
  <c r="B166" i="6"/>
  <c r="CW165" i="6"/>
  <c r="CU165" i="6"/>
  <c r="CQ165" i="6"/>
  <c r="CT165" i="6" s="1"/>
  <c r="CI165" i="6"/>
  <c r="CA165" i="6"/>
  <c r="BS165" i="6"/>
  <c r="BV165" i="6" s="1"/>
  <c r="BK165" i="6"/>
  <c r="BN165" i="6" s="1"/>
  <c r="BC165" i="6"/>
  <c r="AU165" i="6"/>
  <c r="AM165" i="6"/>
  <c r="AE165" i="6"/>
  <c r="W165" i="6"/>
  <c r="O165" i="6"/>
  <c r="R165" i="6" s="1"/>
  <c r="G165" i="6"/>
  <c r="J165" i="6" s="1"/>
  <c r="B165" i="6"/>
  <c r="CW164" i="6"/>
  <c r="CU164" i="6"/>
  <c r="CQ164" i="6"/>
  <c r="CI164" i="6"/>
  <c r="CL164" i="6" s="1"/>
  <c r="CA164" i="6"/>
  <c r="BS164" i="6"/>
  <c r="BV164" i="6" s="1"/>
  <c r="BK164" i="6"/>
  <c r="BN164" i="6" s="1"/>
  <c r="BC164" i="6"/>
  <c r="AU164" i="6"/>
  <c r="AX164" i="6" s="1"/>
  <c r="AM164" i="6"/>
  <c r="AP164" i="6" s="1"/>
  <c r="AE164" i="6"/>
  <c r="AH164" i="6" s="1"/>
  <c r="W164" i="6"/>
  <c r="Z164" i="6" s="1"/>
  <c r="O164" i="6"/>
  <c r="G164" i="6"/>
  <c r="J164" i="6" s="1"/>
  <c r="B164" i="6"/>
  <c r="CW163" i="6"/>
  <c r="CU163" i="6"/>
  <c r="CQ163" i="6"/>
  <c r="CT163" i="6" s="1"/>
  <c r="CI163" i="6"/>
  <c r="CL163" i="6" s="1"/>
  <c r="CA163" i="6"/>
  <c r="BS163" i="6"/>
  <c r="BV163" i="6" s="1"/>
  <c r="BK163" i="6"/>
  <c r="BC163" i="6"/>
  <c r="AU163" i="6"/>
  <c r="AM163" i="6"/>
  <c r="AP163" i="6" s="1"/>
  <c r="AE163" i="6"/>
  <c r="AH163" i="6" s="1"/>
  <c r="W163" i="6"/>
  <c r="Y163" i="6" s="1"/>
  <c r="O163" i="6"/>
  <c r="G163" i="6"/>
  <c r="J163" i="6" s="1"/>
  <c r="B163" i="6"/>
  <c r="CW162" i="6"/>
  <c r="CU162" i="6"/>
  <c r="CQ162" i="6"/>
  <c r="CT162" i="6" s="1"/>
  <c r="CI162" i="6"/>
  <c r="CK162" i="6" s="1"/>
  <c r="CA162" i="6"/>
  <c r="CD162" i="6" s="1"/>
  <c r="BS162" i="6"/>
  <c r="BK162" i="6"/>
  <c r="BN162" i="6" s="1"/>
  <c r="BC162" i="6"/>
  <c r="AU162" i="6"/>
  <c r="AX162" i="6" s="1"/>
  <c r="AM162" i="6"/>
  <c r="AE162" i="6"/>
  <c r="AH162" i="6" s="1"/>
  <c r="W162" i="6"/>
  <c r="Z162" i="6" s="1"/>
  <c r="O162" i="6"/>
  <c r="G162" i="6"/>
  <c r="J162" i="6" s="1"/>
  <c r="B162" i="6"/>
  <c r="CW161" i="6"/>
  <c r="CU161" i="6"/>
  <c r="CQ161" i="6"/>
  <c r="CT161" i="6" s="1"/>
  <c r="CI161" i="6"/>
  <c r="CA161" i="6"/>
  <c r="BS161" i="6"/>
  <c r="BK161" i="6"/>
  <c r="BN161" i="6" s="1"/>
  <c r="BC161" i="6"/>
  <c r="AU161" i="6"/>
  <c r="AW161" i="6" s="1"/>
  <c r="AM161" i="6"/>
  <c r="AO161" i="6" s="1"/>
  <c r="AE161" i="6"/>
  <c r="W161" i="6"/>
  <c r="O161" i="6"/>
  <c r="G161" i="6"/>
  <c r="B161" i="6"/>
  <c r="CW160" i="6"/>
  <c r="CU160" i="6"/>
  <c r="CQ160" i="6"/>
  <c r="CS160" i="6" s="1"/>
  <c r="CI160" i="6"/>
  <c r="CA160" i="6"/>
  <c r="BS160" i="6"/>
  <c r="BK160" i="6"/>
  <c r="BN160" i="6" s="1"/>
  <c r="BC160" i="6"/>
  <c r="AU160" i="6"/>
  <c r="AW160" i="6" s="1"/>
  <c r="AM160" i="6"/>
  <c r="AE160" i="6"/>
  <c r="W160" i="6"/>
  <c r="Y160" i="6" s="1"/>
  <c r="O160" i="6"/>
  <c r="R160" i="6" s="1"/>
  <c r="G160" i="6"/>
  <c r="B160" i="6"/>
  <c r="CW159" i="6"/>
  <c r="CU159" i="6"/>
  <c r="CQ159" i="6"/>
  <c r="CS159" i="6" s="1"/>
  <c r="CI159" i="6"/>
  <c r="CA159" i="6"/>
  <c r="BS159" i="6"/>
  <c r="BV159" i="6" s="1"/>
  <c r="BK159" i="6"/>
  <c r="BM159" i="6" s="1"/>
  <c r="BC159" i="6"/>
  <c r="BF159" i="6" s="1"/>
  <c r="AU159" i="6"/>
  <c r="AX159" i="6" s="1"/>
  <c r="AM159" i="6"/>
  <c r="AE159" i="6"/>
  <c r="AG159" i="6" s="1"/>
  <c r="W159" i="6"/>
  <c r="Z159" i="6" s="1"/>
  <c r="O159" i="6"/>
  <c r="G159" i="6"/>
  <c r="J159" i="6" s="1"/>
  <c r="B159" i="6"/>
  <c r="CW158" i="6"/>
  <c r="CU158" i="6"/>
  <c r="CQ158" i="6"/>
  <c r="CI158" i="6"/>
  <c r="CL158" i="6" s="1"/>
  <c r="CA158" i="6"/>
  <c r="BS158" i="6"/>
  <c r="BK158" i="6"/>
  <c r="BN158" i="6" s="1"/>
  <c r="BC158" i="6"/>
  <c r="AU158" i="6"/>
  <c r="AM158" i="6"/>
  <c r="AE158" i="6"/>
  <c r="AH158" i="6" s="1"/>
  <c r="W158" i="6"/>
  <c r="O158" i="6"/>
  <c r="Q158" i="6" s="1"/>
  <c r="G158" i="6"/>
  <c r="J158" i="6" s="1"/>
  <c r="B158" i="6"/>
  <c r="CW157" i="6"/>
  <c r="CU157" i="6"/>
  <c r="CQ157" i="6"/>
  <c r="CT157" i="6" s="1"/>
  <c r="CI157" i="6"/>
  <c r="CK157" i="6" s="1"/>
  <c r="CA157" i="6"/>
  <c r="CD157" i="6" s="1"/>
  <c r="BS157" i="6"/>
  <c r="BK157" i="6"/>
  <c r="BN157" i="6" s="1"/>
  <c r="BC157" i="6"/>
  <c r="AU157" i="6"/>
  <c r="AM157" i="6"/>
  <c r="AP157" i="6" s="1"/>
  <c r="AE157" i="6"/>
  <c r="W157" i="6"/>
  <c r="Y157" i="6" s="1"/>
  <c r="O157" i="6"/>
  <c r="R157" i="6" s="1"/>
  <c r="G157" i="6"/>
  <c r="I157" i="6" s="1"/>
  <c r="B157" i="6"/>
  <c r="CW156" i="6"/>
  <c r="CU156" i="6"/>
  <c r="CQ156" i="6"/>
  <c r="CI156" i="6"/>
  <c r="CL156" i="6" s="1"/>
  <c r="CA156" i="6"/>
  <c r="CD156" i="6" s="1"/>
  <c r="BS156" i="6"/>
  <c r="BK156" i="6"/>
  <c r="BC156" i="6"/>
  <c r="BF156" i="6" s="1"/>
  <c r="AU156" i="6"/>
  <c r="AW156" i="6" s="1"/>
  <c r="AM156" i="6"/>
  <c r="AO156" i="6" s="1"/>
  <c r="AE156" i="6"/>
  <c r="W156" i="6"/>
  <c r="Z156" i="6" s="1"/>
  <c r="O156" i="6"/>
  <c r="Q156" i="6" s="1"/>
  <c r="G156" i="6"/>
  <c r="B156" i="6"/>
  <c r="CW155" i="6"/>
  <c r="CU155" i="6"/>
  <c r="CQ155" i="6"/>
  <c r="CT155" i="6" s="1"/>
  <c r="CI155" i="6"/>
  <c r="CA155" i="6"/>
  <c r="CC155" i="6" s="1"/>
  <c r="BS155" i="6"/>
  <c r="BV155" i="6" s="1"/>
  <c r="BK155" i="6"/>
  <c r="BC155" i="6"/>
  <c r="BF155" i="6" s="1"/>
  <c r="AU155" i="6"/>
  <c r="AW155" i="6" s="1"/>
  <c r="AM155" i="6"/>
  <c r="AE155" i="6"/>
  <c r="AG155" i="6" s="1"/>
  <c r="W155" i="6"/>
  <c r="Z155" i="6" s="1"/>
  <c r="O155" i="6"/>
  <c r="R155" i="6" s="1"/>
  <c r="G155" i="6"/>
  <c r="J155" i="6" s="1"/>
  <c r="B155" i="6"/>
  <c r="CW154" i="6"/>
  <c r="CU154" i="6"/>
  <c r="CQ154" i="6"/>
  <c r="CI154" i="6"/>
  <c r="CK154" i="6" s="1"/>
  <c r="CA154" i="6"/>
  <c r="CD154" i="6" s="1"/>
  <c r="BS154" i="6"/>
  <c r="BK154" i="6"/>
  <c r="BC154" i="6"/>
  <c r="BF154" i="6" s="1"/>
  <c r="AU154" i="6"/>
  <c r="AW154" i="6" s="1"/>
  <c r="AM154" i="6"/>
  <c r="AP154" i="6" s="1"/>
  <c r="AE154" i="6"/>
  <c r="W154" i="6"/>
  <c r="Y154" i="6" s="1"/>
  <c r="O154" i="6"/>
  <c r="R154" i="6" s="1"/>
  <c r="G154" i="6"/>
  <c r="I154" i="6" s="1"/>
  <c r="B154" i="6"/>
  <c r="CW153" i="6"/>
  <c r="CU153" i="6"/>
  <c r="CQ153" i="6"/>
  <c r="CT153" i="6" s="1"/>
  <c r="CI153" i="6"/>
  <c r="CL153" i="6" s="1"/>
  <c r="CA153" i="6"/>
  <c r="BS153" i="6"/>
  <c r="BK153" i="6"/>
  <c r="BN153" i="6" s="1"/>
  <c r="BC153" i="6"/>
  <c r="BF153" i="6" s="1"/>
  <c r="AU153" i="6"/>
  <c r="AM153" i="6"/>
  <c r="AO153" i="6" s="1"/>
  <c r="AE153" i="6"/>
  <c r="AH153" i="6" s="1"/>
  <c r="W153" i="6"/>
  <c r="O153" i="6"/>
  <c r="G153" i="6"/>
  <c r="B153" i="6"/>
  <c r="CW152" i="6"/>
  <c r="CU152" i="6"/>
  <c r="CQ152" i="6"/>
  <c r="CI152" i="6"/>
  <c r="CA152" i="6"/>
  <c r="CD152" i="6" s="1"/>
  <c r="BS152" i="6"/>
  <c r="BV152" i="6" s="1"/>
  <c r="BK152" i="6"/>
  <c r="BM152" i="6" s="1"/>
  <c r="BC152" i="6"/>
  <c r="BE152" i="6" s="1"/>
  <c r="AU152" i="6"/>
  <c r="AW152" i="6" s="1"/>
  <c r="AM152" i="6"/>
  <c r="AE152" i="6"/>
  <c r="W152" i="6"/>
  <c r="Y152" i="6" s="1"/>
  <c r="O152" i="6"/>
  <c r="R152" i="6" s="1"/>
  <c r="G152" i="6"/>
  <c r="B152" i="6"/>
  <c r="CW151" i="6"/>
  <c r="CU151" i="6"/>
  <c r="CQ151" i="6"/>
  <c r="CS151" i="6" s="1"/>
  <c r="CI151" i="6"/>
  <c r="CA151" i="6"/>
  <c r="BS151" i="6"/>
  <c r="BV151" i="6" s="1"/>
  <c r="BK151" i="6"/>
  <c r="BM151" i="6" s="1"/>
  <c r="BC151" i="6"/>
  <c r="BF151" i="6" s="1"/>
  <c r="AU151" i="6"/>
  <c r="AM151" i="6"/>
  <c r="AE151" i="6"/>
  <c r="AG151" i="6" s="1"/>
  <c r="W151" i="6"/>
  <c r="O151" i="6"/>
  <c r="G151" i="6"/>
  <c r="I151" i="6" s="1"/>
  <c r="B151" i="6"/>
  <c r="CW150" i="6"/>
  <c r="CU150" i="6"/>
  <c r="CQ150" i="6"/>
  <c r="CI150" i="6"/>
  <c r="CK150" i="6" s="1"/>
  <c r="CA150" i="6"/>
  <c r="BS150" i="6"/>
  <c r="BV150" i="6" s="1"/>
  <c r="BK150" i="6"/>
  <c r="BC150" i="6"/>
  <c r="AU150" i="6"/>
  <c r="AM150" i="6"/>
  <c r="AP150" i="6" s="1"/>
  <c r="AE150" i="6"/>
  <c r="AH150" i="6" s="1"/>
  <c r="W150" i="6"/>
  <c r="Y150" i="6" s="1"/>
  <c r="O150" i="6"/>
  <c r="Q150" i="6" s="1"/>
  <c r="G150" i="6"/>
  <c r="B150" i="6"/>
  <c r="CW149" i="6"/>
  <c r="CU149" i="6"/>
  <c r="CQ149" i="6"/>
  <c r="CT149" i="6" s="1"/>
  <c r="CI149" i="6"/>
  <c r="CK149" i="6" s="1"/>
  <c r="CA149" i="6"/>
  <c r="BS149" i="6"/>
  <c r="BV149" i="6" s="1"/>
  <c r="BK149" i="6"/>
  <c r="BN149" i="6" s="1"/>
  <c r="BC149" i="6"/>
  <c r="AU149" i="6"/>
  <c r="AX149" i="6" s="1"/>
  <c r="AM149" i="6"/>
  <c r="AE149" i="6"/>
  <c r="W149" i="6"/>
  <c r="O149" i="6"/>
  <c r="R149" i="6" s="1"/>
  <c r="G149" i="6"/>
  <c r="J149" i="6" s="1"/>
  <c r="B149" i="6"/>
  <c r="CW148" i="6"/>
  <c r="CU148" i="6"/>
  <c r="CQ148" i="6"/>
  <c r="CI148" i="6"/>
  <c r="CL148" i="6" s="1"/>
  <c r="CA148" i="6"/>
  <c r="BS148" i="6"/>
  <c r="BK148" i="6"/>
  <c r="BM148" i="6" s="1"/>
  <c r="BC148" i="6"/>
  <c r="BF148" i="6" s="1"/>
  <c r="AU148" i="6"/>
  <c r="AX148" i="6" s="1"/>
  <c r="AM148" i="6"/>
  <c r="AP148" i="6" s="1"/>
  <c r="AE148" i="6"/>
  <c r="AG148" i="6" s="1"/>
  <c r="W148" i="6"/>
  <c r="Z148" i="6" s="1"/>
  <c r="O148" i="6"/>
  <c r="G148" i="6"/>
  <c r="J148" i="6" s="1"/>
  <c r="B148" i="6"/>
  <c r="CW147" i="6"/>
  <c r="CU147" i="6"/>
  <c r="CQ147" i="6"/>
  <c r="CS147" i="6" s="1"/>
  <c r="CI147" i="6"/>
  <c r="CK147" i="6" s="1"/>
  <c r="CA147" i="6"/>
  <c r="BS147" i="6"/>
  <c r="BV147" i="6" s="1"/>
  <c r="BK147" i="6"/>
  <c r="BN147" i="6" s="1"/>
  <c r="BC147" i="6"/>
  <c r="AU147" i="6"/>
  <c r="AM147" i="6"/>
  <c r="AE147" i="6"/>
  <c r="AG147" i="6" s="1"/>
  <c r="W147" i="6"/>
  <c r="Z147" i="6" s="1"/>
  <c r="O147" i="6"/>
  <c r="G147" i="6"/>
  <c r="J147" i="6" s="1"/>
  <c r="B147" i="6"/>
  <c r="CW146" i="6"/>
  <c r="CU146" i="6"/>
  <c r="CQ146" i="6"/>
  <c r="CS146" i="6" s="1"/>
  <c r="CI146" i="6"/>
  <c r="CL146" i="6" s="1"/>
  <c r="CA146" i="6"/>
  <c r="CC146" i="6" s="1"/>
  <c r="BS146" i="6"/>
  <c r="BV146" i="6" s="1"/>
  <c r="BK146" i="6"/>
  <c r="BC146" i="6"/>
  <c r="AU146" i="6"/>
  <c r="AX146" i="6" s="1"/>
  <c r="AM146" i="6"/>
  <c r="AP146" i="6" s="1"/>
  <c r="AE146" i="6"/>
  <c r="W146" i="6"/>
  <c r="Z146" i="6" s="1"/>
  <c r="O146" i="6"/>
  <c r="R146" i="6" s="1"/>
  <c r="G146" i="6"/>
  <c r="J146" i="6" s="1"/>
  <c r="B146" i="6"/>
  <c r="CW145" i="6"/>
  <c r="CU145" i="6"/>
  <c r="CQ145" i="6"/>
  <c r="CI145" i="6"/>
  <c r="CA145" i="6"/>
  <c r="BS145" i="6"/>
  <c r="BK145" i="6"/>
  <c r="BC145" i="6"/>
  <c r="AU145" i="6"/>
  <c r="AX145" i="6" s="1"/>
  <c r="AM145" i="6"/>
  <c r="AP145" i="6" s="1"/>
  <c r="AE145" i="6"/>
  <c r="W145" i="6"/>
  <c r="O145" i="6"/>
  <c r="R145" i="6" s="1"/>
  <c r="G145" i="6"/>
  <c r="I145" i="6" s="1"/>
  <c r="B145" i="6"/>
  <c r="CW144" i="6"/>
  <c r="CU144" i="6"/>
  <c r="CQ144" i="6"/>
  <c r="CI144" i="6"/>
  <c r="CA144" i="6"/>
  <c r="BS144" i="6"/>
  <c r="BK144" i="6"/>
  <c r="BN144" i="6" s="1"/>
  <c r="BC144" i="6"/>
  <c r="AU144" i="6"/>
  <c r="AM144" i="6"/>
  <c r="AE144" i="6"/>
  <c r="AG144" i="6" s="1"/>
  <c r="W144" i="6"/>
  <c r="O144" i="6"/>
  <c r="G144" i="6"/>
  <c r="J144" i="6" s="1"/>
  <c r="B144" i="6"/>
  <c r="CW143" i="6"/>
  <c r="CU143" i="6"/>
  <c r="CQ143" i="6"/>
  <c r="CI143" i="6"/>
  <c r="CA143" i="6"/>
  <c r="CD143" i="6" s="1"/>
  <c r="BS143" i="6"/>
  <c r="BK143" i="6"/>
  <c r="BN143" i="6" s="1"/>
  <c r="BC143" i="6"/>
  <c r="AU143" i="6"/>
  <c r="AX143" i="6" s="1"/>
  <c r="AM143" i="6"/>
  <c r="AE143" i="6"/>
  <c r="AH143" i="6" s="1"/>
  <c r="W143" i="6"/>
  <c r="O143" i="6"/>
  <c r="G143" i="6"/>
  <c r="I143" i="6" s="1"/>
  <c r="B143" i="6"/>
  <c r="CW142" i="6"/>
  <c r="CU142" i="6"/>
  <c r="CQ142" i="6"/>
  <c r="CT142" i="6" s="1"/>
  <c r="CI142" i="6"/>
  <c r="CL142" i="6" s="1"/>
  <c r="CA142" i="6"/>
  <c r="CC142" i="6" s="1"/>
  <c r="BS142" i="6"/>
  <c r="BK142" i="6"/>
  <c r="BC142" i="6"/>
  <c r="AU142" i="6"/>
  <c r="AM142" i="6"/>
  <c r="AE142" i="6"/>
  <c r="AG142" i="6" s="1"/>
  <c r="W142" i="6"/>
  <c r="O142" i="6"/>
  <c r="G142" i="6"/>
  <c r="B142" i="6"/>
  <c r="CW141" i="6"/>
  <c r="CU141" i="6"/>
  <c r="CQ141" i="6"/>
  <c r="CI141" i="6"/>
  <c r="CA141" i="6"/>
  <c r="BS141" i="6"/>
  <c r="BU141" i="6" s="1"/>
  <c r="BK141" i="6"/>
  <c r="BN141" i="6" s="1"/>
  <c r="BC141" i="6"/>
  <c r="BF141" i="6" s="1"/>
  <c r="AU141" i="6"/>
  <c r="AX141" i="6" s="1"/>
  <c r="AM141" i="6"/>
  <c r="AO141" i="6" s="1"/>
  <c r="AE141" i="6"/>
  <c r="AG141" i="6" s="1"/>
  <c r="W141" i="6"/>
  <c r="O141" i="6"/>
  <c r="R141" i="6" s="1"/>
  <c r="G141" i="6"/>
  <c r="I141" i="6" s="1"/>
  <c r="B141" i="6"/>
  <c r="CW140" i="6"/>
  <c r="CU140" i="6"/>
  <c r="CQ140" i="6"/>
  <c r="CT140" i="6" s="1"/>
  <c r="CI140" i="6"/>
  <c r="CK140" i="6" s="1"/>
  <c r="CA140" i="6"/>
  <c r="BS140" i="6"/>
  <c r="BV140" i="6" s="1"/>
  <c r="BK140" i="6"/>
  <c r="BC140" i="6"/>
  <c r="BE140" i="6" s="1"/>
  <c r="AU140" i="6"/>
  <c r="AM140" i="6"/>
  <c r="AP140" i="6" s="1"/>
  <c r="AE140" i="6"/>
  <c r="AH140" i="6" s="1"/>
  <c r="W140" i="6"/>
  <c r="Y140" i="6" s="1"/>
  <c r="O140" i="6"/>
  <c r="G140" i="6"/>
  <c r="B140" i="6"/>
  <c r="CW139" i="6"/>
  <c r="CU139" i="6"/>
  <c r="CQ139" i="6"/>
  <c r="CT139" i="6" s="1"/>
  <c r="CI139" i="6"/>
  <c r="CL139" i="6" s="1"/>
  <c r="CA139" i="6"/>
  <c r="BS139" i="6"/>
  <c r="BK139" i="6"/>
  <c r="BN139" i="6" s="1"/>
  <c r="BC139" i="6"/>
  <c r="BE139" i="6" s="1"/>
  <c r="AU139" i="6"/>
  <c r="AX139" i="6" s="1"/>
  <c r="AM139" i="6"/>
  <c r="AE139" i="6"/>
  <c r="AH139" i="6" s="1"/>
  <c r="W139" i="6"/>
  <c r="O139" i="6"/>
  <c r="G139" i="6"/>
  <c r="B139" i="6"/>
  <c r="CW138" i="6"/>
  <c r="CU138" i="6"/>
  <c r="CQ138" i="6"/>
  <c r="CT138" i="6" s="1"/>
  <c r="CI138" i="6"/>
  <c r="CL138" i="6" s="1"/>
  <c r="CA138" i="6"/>
  <c r="CD138" i="6" s="1"/>
  <c r="BS138" i="6"/>
  <c r="BK138" i="6"/>
  <c r="BN138" i="6" s="1"/>
  <c r="BC138" i="6"/>
  <c r="BF138" i="6" s="1"/>
  <c r="AU138" i="6"/>
  <c r="AX138" i="6" s="1"/>
  <c r="AM138" i="6"/>
  <c r="AE138" i="6"/>
  <c r="AH138" i="6" s="1"/>
  <c r="W138" i="6"/>
  <c r="O138" i="6"/>
  <c r="R138" i="6" s="1"/>
  <c r="G138" i="6"/>
  <c r="B138" i="6"/>
  <c r="CW137" i="6"/>
  <c r="CU137" i="6"/>
  <c r="CQ137" i="6"/>
  <c r="CI137" i="6"/>
  <c r="CK137" i="6" s="1"/>
  <c r="CA137" i="6"/>
  <c r="CD137" i="6" s="1"/>
  <c r="BS137" i="6"/>
  <c r="BV137" i="6" s="1"/>
  <c r="BK137" i="6"/>
  <c r="BC137" i="6"/>
  <c r="BF137" i="6" s="1"/>
  <c r="AU137" i="6"/>
  <c r="AX137" i="6" s="1"/>
  <c r="AM137" i="6"/>
  <c r="AP137" i="6" s="1"/>
  <c r="AE137" i="6"/>
  <c r="W137" i="6"/>
  <c r="O137" i="6"/>
  <c r="R137" i="6" s="1"/>
  <c r="G137" i="6"/>
  <c r="J137" i="6" s="1"/>
  <c r="B137" i="6"/>
  <c r="CW136" i="6"/>
  <c r="CU136" i="6"/>
  <c r="CQ136" i="6"/>
  <c r="CS136" i="6" s="1"/>
  <c r="CI136" i="6"/>
  <c r="CL136" i="6" s="1"/>
  <c r="CA136" i="6"/>
  <c r="CD136" i="6" s="1"/>
  <c r="BS136" i="6"/>
  <c r="BK136" i="6"/>
  <c r="BM136" i="6" s="1"/>
  <c r="BC136" i="6"/>
  <c r="BF136" i="6" s="1"/>
  <c r="AU136" i="6"/>
  <c r="AX136" i="6" s="1"/>
  <c r="AM136" i="6"/>
  <c r="AP136" i="6" s="1"/>
  <c r="AE136" i="6"/>
  <c r="AG136" i="6" s="1"/>
  <c r="W136" i="6"/>
  <c r="Z136" i="6" s="1"/>
  <c r="O136" i="6"/>
  <c r="R136" i="6" s="1"/>
  <c r="G136" i="6"/>
  <c r="J136" i="6" s="1"/>
  <c r="B136" i="6"/>
  <c r="CW135" i="6"/>
  <c r="CU135" i="6"/>
  <c r="CQ135" i="6"/>
  <c r="CT135" i="6" s="1"/>
  <c r="CI135" i="6"/>
  <c r="CA135" i="6"/>
  <c r="BS135" i="6"/>
  <c r="BK135" i="6"/>
  <c r="BN135" i="6" s="1"/>
  <c r="BC135" i="6"/>
  <c r="AU135" i="6"/>
  <c r="AM135" i="6"/>
  <c r="AP135" i="6" s="1"/>
  <c r="AE135" i="6"/>
  <c r="W135" i="6"/>
  <c r="O135" i="6"/>
  <c r="G135" i="6"/>
  <c r="J135" i="6" s="1"/>
  <c r="B135" i="6"/>
  <c r="CW134" i="6"/>
  <c r="CU134" i="6"/>
  <c r="CQ134" i="6"/>
  <c r="CS134" i="6" s="1"/>
  <c r="CI134" i="6"/>
  <c r="CK134" i="6" s="1"/>
  <c r="CA134" i="6"/>
  <c r="CD134" i="6" s="1"/>
  <c r="BS134" i="6"/>
  <c r="BV134" i="6" s="1"/>
  <c r="BK134" i="6"/>
  <c r="BC134" i="6"/>
  <c r="BE134" i="6" s="1"/>
  <c r="AU134" i="6"/>
  <c r="AX134" i="6" s="1"/>
  <c r="AM134" i="6"/>
  <c r="AP134" i="6" s="1"/>
  <c r="AE134" i="6"/>
  <c r="AH134" i="6" s="1"/>
  <c r="W134" i="6"/>
  <c r="Z134" i="6" s="1"/>
  <c r="O134" i="6"/>
  <c r="R134" i="6" s="1"/>
  <c r="G134" i="6"/>
  <c r="J134" i="6" s="1"/>
  <c r="B134" i="6"/>
  <c r="CW133" i="6"/>
  <c r="CU133" i="6"/>
  <c r="CQ133" i="6"/>
  <c r="CS133" i="6" s="1"/>
  <c r="CI133" i="6"/>
  <c r="CL133" i="6" s="1"/>
  <c r="CA133" i="6"/>
  <c r="BS133" i="6"/>
  <c r="BK133" i="6"/>
  <c r="BC133" i="6"/>
  <c r="BF133" i="6" s="1"/>
  <c r="AU133" i="6"/>
  <c r="AM133" i="6"/>
  <c r="AE133" i="6"/>
  <c r="AH133" i="6" s="1"/>
  <c r="W133" i="6"/>
  <c r="Z133" i="6" s="1"/>
  <c r="O133" i="6"/>
  <c r="G133" i="6"/>
  <c r="B133" i="6"/>
  <c r="CW132" i="6"/>
  <c r="CU132" i="6"/>
  <c r="CQ132" i="6"/>
  <c r="CS132" i="6" s="1"/>
  <c r="CI132" i="6"/>
  <c r="CA132" i="6"/>
  <c r="CC132" i="6" s="1"/>
  <c r="BS132" i="6"/>
  <c r="BV132" i="6" s="1"/>
  <c r="BK132" i="6"/>
  <c r="BC132" i="6"/>
  <c r="BF132" i="6" s="1"/>
  <c r="AU132" i="6"/>
  <c r="AM132" i="6"/>
  <c r="AP132" i="6" s="1"/>
  <c r="AE132" i="6"/>
  <c r="AH132" i="6" s="1"/>
  <c r="W132" i="6"/>
  <c r="O132" i="6"/>
  <c r="Q132" i="6" s="1"/>
  <c r="G132" i="6"/>
  <c r="J132" i="6" s="1"/>
  <c r="B132" i="6"/>
  <c r="CW131" i="6"/>
  <c r="CU131" i="6"/>
  <c r="CQ131" i="6"/>
  <c r="CI131" i="6"/>
  <c r="CL131" i="6" s="1"/>
  <c r="CA131" i="6"/>
  <c r="BS131" i="6"/>
  <c r="BK131" i="6"/>
  <c r="BC131" i="6"/>
  <c r="BE131" i="6" s="1"/>
  <c r="AU131" i="6"/>
  <c r="AM131" i="6"/>
  <c r="AE131" i="6"/>
  <c r="W131" i="6"/>
  <c r="O131" i="6"/>
  <c r="G131" i="6"/>
  <c r="B131" i="6"/>
  <c r="CW130" i="6"/>
  <c r="CU130" i="6"/>
  <c r="CQ130" i="6"/>
  <c r="CT130" i="6" s="1"/>
  <c r="CI130" i="6"/>
  <c r="CA130" i="6"/>
  <c r="CC130" i="6" s="1"/>
  <c r="BS130" i="6"/>
  <c r="BU130" i="6" s="1"/>
  <c r="BK130" i="6"/>
  <c r="BN130" i="6" s="1"/>
  <c r="BC130" i="6"/>
  <c r="BE130" i="6" s="1"/>
  <c r="AU130" i="6"/>
  <c r="AM130" i="6"/>
  <c r="AO130" i="6" s="1"/>
  <c r="AE130" i="6"/>
  <c r="AH130" i="6" s="1"/>
  <c r="W130" i="6"/>
  <c r="Z130" i="6" s="1"/>
  <c r="O130" i="6"/>
  <c r="Q130" i="6" s="1"/>
  <c r="G130" i="6"/>
  <c r="I130" i="6" s="1"/>
  <c r="B130" i="6"/>
  <c r="CW129" i="6"/>
  <c r="CU129" i="6"/>
  <c r="CQ129" i="6"/>
  <c r="CT129" i="6" s="1"/>
  <c r="CI129" i="6"/>
  <c r="CA129" i="6"/>
  <c r="CC129" i="6" s="1"/>
  <c r="BS129" i="6"/>
  <c r="BV129" i="6" s="1"/>
  <c r="BK129" i="6"/>
  <c r="BN129" i="6" s="1"/>
  <c r="BC129" i="6"/>
  <c r="BF129" i="6" s="1"/>
  <c r="AU129" i="6"/>
  <c r="AM129" i="6"/>
  <c r="AE129" i="6"/>
  <c r="W129" i="6"/>
  <c r="O129" i="6"/>
  <c r="G129" i="6"/>
  <c r="J129" i="6" s="1"/>
  <c r="B129" i="6"/>
  <c r="CW128" i="6"/>
  <c r="CU128" i="6"/>
  <c r="CQ128" i="6"/>
  <c r="CI128" i="6"/>
  <c r="CA128" i="6"/>
  <c r="CD128" i="6" s="1"/>
  <c r="BS128" i="6"/>
  <c r="BU128" i="6" s="1"/>
  <c r="BK128" i="6"/>
  <c r="BN128" i="6" s="1"/>
  <c r="BC128" i="6"/>
  <c r="AU128" i="6"/>
  <c r="AX128" i="6" s="1"/>
  <c r="AM128" i="6"/>
  <c r="AP128" i="6" s="1"/>
  <c r="AE128" i="6"/>
  <c r="AH128" i="6" s="1"/>
  <c r="W128" i="6"/>
  <c r="O128" i="6"/>
  <c r="Q128" i="6" s="1"/>
  <c r="G128" i="6"/>
  <c r="I128" i="6" s="1"/>
  <c r="B128" i="6"/>
  <c r="CW127" i="6"/>
  <c r="CU127" i="6"/>
  <c r="CQ127" i="6"/>
  <c r="CT127" i="6" s="1"/>
  <c r="CI127" i="6"/>
  <c r="CL127" i="6" s="1"/>
  <c r="CA127" i="6"/>
  <c r="CD127" i="6" s="1"/>
  <c r="BS127" i="6"/>
  <c r="BK127" i="6"/>
  <c r="BC127" i="6"/>
  <c r="BF127" i="6" s="1"/>
  <c r="AU127" i="6"/>
  <c r="AX127" i="6" s="1"/>
  <c r="AM127" i="6"/>
  <c r="AE127" i="6"/>
  <c r="AH127" i="6" s="1"/>
  <c r="W127" i="6"/>
  <c r="Z127" i="6" s="1"/>
  <c r="O127" i="6"/>
  <c r="G127" i="6"/>
  <c r="J127" i="6" s="1"/>
  <c r="B127" i="6"/>
  <c r="CW126" i="6"/>
  <c r="CU126" i="6"/>
  <c r="CQ126" i="6"/>
  <c r="CI126" i="6"/>
  <c r="CL126" i="6" s="1"/>
  <c r="CA126" i="6"/>
  <c r="CD126" i="6" s="1"/>
  <c r="BS126" i="6"/>
  <c r="BV126" i="6" s="1"/>
  <c r="BK126" i="6"/>
  <c r="BM126" i="6" s="1"/>
  <c r="BC126" i="6"/>
  <c r="AU126" i="6"/>
  <c r="AX126" i="6" s="1"/>
  <c r="AM126" i="6"/>
  <c r="AE126" i="6"/>
  <c r="AG126" i="6" s="1"/>
  <c r="W126" i="6"/>
  <c r="O126" i="6"/>
  <c r="G126" i="6"/>
  <c r="J126" i="6" s="1"/>
  <c r="B126" i="6"/>
  <c r="CW125" i="6"/>
  <c r="CU125" i="6"/>
  <c r="CQ125" i="6"/>
  <c r="CI125" i="6"/>
  <c r="CL125" i="6" s="1"/>
  <c r="CA125" i="6"/>
  <c r="BS125" i="6"/>
  <c r="BU125" i="6" s="1"/>
  <c r="BK125" i="6"/>
  <c r="BC125" i="6"/>
  <c r="BF125" i="6" s="1"/>
  <c r="AU125" i="6"/>
  <c r="AX125" i="6" s="1"/>
  <c r="AM125" i="6"/>
  <c r="AO125" i="6" s="1"/>
  <c r="AE125" i="6"/>
  <c r="W125" i="6"/>
  <c r="O125" i="6"/>
  <c r="R125" i="6" s="1"/>
  <c r="G125" i="6"/>
  <c r="B125" i="6"/>
  <c r="CW124" i="6"/>
  <c r="CU124" i="6"/>
  <c r="CQ124" i="6"/>
  <c r="CI124" i="6"/>
  <c r="CK124" i="6" s="1"/>
  <c r="CA124" i="6"/>
  <c r="CC124" i="6" s="1"/>
  <c r="BS124" i="6"/>
  <c r="BU124" i="6" s="1"/>
  <c r="BK124" i="6"/>
  <c r="BN124" i="6" s="1"/>
  <c r="BC124" i="6"/>
  <c r="BE124" i="6" s="1"/>
  <c r="AU124" i="6"/>
  <c r="AX124" i="6" s="1"/>
  <c r="AM124" i="6"/>
  <c r="AE124" i="6"/>
  <c r="W124" i="6"/>
  <c r="O124" i="6"/>
  <c r="Q124" i="6" s="1"/>
  <c r="G124" i="6"/>
  <c r="J124" i="6" s="1"/>
  <c r="B124" i="6"/>
  <c r="CW123" i="6"/>
  <c r="CU123" i="6"/>
  <c r="CQ123" i="6"/>
  <c r="CI123" i="6"/>
  <c r="CA123" i="6"/>
  <c r="CD123" i="6" s="1"/>
  <c r="BS123" i="6"/>
  <c r="BK123" i="6"/>
  <c r="BM123" i="6" s="1"/>
  <c r="BC123" i="6"/>
  <c r="AU123" i="6"/>
  <c r="AX123" i="6" s="1"/>
  <c r="AM123" i="6"/>
  <c r="AP123" i="6" s="1"/>
  <c r="AE123" i="6"/>
  <c r="AG123" i="6" s="1"/>
  <c r="W123" i="6"/>
  <c r="O123" i="6"/>
  <c r="R123" i="6" s="1"/>
  <c r="G123" i="6"/>
  <c r="J123" i="6" s="1"/>
  <c r="B123" i="6"/>
  <c r="CO122" i="6"/>
  <c r="CM122" i="6"/>
  <c r="CG122" i="6"/>
  <c r="CE122" i="6"/>
  <c r="BY122" i="6"/>
  <c r="BW122" i="6"/>
  <c r="BQ122" i="6"/>
  <c r="BO122" i="6"/>
  <c r="BI122" i="6"/>
  <c r="BG122" i="6"/>
  <c r="BA122" i="6"/>
  <c r="AY122" i="6"/>
  <c r="AS122" i="6"/>
  <c r="AS103" i="6" s="1"/>
  <c r="AQ122" i="6"/>
  <c r="AK122" i="6"/>
  <c r="AI122" i="6"/>
  <c r="AC122" i="6"/>
  <c r="AA122" i="6"/>
  <c r="U122" i="6"/>
  <c r="S122" i="6"/>
  <c r="M122" i="6"/>
  <c r="K122" i="6"/>
  <c r="E122" i="6"/>
  <c r="C122" i="6"/>
  <c r="B122" i="6"/>
  <c r="CW121" i="6"/>
  <c r="CU121" i="6"/>
  <c r="CQ121" i="6"/>
  <c r="CI121" i="6"/>
  <c r="CK121" i="6" s="1"/>
  <c r="CA121" i="6"/>
  <c r="BS121" i="6"/>
  <c r="BK121" i="6"/>
  <c r="BC121" i="6"/>
  <c r="BE121" i="6" s="1"/>
  <c r="AU121" i="6"/>
  <c r="AE121" i="6"/>
  <c r="W121" i="6"/>
  <c r="Y121" i="6" s="1"/>
  <c r="O121" i="6"/>
  <c r="G121" i="6"/>
  <c r="J121" i="6" s="1"/>
  <c r="B121" i="6"/>
  <c r="CW120" i="6"/>
  <c r="CU120" i="6"/>
  <c r="CQ120" i="6"/>
  <c r="CS120" i="6" s="1"/>
  <c r="CI120" i="6"/>
  <c r="CA120" i="6"/>
  <c r="BS120" i="6"/>
  <c r="BU120" i="6" s="1"/>
  <c r="BK120" i="6"/>
  <c r="BM120" i="6" s="1"/>
  <c r="BC120" i="6"/>
  <c r="AU120" i="6"/>
  <c r="AX120" i="6" s="1"/>
  <c r="AM120" i="6"/>
  <c r="AO120" i="6" s="1"/>
  <c r="AE120" i="6"/>
  <c r="AG120" i="6" s="1"/>
  <c r="W120" i="6"/>
  <c r="O120" i="6"/>
  <c r="R120" i="6" s="1"/>
  <c r="G120" i="6"/>
  <c r="J120" i="6" s="1"/>
  <c r="B120" i="6"/>
  <c r="CW119" i="6"/>
  <c r="CQ119" i="6"/>
  <c r="CM119" i="6"/>
  <c r="CI119" i="6"/>
  <c r="CK119" i="6" s="1"/>
  <c r="CE119" i="6"/>
  <c r="CA119" i="6"/>
  <c r="BW119" i="6"/>
  <c r="BW117" i="6" s="1"/>
  <c r="BS119" i="6"/>
  <c r="BU119" i="6" s="1"/>
  <c r="BO119" i="6"/>
  <c r="BK119" i="6"/>
  <c r="BM119" i="6" s="1"/>
  <c r="BG119" i="6"/>
  <c r="BC119" i="6"/>
  <c r="AY119" i="6"/>
  <c r="AU119" i="6"/>
  <c r="AQ119" i="6"/>
  <c r="AM119" i="6"/>
  <c r="AE119" i="6"/>
  <c r="AH119" i="6" s="1"/>
  <c r="W119" i="6"/>
  <c r="O119" i="6"/>
  <c r="R119" i="6" s="1"/>
  <c r="G119" i="6"/>
  <c r="B119" i="6"/>
  <c r="CW118" i="6"/>
  <c r="CU118" i="6"/>
  <c r="CQ118" i="6"/>
  <c r="CT118" i="6" s="1"/>
  <c r="CI118" i="6"/>
  <c r="CA118" i="6"/>
  <c r="BS118" i="6"/>
  <c r="BK118" i="6"/>
  <c r="BN118" i="6" s="1"/>
  <c r="BC118" i="6"/>
  <c r="BF118" i="6" s="1"/>
  <c r="AU118" i="6"/>
  <c r="AM118" i="6"/>
  <c r="AE118" i="6"/>
  <c r="W118" i="6"/>
  <c r="O118" i="6"/>
  <c r="Q118" i="6" s="1"/>
  <c r="G118" i="6"/>
  <c r="B118" i="6"/>
  <c r="CO117" i="6"/>
  <c r="CM117" i="6"/>
  <c r="CM113" i="6" s="1"/>
  <c r="CM111" i="6" s="1"/>
  <c r="CM106" i="6" s="1"/>
  <c r="CG117" i="6"/>
  <c r="CE117" i="6"/>
  <c r="BY117" i="6"/>
  <c r="BQ117" i="6"/>
  <c r="BO117" i="6"/>
  <c r="BO113" i="6" s="1"/>
  <c r="BI117" i="6"/>
  <c r="BG117" i="6"/>
  <c r="BA117" i="6"/>
  <c r="AY117" i="6"/>
  <c r="AY113" i="6" s="1"/>
  <c r="AS117" i="6"/>
  <c r="AQ117" i="6"/>
  <c r="AK117" i="6"/>
  <c r="AI117" i="6"/>
  <c r="AC117" i="6"/>
  <c r="AA117" i="6"/>
  <c r="U117" i="6"/>
  <c r="S117" i="6"/>
  <c r="M117" i="6"/>
  <c r="K117" i="6"/>
  <c r="E117" i="6"/>
  <c r="C117" i="6"/>
  <c r="B117" i="6"/>
  <c r="CW116" i="6"/>
  <c r="CU116" i="6"/>
  <c r="CQ116" i="6"/>
  <c r="CI116" i="6"/>
  <c r="CK116" i="6" s="1"/>
  <c r="CA116" i="6"/>
  <c r="CC116" i="6" s="1"/>
  <c r="BS116" i="6"/>
  <c r="BK116" i="6"/>
  <c r="BC116" i="6"/>
  <c r="AU116" i="6"/>
  <c r="AM116" i="6"/>
  <c r="AP116" i="6" s="1"/>
  <c r="AE116" i="6"/>
  <c r="W116" i="6"/>
  <c r="O116" i="6"/>
  <c r="G116" i="6"/>
  <c r="J116" i="6" s="1"/>
  <c r="B116" i="6"/>
  <c r="CW115" i="6"/>
  <c r="CU115" i="6"/>
  <c r="CQ115" i="6"/>
  <c r="CT115" i="6" s="1"/>
  <c r="CI115" i="6"/>
  <c r="CL115" i="6" s="1"/>
  <c r="CA115" i="6"/>
  <c r="CD115" i="6" s="1"/>
  <c r="BS115" i="6"/>
  <c r="BK115" i="6"/>
  <c r="BC115" i="6"/>
  <c r="AU115" i="6"/>
  <c r="AX115" i="6" s="1"/>
  <c r="AM115" i="6"/>
  <c r="AE115" i="6"/>
  <c r="AH115" i="6" s="1"/>
  <c r="W115" i="6"/>
  <c r="O115" i="6"/>
  <c r="Q115" i="6" s="1"/>
  <c r="G115" i="6"/>
  <c r="B115" i="6"/>
  <c r="CW114" i="6"/>
  <c r="CU114" i="6"/>
  <c r="CQ114" i="6"/>
  <c r="CT114" i="6" s="1"/>
  <c r="CI114" i="6"/>
  <c r="CA114" i="6"/>
  <c r="CC114" i="6" s="1"/>
  <c r="BS114" i="6"/>
  <c r="BK114" i="6"/>
  <c r="BC114" i="6"/>
  <c r="AU114" i="6"/>
  <c r="AW114" i="6" s="1"/>
  <c r="AM114" i="6"/>
  <c r="AE114" i="6"/>
  <c r="W114" i="6"/>
  <c r="O114" i="6"/>
  <c r="G114" i="6"/>
  <c r="B114" i="6"/>
  <c r="CW113" i="6"/>
  <c r="CQ113" i="6"/>
  <c r="CI113" i="6"/>
  <c r="CK113" i="6" s="1"/>
  <c r="CA113" i="6"/>
  <c r="CC113" i="6" s="1"/>
  <c r="BW113" i="6"/>
  <c r="BW111" i="6" s="1"/>
  <c r="BW106" i="6" s="1"/>
  <c r="BS113" i="6"/>
  <c r="BK113" i="6"/>
  <c r="BM113" i="6" s="1"/>
  <c r="BG113" i="6"/>
  <c r="BC113" i="6"/>
  <c r="AU113" i="6"/>
  <c r="AW113" i="6" s="1"/>
  <c r="AQ113" i="6"/>
  <c r="AM113" i="6"/>
  <c r="AE113" i="6"/>
  <c r="AG113" i="6" s="1"/>
  <c r="W113" i="6"/>
  <c r="Z113" i="6" s="1"/>
  <c r="O113" i="6"/>
  <c r="Q113" i="6" s="1"/>
  <c r="G113" i="6"/>
  <c r="B113" i="6"/>
  <c r="CW112" i="6"/>
  <c r="CU112" i="6"/>
  <c r="CQ112" i="6"/>
  <c r="CI112" i="6"/>
  <c r="CK112" i="6" s="1"/>
  <c r="CA112" i="6"/>
  <c r="CC112" i="6" s="1"/>
  <c r="BS112" i="6"/>
  <c r="BK112" i="6"/>
  <c r="BN112" i="6" s="1"/>
  <c r="BC112" i="6"/>
  <c r="BE112" i="6" s="1"/>
  <c r="AU112" i="6"/>
  <c r="AW112" i="6" s="1"/>
  <c r="AM112" i="6"/>
  <c r="AP112" i="6" s="1"/>
  <c r="AE112" i="6"/>
  <c r="W112" i="6"/>
  <c r="Y112" i="6" s="1"/>
  <c r="O112" i="6"/>
  <c r="Q112" i="6" s="1"/>
  <c r="G112" i="6"/>
  <c r="B112" i="6"/>
  <c r="CO111" i="6"/>
  <c r="CG111" i="6"/>
  <c r="BY111" i="6"/>
  <c r="BQ111" i="6"/>
  <c r="BI111" i="6"/>
  <c r="BG111" i="6"/>
  <c r="BA111" i="6"/>
  <c r="AS111" i="6"/>
  <c r="AQ111" i="6"/>
  <c r="AQ106" i="6" s="1"/>
  <c r="AK111" i="6"/>
  <c r="AI111" i="6"/>
  <c r="AC111" i="6"/>
  <c r="AA111" i="6"/>
  <c r="U111" i="6"/>
  <c r="S111" i="6"/>
  <c r="M111" i="6"/>
  <c r="K111" i="6"/>
  <c r="E111" i="6"/>
  <c r="C111" i="6"/>
  <c r="B111" i="6"/>
  <c r="CW110" i="6"/>
  <c r="CU110" i="6"/>
  <c r="CQ110" i="6"/>
  <c r="CT110" i="6" s="1"/>
  <c r="CI110" i="6"/>
  <c r="CL110" i="6" s="1"/>
  <c r="CA110" i="6"/>
  <c r="BS110" i="6"/>
  <c r="BK110" i="6"/>
  <c r="BN110" i="6" s="1"/>
  <c r="BC110" i="6"/>
  <c r="BF110" i="6" s="1"/>
  <c r="AU110" i="6"/>
  <c r="AM110" i="6"/>
  <c r="AP110" i="6" s="1"/>
  <c r="AE110" i="6"/>
  <c r="AH110" i="6" s="1"/>
  <c r="W110" i="6"/>
  <c r="O110" i="6"/>
  <c r="Q110" i="6" s="1"/>
  <c r="G110" i="6"/>
  <c r="I110" i="6" s="1"/>
  <c r="B110" i="6"/>
  <c r="CW109" i="6"/>
  <c r="CU109" i="6"/>
  <c r="CQ109" i="6"/>
  <c r="CS109" i="6" s="1"/>
  <c r="CI109" i="6"/>
  <c r="CA109" i="6"/>
  <c r="BS109" i="6"/>
  <c r="BV109" i="6" s="1"/>
  <c r="BK109" i="6"/>
  <c r="BM109" i="6" s="1"/>
  <c r="BC109" i="6"/>
  <c r="AU109" i="6"/>
  <c r="AM109" i="6"/>
  <c r="AP109" i="6" s="1"/>
  <c r="AE109" i="6"/>
  <c r="AG109" i="6" s="1"/>
  <c r="W109" i="6"/>
  <c r="O109" i="6"/>
  <c r="G109" i="6"/>
  <c r="J109" i="6" s="1"/>
  <c r="B109" i="6"/>
  <c r="CW108" i="6"/>
  <c r="CU108" i="6"/>
  <c r="CQ108" i="6"/>
  <c r="CS108" i="6" s="1"/>
  <c r="CI108" i="6"/>
  <c r="CL108" i="6" s="1"/>
  <c r="CA108" i="6"/>
  <c r="BS108" i="6"/>
  <c r="BK108" i="6"/>
  <c r="BC108" i="6"/>
  <c r="BF108" i="6" s="1"/>
  <c r="AU108" i="6"/>
  <c r="AM108" i="6"/>
  <c r="AO108" i="6" s="1"/>
  <c r="AE108" i="6"/>
  <c r="AG108" i="6" s="1"/>
  <c r="W108" i="6"/>
  <c r="Z108" i="6" s="1"/>
  <c r="O108" i="6"/>
  <c r="G108" i="6"/>
  <c r="I108" i="6" s="1"/>
  <c r="B108" i="6"/>
  <c r="CW107" i="6"/>
  <c r="CU107" i="6"/>
  <c r="CQ107" i="6"/>
  <c r="CT107" i="6" s="1"/>
  <c r="CI107" i="6"/>
  <c r="CK107" i="6" s="1"/>
  <c r="CA107" i="6"/>
  <c r="BS107" i="6"/>
  <c r="BU107" i="6" s="1"/>
  <c r="BK107" i="6"/>
  <c r="BN107" i="6" s="1"/>
  <c r="BC107" i="6"/>
  <c r="BE107" i="6" s="1"/>
  <c r="AU107" i="6"/>
  <c r="AM107" i="6"/>
  <c r="AO107" i="6" s="1"/>
  <c r="AE107" i="6"/>
  <c r="AH107" i="6" s="1"/>
  <c r="W107" i="6"/>
  <c r="Y107" i="6" s="1"/>
  <c r="O107" i="6"/>
  <c r="G107" i="6"/>
  <c r="J107" i="6" s="1"/>
  <c r="B107" i="6"/>
  <c r="CW106" i="6"/>
  <c r="CQ106" i="6"/>
  <c r="CS106" i="6" s="1"/>
  <c r="CI106" i="6"/>
  <c r="CK106" i="6" s="1"/>
  <c r="CA106" i="6"/>
  <c r="CC106" i="6" s="1"/>
  <c r="BS106" i="6"/>
  <c r="BU106" i="6" s="1"/>
  <c r="BK106" i="6"/>
  <c r="BN106" i="6" s="1"/>
  <c r="BG106" i="6"/>
  <c r="BG105" i="6" s="1"/>
  <c r="BG104" i="6" s="1"/>
  <c r="BG103" i="6" s="1"/>
  <c r="BC106" i="6"/>
  <c r="AU106" i="6"/>
  <c r="AM106" i="6"/>
  <c r="AO106" i="6" s="1"/>
  <c r="AE106" i="6"/>
  <c r="AH106" i="6" s="1"/>
  <c r="W106" i="6"/>
  <c r="Z106" i="6" s="1"/>
  <c r="O106" i="6"/>
  <c r="G106" i="6"/>
  <c r="I106" i="6" s="1"/>
  <c r="B106" i="6"/>
  <c r="CW105" i="6"/>
  <c r="CQ105" i="6"/>
  <c r="CS105" i="6" s="1"/>
  <c r="CI105" i="6"/>
  <c r="CK105" i="6" s="1"/>
  <c r="CA105" i="6"/>
  <c r="CC105" i="6" s="1"/>
  <c r="BS105" i="6"/>
  <c r="BU105" i="6" s="1"/>
  <c r="BK105" i="6"/>
  <c r="BM105" i="6" s="1"/>
  <c r="BC105" i="6"/>
  <c r="AU105" i="6"/>
  <c r="AM105" i="6"/>
  <c r="AE105" i="6"/>
  <c r="AH105" i="6" s="1"/>
  <c r="W105" i="6"/>
  <c r="Y105" i="6" s="1"/>
  <c r="O105" i="6"/>
  <c r="G105" i="6"/>
  <c r="B105" i="6"/>
  <c r="CO104" i="6"/>
  <c r="CO103" i="6" s="1"/>
  <c r="CG104" i="6"/>
  <c r="BY104" i="6"/>
  <c r="BQ104" i="6"/>
  <c r="BQ103" i="6" s="1"/>
  <c r="BI104" i="6"/>
  <c r="BA104" i="6"/>
  <c r="AS104" i="6"/>
  <c r="AK104" i="6"/>
  <c r="AK103" i="6" s="1"/>
  <c r="AI104" i="6"/>
  <c r="AI103" i="6" s="1"/>
  <c r="AC104" i="6"/>
  <c r="AC103" i="6" s="1"/>
  <c r="AA104" i="6"/>
  <c r="U104" i="6"/>
  <c r="U103" i="6" s="1"/>
  <c r="S104" i="6"/>
  <c r="M104" i="6"/>
  <c r="K104" i="6"/>
  <c r="E104" i="6"/>
  <c r="C104" i="6"/>
  <c r="C103" i="6" s="1"/>
  <c r="B104" i="6"/>
  <c r="BI103" i="6"/>
  <c r="AA103" i="6"/>
  <c r="E103" i="6"/>
  <c r="B103" i="6"/>
  <c r="CW102" i="6"/>
  <c r="CU102" i="6"/>
  <c r="CQ102" i="6"/>
  <c r="CI102" i="6"/>
  <c r="CK102" i="6" s="1"/>
  <c r="CA102" i="6"/>
  <c r="CC102" i="6" s="1"/>
  <c r="BS102" i="6"/>
  <c r="BV102" i="6" s="1"/>
  <c r="BK102" i="6"/>
  <c r="BC102" i="6"/>
  <c r="BF102" i="6" s="1"/>
  <c r="AU102" i="6"/>
  <c r="AM102" i="6"/>
  <c r="AP102" i="6" s="1"/>
  <c r="AE102" i="6"/>
  <c r="W102" i="6"/>
  <c r="Z102" i="6" s="1"/>
  <c r="O102" i="6"/>
  <c r="Q102" i="6" s="1"/>
  <c r="G102" i="6"/>
  <c r="J102" i="6" s="1"/>
  <c r="B102" i="6"/>
  <c r="CW101" i="6"/>
  <c r="CU101" i="6"/>
  <c r="CQ101" i="6"/>
  <c r="CI101" i="6"/>
  <c r="CA101" i="6"/>
  <c r="CD101" i="6" s="1"/>
  <c r="BS101" i="6"/>
  <c r="BV101" i="6" s="1"/>
  <c r="BK101" i="6"/>
  <c r="BC101" i="6"/>
  <c r="AU101" i="6"/>
  <c r="AX101" i="6" s="1"/>
  <c r="AM101" i="6"/>
  <c r="AP101" i="6" s="1"/>
  <c r="AE101" i="6"/>
  <c r="W101" i="6"/>
  <c r="O101" i="6"/>
  <c r="R101" i="6" s="1"/>
  <c r="G101" i="6"/>
  <c r="J101" i="6" s="1"/>
  <c r="B101" i="6"/>
  <c r="CW100" i="6"/>
  <c r="CU100" i="6"/>
  <c r="CQ100" i="6"/>
  <c r="CS100" i="6" s="1"/>
  <c r="CI100" i="6"/>
  <c r="CA100" i="6"/>
  <c r="CD100" i="6" s="1"/>
  <c r="BS100" i="6"/>
  <c r="BU100" i="6" s="1"/>
  <c r="BK100" i="6"/>
  <c r="BC100" i="6"/>
  <c r="AU100" i="6"/>
  <c r="AX100" i="6" s="1"/>
  <c r="AM100" i="6"/>
  <c r="AO100" i="6" s="1"/>
  <c r="AE100" i="6"/>
  <c r="AH100" i="6" s="1"/>
  <c r="W100" i="6"/>
  <c r="O100" i="6"/>
  <c r="G100" i="6"/>
  <c r="J100" i="6" s="1"/>
  <c r="B100" i="6"/>
  <c r="CW99" i="6"/>
  <c r="CU99" i="6"/>
  <c r="CQ99" i="6"/>
  <c r="CT99" i="6" s="1"/>
  <c r="CI99" i="6"/>
  <c r="CA99" i="6"/>
  <c r="CC99" i="6" s="1"/>
  <c r="BS99" i="6"/>
  <c r="BK99" i="6"/>
  <c r="BN99" i="6" s="1"/>
  <c r="BC99" i="6"/>
  <c r="AU99" i="6"/>
  <c r="AW99" i="6" s="1"/>
  <c r="AM99" i="6"/>
  <c r="AE99" i="6"/>
  <c r="AG99" i="6" s="1"/>
  <c r="W99" i="6"/>
  <c r="O99" i="6"/>
  <c r="G99" i="6"/>
  <c r="B99" i="6"/>
  <c r="CW98" i="6"/>
  <c r="CU98" i="6"/>
  <c r="CQ98" i="6"/>
  <c r="CI98" i="6"/>
  <c r="CK98" i="6" s="1"/>
  <c r="CA98" i="6"/>
  <c r="BS98" i="6"/>
  <c r="BV98" i="6" s="1"/>
  <c r="BK98" i="6"/>
  <c r="BM98" i="6" s="1"/>
  <c r="BC98" i="6"/>
  <c r="BF98" i="6" s="1"/>
  <c r="AU98" i="6"/>
  <c r="AM98" i="6"/>
  <c r="AO98" i="6" s="1"/>
  <c r="AE98" i="6"/>
  <c r="AG98" i="6" s="1"/>
  <c r="W98" i="6"/>
  <c r="Z98" i="6" s="1"/>
  <c r="O98" i="6"/>
  <c r="G98" i="6"/>
  <c r="B98" i="6"/>
  <c r="CW97" i="6"/>
  <c r="CU97" i="6"/>
  <c r="CQ97" i="6"/>
  <c r="CT97" i="6" s="1"/>
  <c r="CI97" i="6"/>
  <c r="CL97" i="6" s="1"/>
  <c r="CA97" i="6"/>
  <c r="BS97" i="6"/>
  <c r="BU97" i="6" s="1"/>
  <c r="BK97" i="6"/>
  <c r="BN97" i="6" s="1"/>
  <c r="BC97" i="6"/>
  <c r="AU97" i="6"/>
  <c r="AM97" i="6"/>
  <c r="AO97" i="6" s="1"/>
  <c r="AE97" i="6"/>
  <c r="AH97" i="6" s="1"/>
  <c r="W97" i="6"/>
  <c r="Z97" i="6" s="1"/>
  <c r="O97" i="6"/>
  <c r="G97" i="6"/>
  <c r="J97" i="6" s="1"/>
  <c r="B97" i="6"/>
  <c r="CW96" i="6"/>
  <c r="CU96" i="6"/>
  <c r="CQ96" i="6"/>
  <c r="CT96" i="6" s="1"/>
  <c r="CI96" i="6"/>
  <c r="CK96" i="6" s="1"/>
  <c r="CA96" i="6"/>
  <c r="CD96" i="6" s="1"/>
  <c r="BS96" i="6"/>
  <c r="BK96" i="6"/>
  <c r="BC96" i="6"/>
  <c r="BE96" i="6" s="1"/>
  <c r="AU96" i="6"/>
  <c r="AW96" i="6" s="1"/>
  <c r="AM96" i="6"/>
  <c r="AE96" i="6"/>
  <c r="AH96" i="6" s="1"/>
  <c r="W96" i="6"/>
  <c r="O96" i="6"/>
  <c r="R96" i="6" s="1"/>
  <c r="G96" i="6"/>
  <c r="B96" i="6"/>
  <c r="CW95" i="6"/>
  <c r="CQ95" i="6"/>
  <c r="CS95" i="6" s="1"/>
  <c r="CI95" i="6"/>
  <c r="CK95" i="6" s="1"/>
  <c r="CA95" i="6"/>
  <c r="CC95" i="6" s="1"/>
  <c r="BS95" i="6"/>
  <c r="BU95" i="6" s="1"/>
  <c r="BK95" i="6"/>
  <c r="BM95" i="6" s="1"/>
  <c r="BC95" i="6"/>
  <c r="BE95" i="6" s="1"/>
  <c r="AU95" i="6"/>
  <c r="AM95" i="6"/>
  <c r="AE95" i="6"/>
  <c r="AG95" i="6" s="1"/>
  <c r="W95" i="6"/>
  <c r="Y95" i="6" s="1"/>
  <c r="O95" i="6"/>
  <c r="Q95" i="6" s="1"/>
  <c r="G95" i="6"/>
  <c r="B95" i="6"/>
  <c r="CW94" i="6"/>
  <c r="CU94" i="6"/>
  <c r="CQ94" i="6"/>
  <c r="CI94" i="6"/>
  <c r="CL94" i="6" s="1"/>
  <c r="CA94" i="6"/>
  <c r="CC94" i="6" s="1"/>
  <c r="BS94" i="6"/>
  <c r="BK94" i="6"/>
  <c r="BC94" i="6"/>
  <c r="BF94" i="6" s="1"/>
  <c r="AU94" i="6"/>
  <c r="AW94" i="6" s="1"/>
  <c r="AM94" i="6"/>
  <c r="AE94" i="6"/>
  <c r="W94" i="6"/>
  <c r="O94" i="6"/>
  <c r="Q94" i="6" s="1"/>
  <c r="G94" i="6"/>
  <c r="B94" i="6"/>
  <c r="AI93" i="6"/>
  <c r="AA93" i="6"/>
  <c r="S93" i="6"/>
  <c r="M93" i="6"/>
  <c r="K93" i="6"/>
  <c r="E93" i="6"/>
  <c r="C93" i="6"/>
  <c r="B93" i="6"/>
  <c r="CW92" i="6"/>
  <c r="CU92" i="6"/>
  <c r="CQ92" i="6"/>
  <c r="CI92" i="6"/>
  <c r="CL92" i="6" s="1"/>
  <c r="CA92" i="6"/>
  <c r="CD92" i="6" s="1"/>
  <c r="BS92" i="6"/>
  <c r="BK92" i="6"/>
  <c r="BM92" i="6" s="1"/>
  <c r="BC92" i="6"/>
  <c r="BF92" i="6" s="1"/>
  <c r="AU92" i="6"/>
  <c r="AX92" i="6" s="1"/>
  <c r="AM92" i="6"/>
  <c r="AE92" i="6"/>
  <c r="AG92" i="6" s="1"/>
  <c r="W92" i="6"/>
  <c r="O92" i="6"/>
  <c r="G92" i="6"/>
  <c r="B92" i="6"/>
  <c r="CW91" i="6"/>
  <c r="CU91" i="6"/>
  <c r="CQ91" i="6"/>
  <c r="CI91" i="6"/>
  <c r="CA91" i="6"/>
  <c r="CC91" i="6" s="1"/>
  <c r="BS91" i="6"/>
  <c r="BK91" i="6"/>
  <c r="BC91" i="6"/>
  <c r="BF91" i="6" s="1"/>
  <c r="AU91" i="6"/>
  <c r="AW91" i="6" s="1"/>
  <c r="AM91" i="6"/>
  <c r="AE91" i="6"/>
  <c r="W91" i="6"/>
  <c r="Y91" i="6" s="1"/>
  <c r="O91" i="6"/>
  <c r="Q91" i="6" s="1"/>
  <c r="G91" i="6"/>
  <c r="B91" i="6"/>
  <c r="CW90" i="6"/>
  <c r="CU90" i="6"/>
  <c r="CQ90" i="6"/>
  <c r="CI90" i="6"/>
  <c r="CA90" i="6"/>
  <c r="BS90" i="6"/>
  <c r="BV90" i="6" s="1"/>
  <c r="BK90" i="6"/>
  <c r="BC90" i="6"/>
  <c r="AU90" i="6"/>
  <c r="AX90" i="6" s="1"/>
  <c r="AM90" i="6"/>
  <c r="AE90" i="6"/>
  <c r="W90" i="6"/>
  <c r="Y90" i="6" s="1"/>
  <c r="O90" i="6"/>
  <c r="R90" i="6" s="1"/>
  <c r="G90" i="6"/>
  <c r="I90" i="6" s="1"/>
  <c r="B90" i="6"/>
  <c r="CW89" i="6"/>
  <c r="CU89" i="6"/>
  <c r="CQ89" i="6"/>
  <c r="CT89" i="6" s="1"/>
  <c r="CI89" i="6"/>
  <c r="CA89" i="6"/>
  <c r="CD89" i="6" s="1"/>
  <c r="BS89" i="6"/>
  <c r="BU89" i="6" s="1"/>
  <c r="BK89" i="6"/>
  <c r="BM89" i="6" s="1"/>
  <c r="BC89" i="6"/>
  <c r="AU89" i="6"/>
  <c r="AX89" i="6" s="1"/>
  <c r="AM89" i="6"/>
  <c r="AO89" i="6" s="1"/>
  <c r="AE89" i="6"/>
  <c r="W89" i="6"/>
  <c r="O89" i="6"/>
  <c r="R89" i="6" s="1"/>
  <c r="G89" i="6"/>
  <c r="J89" i="6" s="1"/>
  <c r="B89" i="6"/>
  <c r="CW88" i="6"/>
  <c r="CU88" i="6"/>
  <c r="CQ88" i="6"/>
  <c r="CS88" i="6" s="1"/>
  <c r="CI88" i="6"/>
  <c r="CF88" i="6"/>
  <c r="CA88" i="6"/>
  <c r="CC88" i="6" s="1"/>
  <c r="BS88" i="6"/>
  <c r="BU88" i="6" s="1"/>
  <c r="BK88" i="6"/>
  <c r="BC88" i="6"/>
  <c r="AU88" i="6"/>
  <c r="AW88" i="6" s="1"/>
  <c r="AM88" i="6"/>
  <c r="AP88" i="6" s="1"/>
  <c r="AE88" i="6"/>
  <c r="AH88" i="6" s="1"/>
  <c r="W88" i="6"/>
  <c r="O88" i="6"/>
  <c r="Q88" i="6" s="1"/>
  <c r="G88" i="6"/>
  <c r="J88" i="6" s="1"/>
  <c r="B88" i="6"/>
  <c r="CW87" i="6"/>
  <c r="CU87" i="6"/>
  <c r="CQ87" i="6"/>
  <c r="CI87" i="6"/>
  <c r="CL87" i="6" s="1"/>
  <c r="CA87" i="6"/>
  <c r="BS87" i="6"/>
  <c r="BV87" i="6" s="1"/>
  <c r="BK87" i="6"/>
  <c r="BC87" i="6"/>
  <c r="AU87" i="6"/>
  <c r="AM87" i="6"/>
  <c r="AP87" i="6" s="1"/>
  <c r="AE87" i="6"/>
  <c r="AG87" i="6" s="1"/>
  <c r="W87" i="6"/>
  <c r="Z87" i="6" s="1"/>
  <c r="O87" i="6"/>
  <c r="G87" i="6"/>
  <c r="B87" i="6"/>
  <c r="CW86" i="6"/>
  <c r="CU86" i="6"/>
  <c r="CQ86" i="6"/>
  <c r="CT86" i="6" s="1"/>
  <c r="CI86" i="6"/>
  <c r="CA86" i="6"/>
  <c r="CD86" i="6" s="1"/>
  <c r="BS86" i="6"/>
  <c r="BV86" i="6" s="1"/>
  <c r="BK86" i="6"/>
  <c r="BN86" i="6" s="1"/>
  <c r="BC86" i="6"/>
  <c r="BF86" i="6" s="1"/>
  <c r="AU86" i="6"/>
  <c r="AM86" i="6"/>
  <c r="AE86" i="6"/>
  <c r="AH86" i="6" s="1"/>
  <c r="W86" i="6"/>
  <c r="O86" i="6"/>
  <c r="R86" i="6" s="1"/>
  <c r="G86" i="6"/>
  <c r="J86" i="6" s="1"/>
  <c r="B86" i="6"/>
  <c r="CW85" i="6"/>
  <c r="CU85" i="6"/>
  <c r="CQ85" i="6"/>
  <c r="CI85" i="6"/>
  <c r="CA85" i="6"/>
  <c r="CC85" i="6" s="1"/>
  <c r="BS85" i="6"/>
  <c r="BK85" i="6"/>
  <c r="BN85" i="6" s="1"/>
  <c r="BC85" i="6"/>
  <c r="AU85" i="6"/>
  <c r="AW85" i="6" s="1"/>
  <c r="AM85" i="6"/>
  <c r="AE85" i="6"/>
  <c r="AH85" i="6" s="1"/>
  <c r="W85" i="6"/>
  <c r="Y85" i="6" s="1"/>
  <c r="O85" i="6"/>
  <c r="R85" i="6" s="1"/>
  <c r="G85" i="6"/>
  <c r="B85" i="6"/>
  <c r="CW84" i="6"/>
  <c r="CU84" i="6"/>
  <c r="CQ84" i="6"/>
  <c r="CT84" i="6" s="1"/>
  <c r="CI84" i="6"/>
  <c r="CL84" i="6" s="1"/>
  <c r="CA84" i="6"/>
  <c r="CC84" i="6" s="1"/>
  <c r="BS84" i="6"/>
  <c r="BK84" i="6"/>
  <c r="BC84" i="6"/>
  <c r="BF84" i="6" s="1"/>
  <c r="AU84" i="6"/>
  <c r="AM84" i="6"/>
  <c r="AP84" i="6" s="1"/>
  <c r="AE84" i="6"/>
  <c r="AH84" i="6" s="1"/>
  <c r="W84" i="6"/>
  <c r="Z84" i="6" s="1"/>
  <c r="O84" i="6"/>
  <c r="R84" i="6" s="1"/>
  <c r="G84" i="6"/>
  <c r="B84" i="6"/>
  <c r="CW83" i="6"/>
  <c r="CU83" i="6"/>
  <c r="CQ83" i="6"/>
  <c r="CI83" i="6"/>
  <c r="CL83" i="6" s="1"/>
  <c r="CA83" i="6"/>
  <c r="CC83" i="6" s="1"/>
  <c r="BS83" i="6"/>
  <c r="BV83" i="6" s="1"/>
  <c r="BK83" i="6"/>
  <c r="BC83" i="6"/>
  <c r="BE83" i="6" s="1"/>
  <c r="AU83" i="6"/>
  <c r="AW83" i="6" s="1"/>
  <c r="AM83" i="6"/>
  <c r="AP83" i="6" s="1"/>
  <c r="AE83" i="6"/>
  <c r="W83" i="6"/>
  <c r="Z83" i="6" s="1"/>
  <c r="O83" i="6"/>
  <c r="G83" i="6"/>
  <c r="J83" i="6" s="1"/>
  <c r="B83" i="6"/>
  <c r="CW82" i="6"/>
  <c r="CQ82" i="6"/>
  <c r="CS82" i="6" s="1"/>
  <c r="CI82" i="6"/>
  <c r="CA82" i="6"/>
  <c r="BS82" i="6"/>
  <c r="BU82" i="6" s="1"/>
  <c r="BK82" i="6"/>
  <c r="BM82" i="6" s="1"/>
  <c r="BC82" i="6"/>
  <c r="BE82" i="6" s="1"/>
  <c r="AU82" i="6"/>
  <c r="AW82" i="6" s="1"/>
  <c r="AM82" i="6"/>
  <c r="AP82" i="6" s="1"/>
  <c r="AE82" i="6"/>
  <c r="W82" i="6"/>
  <c r="Z82" i="6" s="1"/>
  <c r="O82" i="6"/>
  <c r="Q82" i="6" s="1"/>
  <c r="G82" i="6"/>
  <c r="J82" i="6" s="1"/>
  <c r="B82" i="6"/>
  <c r="CW81" i="6"/>
  <c r="CU81" i="6"/>
  <c r="CQ81" i="6"/>
  <c r="CT81" i="6" s="1"/>
  <c r="CI81" i="6"/>
  <c r="CA81" i="6"/>
  <c r="CD81" i="6" s="1"/>
  <c r="BS81" i="6"/>
  <c r="BV81" i="6" s="1"/>
  <c r="BK81" i="6"/>
  <c r="BN81" i="6" s="1"/>
  <c r="BC81" i="6"/>
  <c r="BF81" i="6" s="1"/>
  <c r="AU81" i="6"/>
  <c r="AM81" i="6"/>
  <c r="AE81" i="6"/>
  <c r="AH81" i="6" s="1"/>
  <c r="W81" i="6"/>
  <c r="Z81" i="6" s="1"/>
  <c r="O81" i="6"/>
  <c r="Q81" i="6" s="1"/>
  <c r="G81" i="6"/>
  <c r="J81" i="6" s="1"/>
  <c r="B81" i="6"/>
  <c r="AI80" i="6"/>
  <c r="AA80" i="6"/>
  <c r="S80" i="6"/>
  <c r="M80" i="6"/>
  <c r="K80" i="6"/>
  <c r="E80" i="6"/>
  <c r="C80" i="6"/>
  <c r="B80" i="6"/>
  <c r="CW79" i="6"/>
  <c r="CU79" i="6"/>
  <c r="CQ79" i="6"/>
  <c r="CT79" i="6" s="1"/>
  <c r="CI79" i="6"/>
  <c r="CA79" i="6"/>
  <c r="CD79" i="6" s="1"/>
  <c r="BS79" i="6"/>
  <c r="BV79" i="6" s="1"/>
  <c r="BK79" i="6"/>
  <c r="BC79" i="6"/>
  <c r="BF79" i="6" s="1"/>
  <c r="AU79" i="6"/>
  <c r="AW79" i="6" s="1"/>
  <c r="AM79" i="6"/>
  <c r="AP79" i="6" s="1"/>
  <c r="AE79" i="6"/>
  <c r="W79" i="6"/>
  <c r="O79" i="6"/>
  <c r="R79" i="6" s="1"/>
  <c r="G79" i="6"/>
  <c r="B79" i="6"/>
  <c r="CW78" i="6"/>
  <c r="CU78" i="6"/>
  <c r="CQ78" i="6"/>
  <c r="CT78" i="6" s="1"/>
  <c r="CI78" i="6"/>
  <c r="CA78" i="6"/>
  <c r="CC78" i="6" s="1"/>
  <c r="BS78" i="6"/>
  <c r="BV78" i="6" s="1"/>
  <c r="BK78" i="6"/>
  <c r="BC78" i="6"/>
  <c r="AU78" i="6"/>
  <c r="AM78" i="6"/>
  <c r="AE78" i="6"/>
  <c r="AG78" i="6" s="1"/>
  <c r="W78" i="6"/>
  <c r="O78" i="6"/>
  <c r="R78" i="6" s="1"/>
  <c r="G78" i="6"/>
  <c r="I78" i="6" s="1"/>
  <c r="B78" i="6"/>
  <c r="CW77" i="6"/>
  <c r="CU77" i="6"/>
  <c r="CQ77" i="6"/>
  <c r="CT77" i="6" s="1"/>
  <c r="CI77" i="6"/>
  <c r="CL77" i="6" s="1"/>
  <c r="CA77" i="6"/>
  <c r="CD77" i="6" s="1"/>
  <c r="BS77" i="6"/>
  <c r="BV77" i="6" s="1"/>
  <c r="BK77" i="6"/>
  <c r="BN77" i="6" s="1"/>
  <c r="BC77" i="6"/>
  <c r="BF77" i="6" s="1"/>
  <c r="AU77" i="6"/>
  <c r="AM77" i="6"/>
  <c r="AP77" i="6" s="1"/>
  <c r="AE77" i="6"/>
  <c r="AH77" i="6" s="1"/>
  <c r="W77" i="6"/>
  <c r="O77" i="6"/>
  <c r="G77" i="6"/>
  <c r="J77" i="6" s="1"/>
  <c r="B77" i="6"/>
  <c r="CW76" i="6"/>
  <c r="CU76" i="6"/>
  <c r="CQ76" i="6"/>
  <c r="CT76" i="6" s="1"/>
  <c r="CI76" i="6"/>
  <c r="CL76" i="6" s="1"/>
  <c r="CA76" i="6"/>
  <c r="CD76" i="6" s="1"/>
  <c r="BS76" i="6"/>
  <c r="BK76" i="6"/>
  <c r="BN76" i="6" s="1"/>
  <c r="BC76" i="6"/>
  <c r="BE76" i="6" s="1"/>
  <c r="AU76" i="6"/>
  <c r="AX76" i="6" s="1"/>
  <c r="AM76" i="6"/>
  <c r="AO76" i="6" s="1"/>
  <c r="AE76" i="6"/>
  <c r="AH76" i="6" s="1"/>
  <c r="W76" i="6"/>
  <c r="Y76" i="6" s="1"/>
  <c r="O76" i="6"/>
  <c r="G76" i="6"/>
  <c r="B76" i="6"/>
  <c r="CW75" i="6"/>
  <c r="CU75" i="6"/>
  <c r="CQ75" i="6"/>
  <c r="CT75" i="6" s="1"/>
  <c r="CI75" i="6"/>
  <c r="CL75" i="6" s="1"/>
  <c r="CA75" i="6"/>
  <c r="CD75" i="6" s="1"/>
  <c r="BS75" i="6"/>
  <c r="BU75" i="6" s="1"/>
  <c r="BK75" i="6"/>
  <c r="BC75" i="6"/>
  <c r="BE75" i="6" s="1"/>
  <c r="AU75" i="6"/>
  <c r="AX75" i="6" s="1"/>
  <c r="AM75" i="6"/>
  <c r="AO75" i="6" s="1"/>
  <c r="AE75" i="6"/>
  <c r="AH75" i="6" s="1"/>
  <c r="W75" i="6"/>
  <c r="O75" i="6"/>
  <c r="Q75" i="6" s="1"/>
  <c r="G75" i="6"/>
  <c r="J75" i="6" s="1"/>
  <c r="B75" i="6"/>
  <c r="CW74" i="6"/>
  <c r="CU74" i="6"/>
  <c r="CQ74" i="6"/>
  <c r="CS74" i="6" s="1"/>
  <c r="CI74" i="6"/>
  <c r="CA74" i="6"/>
  <c r="BS74" i="6"/>
  <c r="BV74" i="6" s="1"/>
  <c r="BK74" i="6"/>
  <c r="BM74" i="6" s="1"/>
  <c r="BC74" i="6"/>
  <c r="BE74" i="6" s="1"/>
  <c r="AU74" i="6"/>
  <c r="AW74" i="6" s="1"/>
  <c r="AM74" i="6"/>
  <c r="AP74" i="6" s="1"/>
  <c r="AE74" i="6"/>
  <c r="AH74" i="6" s="1"/>
  <c r="W74" i="6"/>
  <c r="O74" i="6"/>
  <c r="R74" i="6" s="1"/>
  <c r="G74" i="6"/>
  <c r="J74" i="6" s="1"/>
  <c r="B74" i="6"/>
  <c r="CW73" i="6"/>
  <c r="CU73" i="6"/>
  <c r="CQ73" i="6"/>
  <c r="CS73" i="6" s="1"/>
  <c r="CI73" i="6"/>
  <c r="CK73" i="6" s="1"/>
  <c r="CA73" i="6"/>
  <c r="BS73" i="6"/>
  <c r="BK73" i="6"/>
  <c r="BC73" i="6"/>
  <c r="BF73" i="6" s="1"/>
  <c r="AU73" i="6"/>
  <c r="AM73" i="6"/>
  <c r="AE73" i="6"/>
  <c r="W73" i="6"/>
  <c r="Z73" i="6" s="1"/>
  <c r="O73" i="6"/>
  <c r="G73" i="6"/>
  <c r="B73" i="6"/>
  <c r="CW72" i="6"/>
  <c r="CU72" i="6"/>
  <c r="CQ72" i="6"/>
  <c r="CT72" i="6" s="1"/>
  <c r="CI72" i="6"/>
  <c r="CL72" i="6" s="1"/>
  <c r="CA72" i="6"/>
  <c r="BS72" i="6"/>
  <c r="BU72" i="6" s="1"/>
  <c r="BK72" i="6"/>
  <c r="BN72" i="6" s="1"/>
  <c r="BC72" i="6"/>
  <c r="BF72" i="6" s="1"/>
  <c r="AU72" i="6"/>
  <c r="AM72" i="6"/>
  <c r="AP72" i="6" s="1"/>
  <c r="AE72" i="6"/>
  <c r="AH72" i="6" s="1"/>
  <c r="W72" i="6"/>
  <c r="Y72" i="6" s="1"/>
  <c r="O72" i="6"/>
  <c r="R72" i="6" s="1"/>
  <c r="G72" i="6"/>
  <c r="J72" i="6" s="1"/>
  <c r="B72" i="6"/>
  <c r="CW71" i="6"/>
  <c r="CU71" i="6"/>
  <c r="CQ71" i="6"/>
  <c r="CI71" i="6"/>
  <c r="CK71" i="6" s="1"/>
  <c r="CA71" i="6"/>
  <c r="CD71" i="6" s="1"/>
  <c r="BS71" i="6"/>
  <c r="BK71" i="6"/>
  <c r="BC71" i="6"/>
  <c r="BE71" i="6" s="1"/>
  <c r="AU71" i="6"/>
  <c r="AX71" i="6" s="1"/>
  <c r="AM71" i="6"/>
  <c r="AO71" i="6" s="1"/>
  <c r="AE71" i="6"/>
  <c r="W71" i="6"/>
  <c r="O71" i="6"/>
  <c r="R71" i="6" s="1"/>
  <c r="G71" i="6"/>
  <c r="I71" i="6" s="1"/>
  <c r="B71" i="6"/>
  <c r="CW70" i="6"/>
  <c r="CU70" i="6"/>
  <c r="CQ70" i="6"/>
  <c r="CT70" i="6" s="1"/>
  <c r="CI70" i="6"/>
  <c r="CL70" i="6" s="1"/>
  <c r="CA70" i="6"/>
  <c r="CD70" i="6" s="1"/>
  <c r="BS70" i="6"/>
  <c r="BU70" i="6" s="1"/>
  <c r="BK70" i="6"/>
  <c r="BN70" i="6" s="1"/>
  <c r="BC70" i="6"/>
  <c r="BF70" i="6" s="1"/>
  <c r="AU70" i="6"/>
  <c r="AX70" i="6" s="1"/>
  <c r="AM70" i="6"/>
  <c r="AE70" i="6"/>
  <c r="AG70" i="6" s="1"/>
  <c r="W70" i="6"/>
  <c r="Z70" i="6" s="1"/>
  <c r="O70" i="6"/>
  <c r="R70" i="6" s="1"/>
  <c r="G70" i="6"/>
  <c r="B70" i="6"/>
  <c r="CW69" i="6"/>
  <c r="CU69" i="6"/>
  <c r="CQ69" i="6"/>
  <c r="CS69" i="6" s="1"/>
  <c r="CI69" i="6"/>
  <c r="CA69" i="6"/>
  <c r="CC69" i="6" s="1"/>
  <c r="BS69" i="6"/>
  <c r="BU69" i="6" s="1"/>
  <c r="BK69" i="6"/>
  <c r="BM69" i="6" s="1"/>
  <c r="BC69" i="6"/>
  <c r="AU69" i="6"/>
  <c r="AW69" i="6" s="1"/>
  <c r="AM69" i="6"/>
  <c r="AO69" i="6" s="1"/>
  <c r="AE69" i="6"/>
  <c r="W69" i="6"/>
  <c r="O69" i="6"/>
  <c r="Q69" i="6" s="1"/>
  <c r="G69" i="6"/>
  <c r="J69" i="6" s="1"/>
  <c r="B69" i="6"/>
  <c r="CO68" i="6"/>
  <c r="CO52" i="6" s="1"/>
  <c r="CM68" i="6"/>
  <c r="CG68" i="6"/>
  <c r="CE68" i="6"/>
  <c r="BY68" i="6"/>
  <c r="BW68" i="6"/>
  <c r="BQ68" i="6"/>
  <c r="BO68" i="6"/>
  <c r="BI68" i="6"/>
  <c r="BI52" i="6" s="1"/>
  <c r="BG68" i="6"/>
  <c r="BA68" i="6"/>
  <c r="BA52" i="6" s="1"/>
  <c r="AY68" i="6"/>
  <c r="AS68" i="6"/>
  <c r="AQ68" i="6"/>
  <c r="AK68" i="6"/>
  <c r="AI68" i="6"/>
  <c r="AC68" i="6"/>
  <c r="AC52" i="6" s="1"/>
  <c r="AC51" i="6" s="1"/>
  <c r="AA68" i="6"/>
  <c r="U68" i="6"/>
  <c r="U52" i="6" s="1"/>
  <c r="S68" i="6"/>
  <c r="M68" i="6"/>
  <c r="K68" i="6"/>
  <c r="E68" i="6"/>
  <c r="C68" i="6"/>
  <c r="B68" i="6"/>
  <c r="CW67" i="6"/>
  <c r="CU67" i="6"/>
  <c r="CQ67" i="6"/>
  <c r="CT67" i="6" s="1"/>
  <c r="CI67" i="6"/>
  <c r="CK67" i="6" s="1"/>
  <c r="CA67" i="6"/>
  <c r="BS67" i="6"/>
  <c r="BV67" i="6" s="1"/>
  <c r="BK67" i="6"/>
  <c r="BM67" i="6" s="1"/>
  <c r="BC67" i="6"/>
  <c r="BE67" i="6" s="1"/>
  <c r="AU67" i="6"/>
  <c r="AW67" i="6" s="1"/>
  <c r="AM67" i="6"/>
  <c r="AE67" i="6"/>
  <c r="AH67" i="6" s="1"/>
  <c r="W67" i="6"/>
  <c r="O67" i="6"/>
  <c r="G67" i="6"/>
  <c r="B67" i="6"/>
  <c r="CW66" i="6"/>
  <c r="CU66" i="6"/>
  <c r="CQ66" i="6"/>
  <c r="CT66" i="6" s="1"/>
  <c r="CI66" i="6"/>
  <c r="CA66" i="6"/>
  <c r="CD66" i="6" s="1"/>
  <c r="BS66" i="6"/>
  <c r="BV66" i="6" s="1"/>
  <c r="BK66" i="6"/>
  <c r="BM66" i="6" s="1"/>
  <c r="BC66" i="6"/>
  <c r="BE66" i="6" s="1"/>
  <c r="AU66" i="6"/>
  <c r="AX66" i="6" s="1"/>
  <c r="AM66" i="6"/>
  <c r="AP66" i="6" s="1"/>
  <c r="AE66" i="6"/>
  <c r="W66" i="6"/>
  <c r="Y66" i="6" s="1"/>
  <c r="O66" i="6"/>
  <c r="G66" i="6"/>
  <c r="J66" i="6" s="1"/>
  <c r="B66" i="6"/>
  <c r="CW65" i="6"/>
  <c r="CU65" i="6"/>
  <c r="CQ65" i="6"/>
  <c r="CT65" i="6" s="1"/>
  <c r="CI65" i="6"/>
  <c r="CL65" i="6" s="1"/>
  <c r="CA65" i="6"/>
  <c r="CC65" i="6" s="1"/>
  <c r="BS65" i="6"/>
  <c r="BK65" i="6"/>
  <c r="BC65" i="6"/>
  <c r="AU65" i="6"/>
  <c r="AM65" i="6"/>
  <c r="AE65" i="6"/>
  <c r="AH65" i="6" s="1"/>
  <c r="W65" i="6"/>
  <c r="Z65" i="6" s="1"/>
  <c r="O65" i="6"/>
  <c r="G65" i="6"/>
  <c r="I65" i="6" s="1"/>
  <c r="B65" i="6"/>
  <c r="CM64" i="6"/>
  <c r="CE64" i="6"/>
  <c r="BW64" i="6"/>
  <c r="BO64" i="6"/>
  <c r="BG64" i="6"/>
  <c r="AY64" i="6"/>
  <c r="AY52" i="6" s="1"/>
  <c r="AQ64" i="6"/>
  <c r="AQ52" i="6" s="1"/>
  <c r="AI64" i="6"/>
  <c r="AA64" i="6"/>
  <c r="S64" i="6"/>
  <c r="M64" i="6"/>
  <c r="K64" i="6"/>
  <c r="E64" i="6"/>
  <c r="CW64" i="6" s="1"/>
  <c r="C64" i="6"/>
  <c r="B64" i="6"/>
  <c r="CW63" i="6"/>
  <c r="CU63" i="6"/>
  <c r="CQ63" i="6"/>
  <c r="CT63" i="6" s="1"/>
  <c r="CI63" i="6"/>
  <c r="CL63" i="6" s="1"/>
  <c r="CA63" i="6"/>
  <c r="CC63" i="6" s="1"/>
  <c r="BS63" i="6"/>
  <c r="BK63" i="6"/>
  <c r="BN63" i="6" s="1"/>
  <c r="BC63" i="6"/>
  <c r="AU63" i="6"/>
  <c r="AW63" i="6" s="1"/>
  <c r="AM63" i="6"/>
  <c r="AO63" i="6" s="1"/>
  <c r="AE63" i="6"/>
  <c r="W63" i="6"/>
  <c r="O63" i="6"/>
  <c r="Q63" i="6" s="1"/>
  <c r="G63" i="6"/>
  <c r="B63" i="6"/>
  <c r="CW62" i="6"/>
  <c r="CU62" i="6"/>
  <c r="CQ62" i="6"/>
  <c r="CT62" i="6" s="1"/>
  <c r="CI62" i="6"/>
  <c r="CL62" i="6" s="1"/>
  <c r="CA62" i="6"/>
  <c r="CC62" i="6" s="1"/>
  <c r="BS62" i="6"/>
  <c r="BK62" i="6"/>
  <c r="BN62" i="6" s="1"/>
  <c r="BC62" i="6"/>
  <c r="BF62" i="6" s="1"/>
  <c r="AU62" i="6"/>
  <c r="AM62" i="6"/>
  <c r="AE62" i="6"/>
  <c r="AH62" i="6" s="1"/>
  <c r="W62" i="6"/>
  <c r="Z62" i="6" s="1"/>
  <c r="O62" i="6"/>
  <c r="Q62" i="6" s="1"/>
  <c r="G62" i="6"/>
  <c r="I62" i="6" s="1"/>
  <c r="B62" i="6"/>
  <c r="CW61" i="6"/>
  <c r="CU61" i="6"/>
  <c r="CQ61" i="6"/>
  <c r="CS61" i="6" s="1"/>
  <c r="CI61" i="6"/>
  <c r="CL61" i="6" s="1"/>
  <c r="CA61" i="6"/>
  <c r="BS61" i="6"/>
  <c r="BU61" i="6" s="1"/>
  <c r="BK61" i="6"/>
  <c r="BC61" i="6"/>
  <c r="AU61" i="6"/>
  <c r="AX61" i="6" s="1"/>
  <c r="AM61" i="6"/>
  <c r="AE61" i="6"/>
  <c r="W61" i="6"/>
  <c r="O61" i="6"/>
  <c r="G61" i="6"/>
  <c r="I61" i="6" s="1"/>
  <c r="B61" i="6"/>
  <c r="CW60" i="6"/>
  <c r="CU60" i="6"/>
  <c r="CQ60" i="6"/>
  <c r="CN60" i="6"/>
  <c r="CI60" i="6"/>
  <c r="CL60" i="6" s="1"/>
  <c r="CA60" i="6"/>
  <c r="CD60" i="6" s="1"/>
  <c r="BS60" i="6"/>
  <c r="BU60" i="6" s="1"/>
  <c r="BK60" i="6"/>
  <c r="BN60" i="6" s="1"/>
  <c r="BC60" i="6"/>
  <c r="BF60" i="6" s="1"/>
  <c r="AU60" i="6"/>
  <c r="AM60" i="6"/>
  <c r="AE60" i="6"/>
  <c r="AG60" i="6" s="1"/>
  <c r="W60" i="6"/>
  <c r="Z60" i="6" s="1"/>
  <c r="O60" i="6"/>
  <c r="R60" i="6" s="1"/>
  <c r="G60" i="6"/>
  <c r="J60" i="6" s="1"/>
  <c r="B60" i="6"/>
  <c r="CW59" i="6"/>
  <c r="CU59" i="6"/>
  <c r="CQ59" i="6"/>
  <c r="CS59" i="6" s="1"/>
  <c r="CI59" i="6"/>
  <c r="CA59" i="6"/>
  <c r="BS59" i="6"/>
  <c r="BV59" i="6" s="1"/>
  <c r="BK59" i="6"/>
  <c r="BC59" i="6"/>
  <c r="BE59" i="6" s="1"/>
  <c r="AU59" i="6"/>
  <c r="AX59" i="6" s="1"/>
  <c r="AM59" i="6"/>
  <c r="AO59" i="6" s="1"/>
  <c r="AE59" i="6"/>
  <c r="AG59" i="6" s="1"/>
  <c r="W59" i="6"/>
  <c r="O59" i="6"/>
  <c r="R59" i="6" s="1"/>
  <c r="G59" i="6"/>
  <c r="I59" i="6" s="1"/>
  <c r="B59" i="6"/>
  <c r="CW58" i="6"/>
  <c r="CU58" i="6"/>
  <c r="CQ58" i="6"/>
  <c r="CI58" i="6"/>
  <c r="CA58" i="6"/>
  <c r="CD58" i="6" s="1"/>
  <c r="BS58" i="6"/>
  <c r="BK58" i="6"/>
  <c r="BC58" i="6"/>
  <c r="BB58" i="6"/>
  <c r="AU58" i="6"/>
  <c r="AX58" i="6" s="1"/>
  <c r="AM58" i="6"/>
  <c r="AE58" i="6"/>
  <c r="W58" i="6"/>
  <c r="Y58" i="6" s="1"/>
  <c r="O58" i="6"/>
  <c r="R58" i="6" s="1"/>
  <c r="G58" i="6"/>
  <c r="I58" i="6" s="1"/>
  <c r="B58" i="6"/>
  <c r="CW57" i="6"/>
  <c r="CU57" i="6"/>
  <c r="CQ57" i="6"/>
  <c r="CI57" i="6"/>
  <c r="CA57" i="6"/>
  <c r="BS57" i="6"/>
  <c r="BV57" i="6" s="1"/>
  <c r="BK57" i="6"/>
  <c r="BM57" i="6" s="1"/>
  <c r="BC57" i="6"/>
  <c r="AU57" i="6"/>
  <c r="AW57" i="6" s="1"/>
  <c r="AM57" i="6"/>
  <c r="AP57" i="6" s="1"/>
  <c r="AE57" i="6"/>
  <c r="AG57" i="6" s="1"/>
  <c r="W57" i="6"/>
  <c r="Y57" i="6" s="1"/>
  <c r="O57" i="6"/>
  <c r="Q57" i="6" s="1"/>
  <c r="G57" i="6"/>
  <c r="J57" i="6" s="1"/>
  <c r="B57" i="6"/>
  <c r="CW56" i="6"/>
  <c r="CU56" i="6"/>
  <c r="CQ56" i="6"/>
  <c r="CI56" i="6"/>
  <c r="CK56" i="6" s="1"/>
  <c r="CA56" i="6"/>
  <c r="CC56" i="6" s="1"/>
  <c r="BS56" i="6"/>
  <c r="BV56" i="6" s="1"/>
  <c r="BK56" i="6"/>
  <c r="BN56" i="6" s="1"/>
  <c r="BC56" i="6"/>
  <c r="BE56" i="6" s="1"/>
  <c r="AU56" i="6"/>
  <c r="AX56" i="6" s="1"/>
  <c r="AM56" i="6"/>
  <c r="AE56" i="6"/>
  <c r="AH56" i="6" s="1"/>
  <c r="W56" i="6"/>
  <c r="O56" i="6"/>
  <c r="G56" i="6"/>
  <c r="B56" i="6"/>
  <c r="CW55" i="6"/>
  <c r="CU55" i="6"/>
  <c r="CQ55" i="6"/>
  <c r="CT55" i="6" s="1"/>
  <c r="CN55" i="6"/>
  <c r="CI55" i="6"/>
  <c r="CA55" i="6"/>
  <c r="CD55" i="6" s="1"/>
  <c r="BS55" i="6"/>
  <c r="BV55" i="6" s="1"/>
  <c r="BK55" i="6"/>
  <c r="BC55" i="6"/>
  <c r="AU55" i="6"/>
  <c r="AE55" i="6"/>
  <c r="W55" i="6"/>
  <c r="Z55" i="6" s="1"/>
  <c r="O55" i="6"/>
  <c r="R55" i="6" s="1"/>
  <c r="G55" i="6"/>
  <c r="J55" i="6" s="1"/>
  <c r="B55" i="6"/>
  <c r="CW54" i="6"/>
  <c r="CU54" i="6"/>
  <c r="CQ54" i="6"/>
  <c r="CN54" i="6"/>
  <c r="CI54" i="6"/>
  <c r="CL54" i="6" s="1"/>
  <c r="CA54" i="6"/>
  <c r="BS54" i="6"/>
  <c r="BU54" i="6" s="1"/>
  <c r="BK54" i="6"/>
  <c r="BC54" i="6"/>
  <c r="BF54" i="6" s="1"/>
  <c r="AU54" i="6"/>
  <c r="AM54" i="6"/>
  <c r="AE54" i="6"/>
  <c r="W54" i="6"/>
  <c r="Y54" i="6" s="1"/>
  <c r="O54" i="6"/>
  <c r="R54" i="6" s="1"/>
  <c r="G54" i="6"/>
  <c r="J54" i="6" s="1"/>
  <c r="B54" i="6"/>
  <c r="CM53" i="6"/>
  <c r="CM52" i="6" s="1"/>
  <c r="CN52" i="6" s="1"/>
  <c r="CE53" i="6"/>
  <c r="BW53" i="6"/>
  <c r="BO53" i="6"/>
  <c r="BO52" i="6" s="1"/>
  <c r="BG53" i="6"/>
  <c r="AY53" i="6"/>
  <c r="AQ53" i="6"/>
  <c r="AI53" i="6"/>
  <c r="AI52" i="6" s="1"/>
  <c r="AA53" i="6"/>
  <c r="AA52" i="6" s="1"/>
  <c r="S53" i="6"/>
  <c r="M53" i="6"/>
  <c r="K53" i="6"/>
  <c r="E53" i="6"/>
  <c r="C53" i="6"/>
  <c r="B53" i="6"/>
  <c r="CG52" i="6"/>
  <c r="CE52" i="6"/>
  <c r="BY52" i="6"/>
  <c r="BQ52" i="6"/>
  <c r="AS52" i="6"/>
  <c r="AK52" i="6"/>
  <c r="S52" i="6"/>
  <c r="E52" i="6"/>
  <c r="CW50" i="6"/>
  <c r="CU50" i="6"/>
  <c r="CO48" i="6"/>
  <c r="CM48" i="6"/>
  <c r="CG48" i="6"/>
  <c r="CE48" i="6"/>
  <c r="BY48" i="6"/>
  <c r="BW48" i="6"/>
  <c r="BQ48" i="6"/>
  <c r="BO48" i="6"/>
  <c r="BI48" i="6"/>
  <c r="BG48" i="6"/>
  <c r="BA48" i="6"/>
  <c r="AY48" i="6"/>
  <c r="AS48" i="6"/>
  <c r="AQ48" i="6"/>
  <c r="AK48" i="6"/>
  <c r="AI48" i="6"/>
  <c r="AC48" i="6"/>
  <c r="AA48" i="6"/>
  <c r="U48" i="6"/>
  <c r="S48" i="6"/>
  <c r="M48" i="6"/>
  <c r="K48" i="6"/>
  <c r="E48" i="6"/>
  <c r="C48" i="6"/>
  <c r="CO47" i="6"/>
  <c r="CM47" i="6"/>
  <c r="CG47" i="6"/>
  <c r="CE47" i="6"/>
  <c r="BY47" i="6"/>
  <c r="BW47" i="6"/>
  <c r="BQ47" i="6"/>
  <c r="BO47" i="6"/>
  <c r="BI47" i="6"/>
  <c r="BG47" i="6"/>
  <c r="BA47" i="6"/>
  <c r="AY47" i="6"/>
  <c r="AS47" i="6"/>
  <c r="AQ47" i="6"/>
  <c r="AK47" i="6"/>
  <c r="AI47" i="6"/>
  <c r="AC47" i="6"/>
  <c r="AA47" i="6"/>
  <c r="U47" i="6"/>
  <c r="S47" i="6"/>
  <c r="M47" i="6"/>
  <c r="K47" i="6"/>
  <c r="E47" i="6"/>
  <c r="C47" i="6"/>
  <c r="CO46" i="6"/>
  <c r="CM46" i="6"/>
  <c r="CG46" i="6"/>
  <c r="CE46" i="6"/>
  <c r="BY46" i="6"/>
  <c r="BW46" i="6"/>
  <c r="BQ46" i="6"/>
  <c r="BO46" i="6"/>
  <c r="BI46" i="6"/>
  <c r="BG46" i="6"/>
  <c r="BA46" i="6"/>
  <c r="AY46" i="6"/>
  <c r="AS46" i="6"/>
  <c r="AQ46" i="6"/>
  <c r="AK46" i="6"/>
  <c r="AI46" i="6"/>
  <c r="AC46" i="6"/>
  <c r="AA46" i="6"/>
  <c r="U46" i="6"/>
  <c r="S46" i="6"/>
  <c r="M46" i="6"/>
  <c r="K46" i="6"/>
  <c r="E46" i="6"/>
  <c r="C46" i="6"/>
  <c r="CP44" i="6"/>
  <c r="CO44" i="6"/>
  <c r="CO214" i="6" s="1"/>
  <c r="CM44" i="6"/>
  <c r="CG44" i="6"/>
  <c r="CE44" i="6"/>
  <c r="CE214" i="6" s="1"/>
  <c r="CF214" i="6" s="1"/>
  <c r="BY44" i="6"/>
  <c r="BY214" i="6" s="1"/>
  <c r="BW44" i="6"/>
  <c r="BW214" i="6" s="1"/>
  <c r="BR44" i="6"/>
  <c r="BQ44" i="6"/>
  <c r="BQ214" i="6" s="1"/>
  <c r="BO44" i="6"/>
  <c r="BI44" i="6"/>
  <c r="BI214" i="6" s="1"/>
  <c r="BG44" i="6"/>
  <c r="BG214" i="6" s="1"/>
  <c r="BA44" i="6"/>
  <c r="AY44" i="6"/>
  <c r="AY214" i="6" s="1"/>
  <c r="AS44" i="6"/>
  <c r="AQ44" i="6"/>
  <c r="AQ214" i="6" s="1"/>
  <c r="AK44" i="6"/>
  <c r="AI44" i="6"/>
  <c r="AI214" i="6" s="1"/>
  <c r="AC44" i="6"/>
  <c r="AB44" i="6"/>
  <c r="AA44" i="6"/>
  <c r="AA214" i="6" s="1"/>
  <c r="U44" i="6"/>
  <c r="U214" i="6" s="1"/>
  <c r="S44" i="6"/>
  <c r="S214" i="6" s="1"/>
  <c r="T214" i="6" s="1"/>
  <c r="N44" i="6"/>
  <c r="M44" i="6"/>
  <c r="M214" i="6" s="1"/>
  <c r="K44" i="6"/>
  <c r="K214" i="6" s="1"/>
  <c r="E44" i="6"/>
  <c r="C44" i="6"/>
  <c r="CP43" i="6"/>
  <c r="CO43" i="6"/>
  <c r="CO213" i="6" s="1"/>
  <c r="CM43" i="6"/>
  <c r="CG43" i="6"/>
  <c r="CG213" i="6" s="1"/>
  <c r="CE43" i="6"/>
  <c r="BY43" i="6"/>
  <c r="BY213" i="6" s="1"/>
  <c r="BW43" i="6"/>
  <c r="BW213" i="6" s="1"/>
  <c r="BQ43" i="6"/>
  <c r="BO43" i="6"/>
  <c r="BO213" i="6" s="1"/>
  <c r="BK43" i="6"/>
  <c r="BN43" i="6" s="1"/>
  <c r="BI43" i="6"/>
  <c r="BI213" i="6" s="1"/>
  <c r="BG43" i="6"/>
  <c r="BB43" i="6"/>
  <c r="BA43" i="6"/>
  <c r="BA213" i="6" s="1"/>
  <c r="AY43" i="6"/>
  <c r="AY213" i="6" s="1"/>
  <c r="AS43" i="6"/>
  <c r="AQ43" i="6"/>
  <c r="AQ213" i="6" s="1"/>
  <c r="AL43" i="6"/>
  <c r="AK43" i="6"/>
  <c r="AK213" i="6" s="1"/>
  <c r="AJ43" i="6"/>
  <c r="AI43" i="6"/>
  <c r="AI213" i="6" s="1"/>
  <c r="AD43" i="6"/>
  <c r="AC43" i="6"/>
  <c r="AC213" i="6" s="1"/>
  <c r="AA43" i="6"/>
  <c r="U43" i="6"/>
  <c r="U213" i="6" s="1"/>
  <c r="S43" i="6"/>
  <c r="N43" i="6"/>
  <c r="M43" i="6"/>
  <c r="M213" i="6" s="1"/>
  <c r="K43" i="6"/>
  <c r="K213" i="6" s="1"/>
  <c r="E43" i="6"/>
  <c r="D43" i="6"/>
  <c r="C43" i="6"/>
  <c r="CW40" i="6"/>
  <c r="CU40" i="6"/>
  <c r="CQ40" i="6"/>
  <c r="CI40" i="6"/>
  <c r="CA40" i="6"/>
  <c r="BS40" i="6"/>
  <c r="BV40" i="6" s="1"/>
  <c r="BK40" i="6"/>
  <c r="BN40" i="6" s="1"/>
  <c r="BC40" i="6"/>
  <c r="AU40" i="6"/>
  <c r="AT40" i="6"/>
  <c r="AM40" i="6"/>
  <c r="AE40" i="6"/>
  <c r="W40" i="6"/>
  <c r="O40" i="6"/>
  <c r="G40" i="6"/>
  <c r="B40" i="6"/>
  <c r="CW39" i="6"/>
  <c r="CU39" i="6"/>
  <c r="CQ39" i="6"/>
  <c r="CS39" i="6" s="1"/>
  <c r="CI39" i="6"/>
  <c r="CA39" i="6"/>
  <c r="CD39" i="6" s="1"/>
  <c r="BS39" i="6"/>
  <c r="BK39" i="6"/>
  <c r="BC39" i="6"/>
  <c r="BF39" i="6" s="1"/>
  <c r="AU39" i="6"/>
  <c r="AM39" i="6"/>
  <c r="AE39" i="6"/>
  <c r="AG39" i="6" s="1"/>
  <c r="W39" i="6"/>
  <c r="Z39" i="6" s="1"/>
  <c r="O39" i="6"/>
  <c r="R39" i="6" s="1"/>
  <c r="G39" i="6"/>
  <c r="B39" i="6"/>
  <c r="CW38" i="6"/>
  <c r="CU38" i="6"/>
  <c r="CQ38" i="6"/>
  <c r="CN38" i="6"/>
  <c r="CI38" i="6"/>
  <c r="CA38" i="6"/>
  <c r="CD38" i="6" s="1"/>
  <c r="BS38" i="6"/>
  <c r="BK38" i="6"/>
  <c r="BC38" i="6"/>
  <c r="AU38" i="6"/>
  <c r="AW38" i="6" s="1"/>
  <c r="AM38" i="6"/>
  <c r="AE38" i="6"/>
  <c r="W38" i="6"/>
  <c r="O38" i="6"/>
  <c r="Q38" i="6" s="1"/>
  <c r="G38" i="6"/>
  <c r="B38" i="6"/>
  <c r="CO37" i="6"/>
  <c r="CM37" i="6"/>
  <c r="CG37" i="6"/>
  <c r="CE37" i="6"/>
  <c r="CF37" i="6" s="1"/>
  <c r="BY37" i="6"/>
  <c r="BW37" i="6"/>
  <c r="BQ37" i="6"/>
  <c r="BO37" i="6"/>
  <c r="BI37" i="6"/>
  <c r="BG37" i="6"/>
  <c r="BA37" i="6"/>
  <c r="BB37" i="6" s="1"/>
  <c r="AY37" i="6"/>
  <c r="AS37" i="6"/>
  <c r="AQ37" i="6"/>
  <c r="AK37" i="6"/>
  <c r="AI37" i="6"/>
  <c r="AC37" i="6"/>
  <c r="AA37" i="6"/>
  <c r="U37" i="6"/>
  <c r="S37" i="6"/>
  <c r="T37" i="6" s="1"/>
  <c r="M37" i="6"/>
  <c r="K37" i="6"/>
  <c r="E37" i="6"/>
  <c r="C37" i="6"/>
  <c r="B37" i="6"/>
  <c r="CW36" i="6"/>
  <c r="CU36" i="6"/>
  <c r="CQ36" i="6"/>
  <c r="CI36" i="6"/>
  <c r="CA36" i="6"/>
  <c r="BS36" i="6"/>
  <c r="BK36" i="6"/>
  <c r="BC36" i="6"/>
  <c r="BF36" i="6" s="1"/>
  <c r="AU36" i="6"/>
  <c r="AM36" i="6"/>
  <c r="AP36" i="6" s="1"/>
  <c r="AE36" i="6"/>
  <c r="W36" i="6"/>
  <c r="Z36" i="6" s="1"/>
  <c r="O36" i="6"/>
  <c r="R36" i="6" s="1"/>
  <c r="G36" i="6"/>
  <c r="B36" i="6"/>
  <c r="CW35" i="6"/>
  <c r="CU35" i="6"/>
  <c r="CQ35" i="6"/>
  <c r="CT35" i="6" s="1"/>
  <c r="CI35" i="6"/>
  <c r="CL35" i="6" s="1"/>
  <c r="CA35" i="6"/>
  <c r="CD35" i="6" s="1"/>
  <c r="BS35" i="6"/>
  <c r="BV35" i="6" s="1"/>
  <c r="BK35" i="6"/>
  <c r="BC35" i="6"/>
  <c r="AU35" i="6"/>
  <c r="AW35" i="6" s="1"/>
  <c r="AM35" i="6"/>
  <c r="AP35" i="6" s="1"/>
  <c r="AE35" i="6"/>
  <c r="W35" i="6"/>
  <c r="Z35" i="6" s="1"/>
  <c r="O35" i="6"/>
  <c r="G35" i="6"/>
  <c r="I35" i="6" s="1"/>
  <c r="B35" i="6"/>
  <c r="CW34" i="6"/>
  <c r="CU34" i="6"/>
  <c r="CQ34" i="6"/>
  <c r="CN34" i="6"/>
  <c r="CI34" i="6"/>
  <c r="CH34" i="6"/>
  <c r="CA34" i="6"/>
  <c r="CC34" i="6" s="1"/>
  <c r="BS34" i="6"/>
  <c r="BK34" i="6"/>
  <c r="BC34" i="6"/>
  <c r="AU34" i="6"/>
  <c r="AW34" i="6" s="1"/>
  <c r="AM34" i="6"/>
  <c r="AP34" i="6" s="1"/>
  <c r="AE34" i="6"/>
  <c r="AH34" i="6" s="1"/>
  <c r="W34" i="6"/>
  <c r="O34" i="6"/>
  <c r="Q34" i="6" s="1"/>
  <c r="G34" i="6"/>
  <c r="I34" i="6" s="1"/>
  <c r="B34" i="6"/>
  <c r="CW33" i="6"/>
  <c r="CU33" i="6"/>
  <c r="CQ33" i="6"/>
  <c r="CS33" i="6" s="1"/>
  <c r="CI33" i="6"/>
  <c r="CL33" i="6" s="1"/>
  <c r="CA33" i="6"/>
  <c r="CD33" i="6" s="1"/>
  <c r="BS33" i="6"/>
  <c r="BU33" i="6" s="1"/>
  <c r="BK33" i="6"/>
  <c r="BN33" i="6" s="1"/>
  <c r="BC33" i="6"/>
  <c r="BB33" i="6"/>
  <c r="AU33" i="6"/>
  <c r="AX33" i="6" s="1"/>
  <c r="AM33" i="6"/>
  <c r="AE33" i="6"/>
  <c r="W33" i="6"/>
  <c r="Z33" i="6" s="1"/>
  <c r="O33" i="6"/>
  <c r="R33" i="6" s="1"/>
  <c r="G33" i="6"/>
  <c r="J33" i="6" s="1"/>
  <c r="B33" i="6"/>
  <c r="CW32" i="6"/>
  <c r="CU32" i="6"/>
  <c r="CQ32" i="6"/>
  <c r="CT32" i="6" s="1"/>
  <c r="CI32" i="6"/>
  <c r="CL32" i="6" s="1"/>
  <c r="CA32" i="6"/>
  <c r="BS32" i="6"/>
  <c r="BU32" i="6" s="1"/>
  <c r="BK32" i="6"/>
  <c r="BC32" i="6"/>
  <c r="AU32" i="6"/>
  <c r="AM32" i="6"/>
  <c r="AE32" i="6"/>
  <c r="W32" i="6"/>
  <c r="Y32" i="6" s="1"/>
  <c r="O32" i="6"/>
  <c r="G32" i="6"/>
  <c r="J32" i="6" s="1"/>
  <c r="B32" i="6"/>
  <c r="CW31" i="6"/>
  <c r="CU31" i="6"/>
  <c r="CQ31" i="6"/>
  <c r="CT31" i="6" s="1"/>
  <c r="CN31" i="6"/>
  <c r="CI31" i="6"/>
  <c r="CA31" i="6"/>
  <c r="BS31" i="6"/>
  <c r="BK31" i="6"/>
  <c r="BC31" i="6"/>
  <c r="BE31" i="6" s="1"/>
  <c r="AU31" i="6"/>
  <c r="AX31" i="6" s="1"/>
  <c r="AM31" i="6"/>
  <c r="AP31" i="6" s="1"/>
  <c r="AE31" i="6"/>
  <c r="AH31" i="6" s="1"/>
  <c r="W31" i="6"/>
  <c r="Y31" i="6" s="1"/>
  <c r="O31" i="6"/>
  <c r="R31" i="6" s="1"/>
  <c r="G31" i="6"/>
  <c r="B31" i="6"/>
  <c r="CW30" i="6"/>
  <c r="CU30" i="6"/>
  <c r="CQ30" i="6"/>
  <c r="CT30" i="6" s="1"/>
  <c r="CI30" i="6"/>
  <c r="CA30" i="6"/>
  <c r="CC30" i="6" s="1"/>
  <c r="BS30" i="6"/>
  <c r="BK30" i="6"/>
  <c r="BN30" i="6" s="1"/>
  <c r="BC30" i="6"/>
  <c r="BE30" i="6" s="1"/>
  <c r="AU30" i="6"/>
  <c r="AT30" i="6"/>
  <c r="AM30" i="6"/>
  <c r="AE30" i="6"/>
  <c r="AG30" i="6" s="1"/>
  <c r="W30" i="6"/>
  <c r="Z30" i="6" s="1"/>
  <c r="O30" i="6"/>
  <c r="Q30" i="6" s="1"/>
  <c r="G30" i="6"/>
  <c r="B30" i="6"/>
  <c r="CO29" i="6"/>
  <c r="CM29" i="6"/>
  <c r="CG29" i="6"/>
  <c r="CE29" i="6"/>
  <c r="BY29" i="6"/>
  <c r="BW29" i="6"/>
  <c r="BQ29" i="6"/>
  <c r="BO29" i="6"/>
  <c r="BI29" i="6"/>
  <c r="BG29" i="6"/>
  <c r="BA29" i="6"/>
  <c r="AY29" i="6"/>
  <c r="AS29" i="6"/>
  <c r="AQ29" i="6"/>
  <c r="AK29" i="6"/>
  <c r="AI29" i="6"/>
  <c r="AC29" i="6"/>
  <c r="AA29" i="6"/>
  <c r="U29" i="6"/>
  <c r="S29" i="6"/>
  <c r="M29" i="6"/>
  <c r="K29" i="6"/>
  <c r="E29" i="6"/>
  <c r="C29" i="6"/>
  <c r="B29" i="6"/>
  <c r="CW28" i="6"/>
  <c r="CU28" i="6"/>
  <c r="CQ28" i="6"/>
  <c r="CI28" i="6"/>
  <c r="CK28" i="6" s="1"/>
  <c r="CA28" i="6"/>
  <c r="BS28" i="6"/>
  <c r="BR28" i="6"/>
  <c r="BK28" i="6"/>
  <c r="BC28" i="6"/>
  <c r="BE28" i="6" s="1"/>
  <c r="AU28" i="6"/>
  <c r="AX28" i="6" s="1"/>
  <c r="AM28" i="6"/>
  <c r="AO28" i="6" s="1"/>
  <c r="AE28" i="6"/>
  <c r="W28" i="6"/>
  <c r="Z28" i="6" s="1"/>
  <c r="O28" i="6"/>
  <c r="R28" i="6" s="1"/>
  <c r="G28" i="6"/>
  <c r="I28" i="6" s="1"/>
  <c r="B28" i="6"/>
  <c r="CW27" i="6"/>
  <c r="CU27" i="6"/>
  <c r="CQ27" i="6"/>
  <c r="CT27" i="6" s="1"/>
  <c r="CN27" i="6"/>
  <c r="CI27" i="6"/>
  <c r="CL27" i="6" s="1"/>
  <c r="CA27" i="6"/>
  <c r="CD27" i="6" s="1"/>
  <c r="BS27" i="6"/>
  <c r="BV27" i="6" s="1"/>
  <c r="BK27" i="6"/>
  <c r="BN27" i="6" s="1"/>
  <c r="BC27" i="6"/>
  <c r="AU27" i="6"/>
  <c r="AM27" i="6"/>
  <c r="AO27" i="6" s="1"/>
  <c r="AE27" i="6"/>
  <c r="W27" i="6"/>
  <c r="Z27" i="6" s="1"/>
  <c r="O27" i="6"/>
  <c r="R27" i="6" s="1"/>
  <c r="G27" i="6"/>
  <c r="B27" i="6"/>
  <c r="CW26" i="6"/>
  <c r="CU26" i="6"/>
  <c r="CQ26" i="6"/>
  <c r="CS26" i="6" s="1"/>
  <c r="CI26" i="6"/>
  <c r="CA26" i="6"/>
  <c r="CD26" i="6" s="1"/>
  <c r="BS26" i="6"/>
  <c r="BU26" i="6" s="1"/>
  <c r="BK26" i="6"/>
  <c r="BC26" i="6"/>
  <c r="AU26" i="6"/>
  <c r="AX26" i="6" s="1"/>
  <c r="AM26" i="6"/>
  <c r="AO26" i="6" s="1"/>
  <c r="AE26" i="6"/>
  <c r="AG26" i="6" s="1"/>
  <c r="AB26" i="6"/>
  <c r="W26" i="6"/>
  <c r="T26" i="6"/>
  <c r="O26" i="6"/>
  <c r="R26" i="6" s="1"/>
  <c r="G26" i="6"/>
  <c r="B26" i="6"/>
  <c r="CW25" i="6"/>
  <c r="CU25" i="6"/>
  <c r="CQ25" i="6"/>
  <c r="CT25" i="6" s="1"/>
  <c r="CI25" i="6"/>
  <c r="CA25" i="6"/>
  <c r="CD25" i="6" s="1"/>
  <c r="BS25" i="6"/>
  <c r="BU25" i="6" s="1"/>
  <c r="BK25" i="6"/>
  <c r="BN25" i="6" s="1"/>
  <c r="BC25" i="6"/>
  <c r="AU25" i="6"/>
  <c r="AX25" i="6" s="1"/>
  <c r="AT25" i="6"/>
  <c r="AM25" i="6"/>
  <c r="AO25" i="6" s="1"/>
  <c r="AE25" i="6"/>
  <c r="AH25" i="6" s="1"/>
  <c r="AB25" i="6"/>
  <c r="W25" i="6"/>
  <c r="O25" i="6"/>
  <c r="Q25" i="6" s="1"/>
  <c r="G25" i="6"/>
  <c r="J25" i="6" s="1"/>
  <c r="B25" i="6"/>
  <c r="CW24" i="6"/>
  <c r="CU24" i="6"/>
  <c r="CQ24" i="6"/>
  <c r="CI24" i="6"/>
  <c r="CL24" i="6" s="1"/>
  <c r="CA24" i="6"/>
  <c r="BS24" i="6"/>
  <c r="BK24" i="6"/>
  <c r="BM24" i="6" s="1"/>
  <c r="BC24" i="6"/>
  <c r="BF24" i="6" s="1"/>
  <c r="AU24" i="6"/>
  <c r="AM24" i="6"/>
  <c r="AE24" i="6"/>
  <c r="W24" i="6"/>
  <c r="Z24" i="6" s="1"/>
  <c r="T24" i="6"/>
  <c r="O24" i="6"/>
  <c r="G24" i="6"/>
  <c r="J24" i="6" s="1"/>
  <c r="B24" i="6"/>
  <c r="CW23" i="6"/>
  <c r="CU23" i="6"/>
  <c r="CQ23" i="6"/>
  <c r="CS23" i="6" s="1"/>
  <c r="CI23" i="6"/>
  <c r="CK23" i="6" s="1"/>
  <c r="CA23" i="6"/>
  <c r="BS23" i="6"/>
  <c r="BU23" i="6" s="1"/>
  <c r="BK23" i="6"/>
  <c r="BC23" i="6"/>
  <c r="AU23" i="6"/>
  <c r="AM23" i="6"/>
  <c r="AP23" i="6" s="1"/>
  <c r="AE23" i="6"/>
  <c r="AG23" i="6" s="1"/>
  <c r="W23" i="6"/>
  <c r="Y23" i="6" s="1"/>
  <c r="O23" i="6"/>
  <c r="G23" i="6"/>
  <c r="J23" i="6" s="1"/>
  <c r="B23" i="6"/>
  <c r="CO22" i="6"/>
  <c r="CN22" i="6"/>
  <c r="CM22" i="6"/>
  <c r="CG22" i="6"/>
  <c r="CE22" i="6"/>
  <c r="BY22" i="6"/>
  <c r="BW22" i="6"/>
  <c r="BQ22" i="6"/>
  <c r="BQ21" i="6" s="1"/>
  <c r="BQ42" i="6" s="1"/>
  <c r="BO22" i="6"/>
  <c r="BO21" i="6" s="1"/>
  <c r="BO16" i="6" s="1"/>
  <c r="BI22" i="6"/>
  <c r="BG22" i="6"/>
  <c r="BA22" i="6"/>
  <c r="AY22" i="6"/>
  <c r="AY21" i="6" s="1"/>
  <c r="AS22" i="6"/>
  <c r="AQ22" i="6"/>
  <c r="AK22" i="6"/>
  <c r="AI22" i="6"/>
  <c r="AI21" i="6" s="1"/>
  <c r="AC22" i="6"/>
  <c r="AC21" i="6" s="1"/>
  <c r="AC42" i="6" s="1"/>
  <c r="AA22" i="6"/>
  <c r="U22" i="6"/>
  <c r="S22" i="6"/>
  <c r="M22" i="6"/>
  <c r="M21" i="6" s="1"/>
  <c r="M42" i="6" s="1"/>
  <c r="K22" i="6"/>
  <c r="E22" i="6"/>
  <c r="C22" i="6"/>
  <c r="B22" i="6"/>
  <c r="AS21" i="6"/>
  <c r="CW20" i="6"/>
  <c r="CU20" i="6"/>
  <c r="CQ20" i="6"/>
  <c r="CQ17" i="6" s="1"/>
  <c r="CP20" i="6"/>
  <c r="CN20" i="6"/>
  <c r="CI20" i="6"/>
  <c r="CH20" i="6"/>
  <c r="CF20" i="6"/>
  <c r="CA20" i="6"/>
  <c r="BZ20" i="6"/>
  <c r="BX20" i="6"/>
  <c r="BS20" i="6"/>
  <c r="BS44" i="6" s="1"/>
  <c r="BV44" i="6" s="1"/>
  <c r="BR20" i="6"/>
  <c r="BP20" i="6"/>
  <c r="BK20" i="6"/>
  <c r="BJ20" i="6"/>
  <c r="BH20" i="6"/>
  <c r="BC20" i="6"/>
  <c r="BB20" i="6"/>
  <c r="AZ20" i="6"/>
  <c r="AU20" i="6"/>
  <c r="AT20" i="6"/>
  <c r="AR20" i="6"/>
  <c r="AM20" i="6"/>
  <c r="AL20" i="6"/>
  <c r="AJ20" i="6"/>
  <c r="AE20" i="6"/>
  <c r="AD20" i="6"/>
  <c r="AB20" i="6"/>
  <c r="X20" i="6"/>
  <c r="W20" i="6"/>
  <c r="V20" i="6"/>
  <c r="T20" i="6"/>
  <c r="O20" i="6"/>
  <c r="N20" i="6"/>
  <c r="L20" i="6"/>
  <c r="G20" i="6"/>
  <c r="H20" i="6" s="1"/>
  <c r="F20" i="6"/>
  <c r="D20" i="6"/>
  <c r="CW19" i="6"/>
  <c r="CU19" i="6"/>
  <c r="CQ19" i="6"/>
  <c r="CP19" i="6"/>
  <c r="CN19" i="6"/>
  <c r="CI19" i="6"/>
  <c r="CJ19" i="6" s="1"/>
  <c r="CH19" i="6"/>
  <c r="CF19" i="6"/>
  <c r="CA19" i="6"/>
  <c r="BZ19" i="6"/>
  <c r="BX19" i="6"/>
  <c r="BS19" i="6"/>
  <c r="BR19" i="6"/>
  <c r="BP19" i="6"/>
  <c r="BK19" i="6"/>
  <c r="BL19" i="6" s="1"/>
  <c r="BJ19" i="6"/>
  <c r="BH19" i="6"/>
  <c r="BC19" i="6"/>
  <c r="BB19" i="6"/>
  <c r="AZ19" i="6"/>
  <c r="AU19" i="6"/>
  <c r="AT19" i="6"/>
  <c r="AR19" i="6"/>
  <c r="AM19" i="6"/>
  <c r="AL19" i="6"/>
  <c r="AJ19" i="6"/>
  <c r="AE19" i="6"/>
  <c r="AD19" i="6"/>
  <c r="AB19" i="6"/>
  <c r="W19" i="6"/>
  <c r="V19" i="6"/>
  <c r="T19" i="6"/>
  <c r="O19" i="6"/>
  <c r="N19" i="6"/>
  <c r="L19" i="6"/>
  <c r="G19" i="6"/>
  <c r="CY19" i="6" s="1"/>
  <c r="F19" i="6"/>
  <c r="D19" i="6"/>
  <c r="CW18" i="6"/>
  <c r="CU18" i="6"/>
  <c r="CQ18" i="6"/>
  <c r="CP18" i="6"/>
  <c r="CN18" i="6"/>
  <c r="CJ18" i="6"/>
  <c r="CK18" i="6" s="1"/>
  <c r="CI18" i="6"/>
  <c r="CH18" i="6"/>
  <c r="CF18" i="6"/>
  <c r="CA18" i="6"/>
  <c r="BZ18" i="6"/>
  <c r="BX18" i="6"/>
  <c r="BS18" i="6"/>
  <c r="BR18" i="6"/>
  <c r="BP18" i="6"/>
  <c r="BK18" i="6"/>
  <c r="BJ18" i="6"/>
  <c r="BH18" i="6"/>
  <c r="BC18" i="6"/>
  <c r="BB18" i="6"/>
  <c r="AZ18" i="6"/>
  <c r="AU18" i="6"/>
  <c r="AU17" i="6" s="1"/>
  <c r="AT18" i="6"/>
  <c r="AR18" i="6"/>
  <c r="AM18" i="6"/>
  <c r="AL18" i="6"/>
  <c r="AJ18" i="6"/>
  <c r="AD18" i="6"/>
  <c r="AB18" i="6"/>
  <c r="W18" i="6"/>
  <c r="W17" i="6" s="1"/>
  <c r="V18" i="6"/>
  <c r="T18" i="6"/>
  <c r="O18" i="6"/>
  <c r="N18" i="6"/>
  <c r="L18" i="6"/>
  <c r="G18" i="6"/>
  <c r="F18" i="6"/>
  <c r="D18" i="6"/>
  <c r="CO17" i="6"/>
  <c r="CM17" i="6"/>
  <c r="CN17" i="6" s="1"/>
  <c r="CG17" i="6"/>
  <c r="CE17" i="6"/>
  <c r="CF17" i="6" s="1"/>
  <c r="CA17" i="6"/>
  <c r="BY17" i="6"/>
  <c r="BW17" i="6"/>
  <c r="BQ17" i="6"/>
  <c r="BO17" i="6"/>
  <c r="BK17" i="6"/>
  <c r="BI17" i="6"/>
  <c r="BG17" i="6"/>
  <c r="BA17" i="6"/>
  <c r="AY17" i="6"/>
  <c r="AS17" i="6"/>
  <c r="AQ17" i="6"/>
  <c r="AK17" i="6"/>
  <c r="AI17" i="6"/>
  <c r="AC17" i="6"/>
  <c r="AA17" i="6"/>
  <c r="U17" i="6"/>
  <c r="S17" i="6"/>
  <c r="T17" i="6" s="1"/>
  <c r="O17" i="6"/>
  <c r="M17" i="6"/>
  <c r="K17" i="6"/>
  <c r="E17" i="6"/>
  <c r="C17" i="6"/>
  <c r="CO15" i="6"/>
  <c r="CM15" i="6"/>
  <c r="CG15" i="6"/>
  <c r="CE15" i="6"/>
  <c r="BY15" i="6"/>
  <c r="BW15" i="6"/>
  <c r="BS15" i="6"/>
  <c r="BQ15" i="6"/>
  <c r="BO15" i="6"/>
  <c r="BI15" i="6"/>
  <c r="BG15" i="6"/>
  <c r="BA15" i="6"/>
  <c r="AY15" i="6"/>
  <c r="AS15" i="6"/>
  <c r="AQ15" i="6"/>
  <c r="AK15" i="6"/>
  <c r="AI15" i="6"/>
  <c r="AC15" i="6"/>
  <c r="AA15" i="6"/>
  <c r="U15" i="6"/>
  <c r="S15" i="6"/>
  <c r="M15" i="6"/>
  <c r="K15" i="6"/>
  <c r="G15" i="6"/>
  <c r="I15" i="6" s="1"/>
  <c r="E15" i="6"/>
  <c r="C15" i="6"/>
  <c r="CO14" i="6"/>
  <c r="CM14" i="6"/>
  <c r="CG14" i="6"/>
  <c r="CE14" i="6"/>
  <c r="BY14" i="6"/>
  <c r="BW14" i="6"/>
  <c r="BQ14" i="6"/>
  <c r="BO14" i="6"/>
  <c r="BI14" i="6"/>
  <c r="BG14" i="6"/>
  <c r="BA14" i="6"/>
  <c r="AY14" i="6"/>
  <c r="AS14" i="6"/>
  <c r="AQ14" i="6"/>
  <c r="AK14" i="6"/>
  <c r="AI14" i="6"/>
  <c r="AC14" i="6"/>
  <c r="AA14" i="6"/>
  <c r="U14" i="6"/>
  <c r="S14" i="6"/>
  <c r="M14" i="6"/>
  <c r="K14" i="6"/>
  <c r="E14" i="6"/>
  <c r="C14" i="6"/>
  <c r="CO13" i="6"/>
  <c r="CM13" i="6"/>
  <c r="CG13" i="6"/>
  <c r="CE13" i="6"/>
  <c r="BY13" i="6"/>
  <c r="BW13" i="6"/>
  <c r="BQ13" i="6"/>
  <c r="BO13" i="6"/>
  <c r="BI13" i="6"/>
  <c r="BG13" i="6"/>
  <c r="BA13" i="6"/>
  <c r="AY13" i="6"/>
  <c r="AS13" i="6"/>
  <c r="AQ13" i="6"/>
  <c r="AK13" i="6"/>
  <c r="AI13" i="6"/>
  <c r="AC13" i="6"/>
  <c r="AA13" i="6"/>
  <c r="U13" i="6"/>
  <c r="S13" i="6"/>
  <c r="M13" i="6"/>
  <c r="K13" i="6"/>
  <c r="E13" i="6"/>
  <c r="C13" i="6"/>
  <c r="CG12" i="6"/>
  <c r="CW11" i="6"/>
  <c r="CU11" i="6"/>
  <c r="CT11" i="6"/>
  <c r="CS11" i="6"/>
  <c r="CQ11" i="6"/>
  <c r="CI11" i="6"/>
  <c r="CA11" i="6"/>
  <c r="CC11" i="6" s="1"/>
  <c r="BV11" i="6"/>
  <c r="BS11" i="6"/>
  <c r="BU11" i="6" s="1"/>
  <c r="BK11" i="6"/>
  <c r="BM11" i="6" s="1"/>
  <c r="BC11" i="6"/>
  <c r="AU11" i="6"/>
  <c r="AP11" i="6"/>
  <c r="AO11" i="6"/>
  <c r="AM11" i="6"/>
  <c r="AE11" i="6"/>
  <c r="AH11" i="6" s="1"/>
  <c r="Y11" i="6"/>
  <c r="W11" i="6"/>
  <c r="Z11" i="6" s="1"/>
  <c r="O11" i="6"/>
  <c r="Q11" i="6" s="1"/>
  <c r="J11" i="6"/>
  <c r="G11" i="6"/>
  <c r="I11" i="6" s="1"/>
  <c r="CW10" i="6"/>
  <c r="CU10" i="6"/>
  <c r="CT10" i="6"/>
  <c r="CS10" i="6"/>
  <c r="CQ10" i="6"/>
  <c r="CI10" i="6"/>
  <c r="CA10" i="6"/>
  <c r="BS10" i="6"/>
  <c r="BV10" i="6" s="1"/>
  <c r="BN10" i="6"/>
  <c r="BM10" i="6"/>
  <c r="BK10" i="6"/>
  <c r="BC10" i="6"/>
  <c r="BF10" i="6" s="1"/>
  <c r="AU10" i="6"/>
  <c r="AW10" i="6" s="1"/>
  <c r="AM10" i="6"/>
  <c r="AE10" i="6"/>
  <c r="AG10" i="6" s="1"/>
  <c r="W10" i="6"/>
  <c r="O10" i="6"/>
  <c r="J10" i="6"/>
  <c r="I10" i="6"/>
  <c r="G10" i="6"/>
  <c r="CW9" i="6"/>
  <c r="CU9" i="6"/>
  <c r="CT9" i="6"/>
  <c r="CS9" i="6"/>
  <c r="CQ9" i="6"/>
  <c r="CI9" i="6"/>
  <c r="CD9" i="6"/>
  <c r="CA9" i="6"/>
  <c r="BS9" i="6"/>
  <c r="BU9" i="6" s="1"/>
  <c r="BM9" i="6"/>
  <c r="BK9" i="6"/>
  <c r="BC9" i="6"/>
  <c r="AU9" i="6"/>
  <c r="AM9" i="6"/>
  <c r="AH9" i="6"/>
  <c r="AG9" i="6"/>
  <c r="AE9" i="6"/>
  <c r="W9" i="6"/>
  <c r="O9" i="6"/>
  <c r="Q9" i="6" s="1"/>
  <c r="J9" i="6"/>
  <c r="G9" i="6"/>
  <c r="I9" i="6" s="1"/>
  <c r="CQ8" i="6"/>
  <c r="CO8" i="6"/>
  <c r="CM8" i="6"/>
  <c r="CM12" i="6" s="1"/>
  <c r="CG8" i="6"/>
  <c r="CE8" i="6"/>
  <c r="BY8" i="6"/>
  <c r="BW8" i="6"/>
  <c r="BQ8" i="6"/>
  <c r="BO8" i="6"/>
  <c r="BI8" i="6"/>
  <c r="BG8" i="6"/>
  <c r="BA8" i="6"/>
  <c r="AY8" i="6"/>
  <c r="AS8" i="6"/>
  <c r="AQ8" i="6"/>
  <c r="AK8" i="6"/>
  <c r="AI8" i="6"/>
  <c r="AC8" i="6"/>
  <c r="AA8" i="6"/>
  <c r="U8" i="6"/>
  <c r="S8" i="6"/>
  <c r="K8" i="6"/>
  <c r="G8" i="6"/>
  <c r="C8" i="6"/>
  <c r="CW7" i="6"/>
  <c r="CU7" i="6"/>
  <c r="CQ7" i="6"/>
  <c r="CN7" i="6"/>
  <c r="CK7" i="6"/>
  <c r="CI7" i="6"/>
  <c r="CH7" i="6"/>
  <c r="CA7" i="6"/>
  <c r="BV7" i="6"/>
  <c r="BU7" i="6"/>
  <c r="BS7" i="6"/>
  <c r="BR7" i="6"/>
  <c r="BK7" i="6"/>
  <c r="BF7" i="6"/>
  <c r="BE7" i="6"/>
  <c r="BC7" i="6"/>
  <c r="AU7" i="6"/>
  <c r="AV20" i="6" s="1"/>
  <c r="AM7" i="6"/>
  <c r="AM44" i="6" s="1"/>
  <c r="AE7" i="6"/>
  <c r="Z7" i="6"/>
  <c r="Y7" i="6"/>
  <c r="W7" i="6"/>
  <c r="V7" i="6"/>
  <c r="T7" i="6"/>
  <c r="O7" i="6"/>
  <c r="J7" i="6"/>
  <c r="G7" i="6"/>
  <c r="G48" i="6" s="1"/>
  <c r="CW6" i="6"/>
  <c r="CU6" i="6"/>
  <c r="CQ6" i="6"/>
  <c r="CN6" i="6"/>
  <c r="CL6" i="6"/>
  <c r="CI6" i="6"/>
  <c r="CI47" i="6" s="1"/>
  <c r="CH6" i="6"/>
  <c r="CA6" i="6"/>
  <c r="BV6" i="6"/>
  <c r="BU6" i="6"/>
  <c r="BS6" i="6"/>
  <c r="BT19" i="6" s="1"/>
  <c r="BK6" i="6"/>
  <c r="BN6" i="6" s="1"/>
  <c r="BC6" i="6"/>
  <c r="AU6" i="6"/>
  <c r="AT6" i="6"/>
  <c r="AM6" i="6"/>
  <c r="AE6" i="6"/>
  <c r="AB6" i="6"/>
  <c r="Z6" i="6"/>
  <c r="Y6" i="6"/>
  <c r="W6" i="6"/>
  <c r="W47" i="6" s="1"/>
  <c r="V6" i="6"/>
  <c r="O6" i="6"/>
  <c r="O14" i="6" s="1"/>
  <c r="J6" i="6"/>
  <c r="G6" i="6"/>
  <c r="G14" i="6" s="1"/>
  <c r="I14" i="6" s="1"/>
  <c r="CW5" i="6"/>
  <c r="CU5" i="6"/>
  <c r="CQ5" i="6"/>
  <c r="CN5" i="6"/>
  <c r="CL5" i="6"/>
  <c r="CK5" i="6"/>
  <c r="CI5" i="6"/>
  <c r="CI13" i="6" s="1"/>
  <c r="CL13" i="6" s="1"/>
  <c r="CH5" i="6"/>
  <c r="CA5" i="6"/>
  <c r="BS5" i="6"/>
  <c r="BS13" i="6" s="1"/>
  <c r="BR5" i="6"/>
  <c r="BK5" i="6"/>
  <c r="BK4" i="6" s="1"/>
  <c r="BF5" i="6"/>
  <c r="BE5" i="6"/>
  <c r="BC5" i="6"/>
  <c r="BC46" i="6" s="1"/>
  <c r="AU5" i="6"/>
  <c r="AU4" i="6" s="1"/>
  <c r="AW4" i="6" s="1"/>
  <c r="AT5" i="6"/>
  <c r="AM5" i="6"/>
  <c r="AE5" i="6"/>
  <c r="AB5" i="6"/>
  <c r="W5" i="6"/>
  <c r="Q5" i="6"/>
  <c r="O5" i="6"/>
  <c r="G5" i="6"/>
  <c r="F5" i="6"/>
  <c r="CO4" i="6"/>
  <c r="CP17" i="6" s="1"/>
  <c r="CM4" i="6"/>
  <c r="CN36" i="6" s="1"/>
  <c r="CG4" i="6"/>
  <c r="CE4" i="6"/>
  <c r="BY4" i="6"/>
  <c r="BW4" i="6"/>
  <c r="BX17" i="6" s="1"/>
  <c r="BQ4" i="6"/>
  <c r="BR23" i="6" s="1"/>
  <c r="BO4" i="6"/>
  <c r="BI4" i="6"/>
  <c r="BG4" i="6"/>
  <c r="BA4" i="6"/>
  <c r="AY4" i="6"/>
  <c r="AS4" i="6"/>
  <c r="AT34" i="6" s="1"/>
  <c r="AQ4" i="6"/>
  <c r="AK4" i="6"/>
  <c r="AL6" i="6" s="1"/>
  <c r="AI4" i="6"/>
  <c r="AJ5" i="6" s="1"/>
  <c r="AE4" i="6"/>
  <c r="AC4" i="6"/>
  <c r="AA4" i="6"/>
  <c r="AB17" i="6" s="1"/>
  <c r="U4" i="6"/>
  <c r="S4" i="6"/>
  <c r="T6" i="6" s="1"/>
  <c r="M4" i="6"/>
  <c r="K4" i="6"/>
  <c r="L17" i="6" s="1"/>
  <c r="E4" i="6"/>
  <c r="C4" i="6"/>
  <c r="P40" i="5"/>
  <c r="O40" i="5"/>
  <c r="N40" i="5"/>
  <c r="M40" i="5"/>
  <c r="L40" i="5"/>
  <c r="K40" i="5"/>
  <c r="J40" i="5"/>
  <c r="I40" i="5"/>
  <c r="H40" i="5"/>
  <c r="G40" i="5"/>
  <c r="F40" i="5"/>
  <c r="E40" i="5"/>
  <c r="P39" i="5"/>
  <c r="O39" i="5"/>
  <c r="N39" i="5"/>
  <c r="M39" i="5"/>
  <c r="L39" i="5"/>
  <c r="K39" i="5"/>
  <c r="J39" i="5"/>
  <c r="I39" i="5"/>
  <c r="H39" i="5"/>
  <c r="G39" i="5"/>
  <c r="F39" i="5"/>
  <c r="E39" i="5"/>
  <c r="L36" i="5"/>
  <c r="I36" i="5"/>
  <c r="G36" i="5"/>
  <c r="P35" i="5"/>
  <c r="O35" i="5"/>
  <c r="N35" i="5"/>
  <c r="P37" i="5" s="1"/>
  <c r="M35" i="5"/>
  <c r="L35" i="5"/>
  <c r="K35" i="5"/>
  <c r="J35" i="5"/>
  <c r="I35" i="5"/>
  <c r="H35" i="5"/>
  <c r="G35" i="5"/>
  <c r="F35" i="5"/>
  <c r="F36" i="5" s="1"/>
  <c r="E35" i="5"/>
  <c r="P34" i="5"/>
  <c r="O34" i="5"/>
  <c r="N34" i="5"/>
  <c r="M34" i="5"/>
  <c r="L34" i="5"/>
  <c r="K34" i="5"/>
  <c r="J34" i="5"/>
  <c r="I34" i="5"/>
  <c r="H34" i="5"/>
  <c r="G34" i="5"/>
  <c r="F34" i="5"/>
  <c r="E34" i="5"/>
  <c r="P33" i="5"/>
  <c r="O33" i="5"/>
  <c r="N33" i="5"/>
  <c r="M33" i="5"/>
  <c r="L33" i="5"/>
  <c r="K33" i="5"/>
  <c r="J33" i="5"/>
  <c r="I33" i="5"/>
  <c r="H33" i="5"/>
  <c r="G33" i="5"/>
  <c r="F33" i="5"/>
  <c r="E33" i="5"/>
  <c r="P30" i="5"/>
  <c r="O30" i="5"/>
  <c r="M30" i="5"/>
  <c r="P29" i="5"/>
  <c r="O29" i="5"/>
  <c r="N29" i="5"/>
  <c r="M29" i="5"/>
  <c r="L29" i="5"/>
  <c r="K29" i="5"/>
  <c r="J29" i="5"/>
  <c r="I29" i="5"/>
  <c r="H29" i="5"/>
  <c r="H30" i="5" s="1"/>
  <c r="G29" i="5"/>
  <c r="F29" i="5"/>
  <c r="F30" i="5" s="1"/>
  <c r="E29" i="5"/>
  <c r="P28" i="5"/>
  <c r="O28" i="5"/>
  <c r="N28" i="5"/>
  <c r="M28" i="5"/>
  <c r="L28" i="5"/>
  <c r="K28" i="5"/>
  <c r="J28" i="5"/>
  <c r="I28" i="5"/>
  <c r="H28" i="5"/>
  <c r="G28" i="5"/>
  <c r="F28" i="5"/>
  <c r="E28" i="5"/>
  <c r="P27" i="5"/>
  <c r="O27" i="5"/>
  <c r="N27" i="5"/>
  <c r="M27" i="5"/>
  <c r="L27" i="5"/>
  <c r="K27" i="5"/>
  <c r="J27" i="5"/>
  <c r="I27" i="5"/>
  <c r="H27" i="5"/>
  <c r="G27" i="5"/>
  <c r="F27" i="5"/>
  <c r="E27" i="5"/>
  <c r="P26" i="5"/>
  <c r="O26" i="5"/>
  <c r="N26" i="5"/>
  <c r="M26" i="5"/>
  <c r="L26" i="5"/>
  <c r="K26" i="5"/>
  <c r="J26" i="5"/>
  <c r="I26" i="5"/>
  <c r="H26" i="5"/>
  <c r="G26" i="5"/>
  <c r="F26" i="5"/>
  <c r="E26" i="5"/>
  <c r="E24" i="5"/>
  <c r="P22" i="5"/>
  <c r="O22" i="5"/>
  <c r="N22" i="5"/>
  <c r="M22" i="5"/>
  <c r="L22" i="5"/>
  <c r="K22" i="5"/>
  <c r="J22" i="5"/>
  <c r="I22" i="5"/>
  <c r="H22" i="5"/>
  <c r="G22" i="5"/>
  <c r="F22" i="5"/>
  <c r="E22" i="5"/>
  <c r="P21" i="5"/>
  <c r="O21" i="5"/>
  <c r="N21" i="5"/>
  <c r="M21" i="5"/>
  <c r="L21" i="5"/>
  <c r="K21" i="5"/>
  <c r="J21" i="5"/>
  <c r="I21" i="5"/>
  <c r="H21" i="5"/>
  <c r="G21" i="5"/>
  <c r="F21" i="5"/>
  <c r="E21" i="5"/>
  <c r="P20" i="5"/>
  <c r="O20" i="5"/>
  <c r="N20" i="5"/>
  <c r="M20" i="5"/>
  <c r="L20" i="5"/>
  <c r="K20" i="5"/>
  <c r="J20" i="5"/>
  <c r="I20" i="5"/>
  <c r="H20" i="5"/>
  <c r="G20" i="5"/>
  <c r="F20" i="5"/>
  <c r="E20" i="5"/>
  <c r="P19" i="5"/>
  <c r="O19" i="5"/>
  <c r="N19" i="5"/>
  <c r="M19" i="5"/>
  <c r="L19" i="5"/>
  <c r="K19" i="5"/>
  <c r="J19" i="5"/>
  <c r="I19" i="5"/>
  <c r="H19" i="5"/>
  <c r="G19" i="5"/>
  <c r="F19" i="5"/>
  <c r="E19" i="5"/>
  <c r="P18" i="5"/>
  <c r="O18" i="5"/>
  <c r="N18" i="5"/>
  <c r="M18" i="5"/>
  <c r="L18" i="5"/>
  <c r="K18" i="5"/>
  <c r="J18" i="5"/>
  <c r="H18" i="5"/>
  <c r="G18" i="5"/>
  <c r="F18" i="5"/>
  <c r="E18" i="5"/>
  <c r="P17" i="5"/>
  <c r="O17" i="5"/>
  <c r="N17" i="5"/>
  <c r="M17" i="5"/>
  <c r="L17" i="5"/>
  <c r="K17" i="5"/>
  <c r="J17" i="5"/>
  <c r="H17" i="5"/>
  <c r="G17" i="5"/>
  <c r="F17" i="5"/>
  <c r="E17" i="5"/>
  <c r="I14" i="5"/>
  <c r="I18" i="5" s="1"/>
  <c r="I13" i="5"/>
  <c r="I17" i="5" s="1"/>
  <c r="Q5" i="5"/>
  <c r="Q4" i="5"/>
  <c r="Q3" i="5"/>
  <c r="Q2" i="5"/>
  <c r="K59" i="4"/>
  <c r="I59" i="4"/>
  <c r="N58" i="4"/>
  <c r="M58" i="4"/>
  <c r="L58" i="4"/>
  <c r="K58" i="4"/>
  <c r="J58" i="4"/>
  <c r="I58" i="4"/>
  <c r="H58" i="4"/>
  <c r="G58" i="4"/>
  <c r="F58" i="4"/>
  <c r="D58" i="4"/>
  <c r="C58" i="4"/>
  <c r="B58" i="4"/>
  <c r="N57" i="4"/>
  <c r="M57" i="4"/>
  <c r="L57" i="4"/>
  <c r="K57" i="4"/>
  <c r="J57" i="4"/>
  <c r="I57" i="4"/>
  <c r="H57" i="4"/>
  <c r="G57" i="4"/>
  <c r="D57" i="4"/>
  <c r="C57" i="4"/>
  <c r="B57" i="4"/>
  <c r="N53" i="4"/>
  <c r="M53" i="4"/>
  <c r="L53" i="4"/>
  <c r="K53" i="4"/>
  <c r="J53" i="4"/>
  <c r="I53" i="4"/>
  <c r="H53" i="4"/>
  <c r="G53" i="4"/>
  <c r="F53" i="4"/>
  <c r="E53" i="4"/>
  <c r="D53" i="4"/>
  <c r="C53" i="4"/>
  <c r="N49" i="4"/>
  <c r="M49" i="4"/>
  <c r="L49" i="4"/>
  <c r="K49" i="4"/>
  <c r="J49" i="4"/>
  <c r="I49" i="4"/>
  <c r="H49" i="4"/>
  <c r="G49" i="4"/>
  <c r="F49" i="4"/>
  <c r="E49" i="4"/>
  <c r="D49" i="4"/>
  <c r="C49" i="4"/>
  <c r="N45" i="4"/>
  <c r="M45" i="4"/>
  <c r="L45" i="4"/>
  <c r="K45" i="4"/>
  <c r="J45" i="4"/>
  <c r="I45" i="4"/>
  <c r="H45" i="4"/>
  <c r="G45" i="4"/>
  <c r="F45" i="4"/>
  <c r="E45" i="4"/>
  <c r="D45" i="4"/>
  <c r="C45" i="4"/>
  <c r="B35" i="4"/>
  <c r="N28" i="4"/>
  <c r="M28" i="4"/>
  <c r="L28" i="4"/>
  <c r="K28" i="4"/>
  <c r="J28" i="4"/>
  <c r="I28" i="4"/>
  <c r="H28" i="4"/>
  <c r="G28" i="4"/>
  <c r="F28" i="4"/>
  <c r="D28" i="4"/>
  <c r="C28" i="4"/>
  <c r="B28" i="4"/>
  <c r="E20" i="4"/>
  <c r="E58" i="4" s="1"/>
  <c r="N14" i="4"/>
  <c r="M14" i="4"/>
  <c r="L14" i="4"/>
  <c r="K14" i="4"/>
  <c r="J14" i="4"/>
  <c r="I14" i="4"/>
  <c r="I15" i="4" s="1"/>
  <c r="H14" i="4"/>
  <c r="G14" i="4"/>
  <c r="F14" i="4"/>
  <c r="E14" i="4"/>
  <c r="D14" i="4"/>
  <c r="C14" i="4"/>
  <c r="B14" i="4"/>
  <c r="N10" i="4"/>
  <c r="M10" i="4"/>
  <c r="M59" i="4" s="1"/>
  <c r="L10" i="4"/>
  <c r="L59" i="4" s="1"/>
  <c r="K10" i="4"/>
  <c r="J10" i="4"/>
  <c r="J59" i="4" s="1"/>
  <c r="I10" i="4"/>
  <c r="H10" i="4"/>
  <c r="H59" i="4" s="1"/>
  <c r="E10" i="4"/>
  <c r="D10" i="4"/>
  <c r="D59" i="4" s="1"/>
  <c r="C10" i="4"/>
  <c r="C59" i="4" s="1"/>
  <c r="B10" i="4"/>
  <c r="B59" i="4" s="1"/>
  <c r="G8" i="4"/>
  <c r="G10" i="4" s="1"/>
  <c r="G59" i="4" s="1"/>
  <c r="F8" i="4"/>
  <c r="F57" i="4" s="1"/>
  <c r="B195" i="3"/>
  <c r="AC194" i="3"/>
  <c r="AB194" i="3"/>
  <c r="AA194" i="3"/>
  <c r="L194" i="3"/>
  <c r="K194" i="3"/>
  <c r="K195" i="3" s="1"/>
  <c r="J194" i="3"/>
  <c r="I194" i="3"/>
  <c r="H194" i="3"/>
  <c r="G194" i="3"/>
  <c r="F194" i="3"/>
  <c r="E194" i="3"/>
  <c r="E195" i="3" s="1"/>
  <c r="D194" i="3"/>
  <c r="S180" i="3"/>
  <c r="O180" i="3"/>
  <c r="S179" i="3"/>
  <c r="O179" i="3"/>
  <c r="S177" i="3"/>
  <c r="O177" i="3"/>
  <c r="S176" i="3"/>
  <c r="O176" i="3"/>
  <c r="N176" i="3"/>
  <c r="S175" i="3"/>
  <c r="O175" i="3"/>
  <c r="N175" i="3"/>
  <c r="S174" i="3"/>
  <c r="N174" i="3"/>
  <c r="O174" i="3" s="1"/>
  <c r="S173" i="3"/>
  <c r="N173" i="3"/>
  <c r="O173" i="3" s="1"/>
  <c r="S172" i="3"/>
  <c r="O172" i="3"/>
  <c r="N172" i="3"/>
  <c r="S171" i="3"/>
  <c r="N171" i="3"/>
  <c r="O171" i="3" s="1"/>
  <c r="S170" i="3"/>
  <c r="N170" i="3"/>
  <c r="O170" i="3" s="1"/>
  <c r="S169" i="3"/>
  <c r="N169" i="3"/>
  <c r="O169" i="3" s="1"/>
  <c r="S168" i="3"/>
  <c r="N168" i="3"/>
  <c r="O168" i="3" s="1"/>
  <c r="S167" i="3"/>
  <c r="N167" i="3"/>
  <c r="O167" i="3" s="1"/>
  <c r="S166" i="3"/>
  <c r="N166" i="3"/>
  <c r="O166" i="3" s="1"/>
  <c r="S165" i="3"/>
  <c r="N165" i="3"/>
  <c r="O165" i="3" s="1"/>
  <c r="S164" i="3"/>
  <c r="O164" i="3"/>
  <c r="N164" i="3"/>
  <c r="S163" i="3"/>
  <c r="N163" i="3"/>
  <c r="O163" i="3" s="1"/>
  <c r="S162" i="3"/>
  <c r="N162" i="3"/>
  <c r="O162" i="3" s="1"/>
  <c r="S161" i="3"/>
  <c r="O161" i="3"/>
  <c r="N161" i="3"/>
  <c r="S160" i="3"/>
  <c r="N160" i="3"/>
  <c r="O160" i="3" s="1"/>
  <c r="S159" i="3"/>
  <c r="N159" i="3"/>
  <c r="O159" i="3" s="1"/>
  <c r="S158" i="3"/>
  <c r="O158" i="3"/>
  <c r="N158" i="3"/>
  <c r="S157" i="3"/>
  <c r="N157" i="3"/>
  <c r="O157" i="3" s="1"/>
  <c r="S156" i="3"/>
  <c r="N156" i="3"/>
  <c r="M155" i="3"/>
  <c r="L155" i="3"/>
  <c r="K155" i="3"/>
  <c r="J155" i="3"/>
  <c r="I155" i="3"/>
  <c r="H155" i="3"/>
  <c r="S155" i="3" s="1"/>
  <c r="G155" i="3"/>
  <c r="F155" i="3"/>
  <c r="E155" i="3"/>
  <c r="D155" i="3"/>
  <c r="C155" i="3"/>
  <c r="B155" i="3"/>
  <c r="S153" i="3"/>
  <c r="O153" i="3"/>
  <c r="N153" i="3"/>
  <c r="S152" i="3"/>
  <c r="N152" i="3"/>
  <c r="O152" i="3" s="1"/>
  <c r="S151" i="3"/>
  <c r="N151" i="3"/>
  <c r="O151" i="3" s="1"/>
  <c r="S150" i="3"/>
  <c r="N150" i="3"/>
  <c r="O150" i="3" s="1"/>
  <c r="S149" i="3"/>
  <c r="N149" i="3"/>
  <c r="O149" i="3" s="1"/>
  <c r="S148" i="3"/>
  <c r="N148" i="3"/>
  <c r="O148" i="3" s="1"/>
  <c r="N147" i="3"/>
  <c r="M147" i="3"/>
  <c r="L147" i="3"/>
  <c r="K147" i="3"/>
  <c r="J147" i="3"/>
  <c r="I147" i="3"/>
  <c r="H147" i="3"/>
  <c r="S147" i="3" s="1"/>
  <c r="G147" i="3"/>
  <c r="F147" i="3"/>
  <c r="E147" i="3"/>
  <c r="D147" i="3"/>
  <c r="C147" i="3"/>
  <c r="B147" i="3"/>
  <c r="S146" i="3"/>
  <c r="N146" i="3"/>
  <c r="O146" i="3" s="1"/>
  <c r="S145" i="3"/>
  <c r="O145" i="3"/>
  <c r="N145" i="3"/>
  <c r="S144" i="3"/>
  <c r="N144" i="3"/>
  <c r="O144" i="3" s="1"/>
  <c r="S143" i="3"/>
  <c r="N143" i="3"/>
  <c r="O143" i="3" s="1"/>
  <c r="S142" i="3"/>
  <c r="N142" i="3"/>
  <c r="O142" i="3" s="1"/>
  <c r="S141" i="3"/>
  <c r="N141" i="3"/>
  <c r="O141" i="3" s="1"/>
  <c r="S140" i="3"/>
  <c r="N140" i="3"/>
  <c r="O140" i="3" s="1"/>
  <c r="S139" i="3"/>
  <c r="N139" i="3"/>
  <c r="O139" i="3" s="1"/>
  <c r="S138" i="3"/>
  <c r="N138" i="3"/>
  <c r="O138" i="3" s="1"/>
  <c r="S137" i="3"/>
  <c r="O137" i="3"/>
  <c r="N137" i="3"/>
  <c r="S136" i="3"/>
  <c r="N136" i="3"/>
  <c r="O136" i="3" s="1"/>
  <c r="S135" i="3"/>
  <c r="N135" i="3"/>
  <c r="O135" i="3" s="1"/>
  <c r="S134" i="3"/>
  <c r="N134" i="3"/>
  <c r="O134" i="3" s="1"/>
  <c r="S133" i="3"/>
  <c r="N133" i="3"/>
  <c r="O133" i="3" s="1"/>
  <c r="S132" i="3"/>
  <c r="N132" i="3"/>
  <c r="O132" i="3" s="1"/>
  <c r="S131" i="3"/>
  <c r="N131" i="3"/>
  <c r="O131" i="3" s="1"/>
  <c r="S130" i="3"/>
  <c r="N130" i="3"/>
  <c r="O130" i="3" s="1"/>
  <c r="S129" i="3"/>
  <c r="N129" i="3"/>
  <c r="O129" i="3" s="1"/>
  <c r="S128" i="3"/>
  <c r="N128" i="3"/>
  <c r="O128" i="3" s="1"/>
  <c r="S127" i="3"/>
  <c r="N127" i="3"/>
  <c r="O127" i="3" s="1"/>
  <c r="S126" i="3"/>
  <c r="N126" i="3"/>
  <c r="O126" i="3" s="1"/>
  <c r="S125" i="3"/>
  <c r="O125" i="3"/>
  <c r="N125" i="3"/>
  <c r="S124" i="3"/>
  <c r="N124" i="3"/>
  <c r="O124" i="3" s="1"/>
  <c r="S123" i="3"/>
  <c r="N123" i="3"/>
  <c r="O123" i="3" s="1"/>
  <c r="S122" i="3"/>
  <c r="N122" i="3"/>
  <c r="O122" i="3" s="1"/>
  <c r="M121" i="3"/>
  <c r="L121" i="3"/>
  <c r="K121" i="3"/>
  <c r="J121" i="3"/>
  <c r="I121" i="3"/>
  <c r="H121" i="3"/>
  <c r="S121" i="3" s="1"/>
  <c r="G121" i="3"/>
  <c r="F121" i="3"/>
  <c r="E121" i="3"/>
  <c r="D121" i="3"/>
  <c r="C121" i="3"/>
  <c r="B121" i="3"/>
  <c r="S120" i="3"/>
  <c r="N120" i="3"/>
  <c r="O120" i="3" s="1"/>
  <c r="S119" i="3"/>
  <c r="N119" i="3"/>
  <c r="O119" i="3" s="1"/>
  <c r="S118" i="3"/>
  <c r="N118" i="3"/>
  <c r="O118" i="3" s="1"/>
  <c r="S117" i="3"/>
  <c r="N117" i="3"/>
  <c r="O117" i="3" s="1"/>
  <c r="S116" i="3"/>
  <c r="N116" i="3"/>
  <c r="O116" i="3" s="1"/>
  <c r="S115" i="3"/>
  <c r="N115" i="3"/>
  <c r="O115" i="3" s="1"/>
  <c r="S114" i="3"/>
  <c r="N114" i="3"/>
  <c r="O114" i="3" s="1"/>
  <c r="S113" i="3"/>
  <c r="O113" i="3"/>
  <c r="N113" i="3"/>
  <c r="S112" i="3"/>
  <c r="O112" i="3"/>
  <c r="N112" i="3"/>
  <c r="S111" i="3"/>
  <c r="N111" i="3"/>
  <c r="O111" i="3" s="1"/>
  <c r="S110" i="3"/>
  <c r="N110" i="3"/>
  <c r="O110" i="3" s="1"/>
  <c r="S109" i="3"/>
  <c r="N109" i="3"/>
  <c r="O109" i="3" s="1"/>
  <c r="S108" i="3"/>
  <c r="N108" i="3"/>
  <c r="O108" i="3" s="1"/>
  <c r="S107" i="3"/>
  <c r="N107" i="3"/>
  <c r="O107" i="3" s="1"/>
  <c r="S106" i="3"/>
  <c r="N106" i="3"/>
  <c r="O106" i="3" s="1"/>
  <c r="S105" i="3"/>
  <c r="N105" i="3"/>
  <c r="O105" i="3" s="1"/>
  <c r="S104" i="3"/>
  <c r="N104" i="3"/>
  <c r="O104" i="3" s="1"/>
  <c r="S103" i="3"/>
  <c r="N103" i="3"/>
  <c r="O103" i="3" s="1"/>
  <c r="S102" i="3"/>
  <c r="N102" i="3"/>
  <c r="O102" i="3" s="1"/>
  <c r="S101" i="3"/>
  <c r="N101" i="3"/>
  <c r="O101" i="3" s="1"/>
  <c r="S100" i="3"/>
  <c r="N100" i="3"/>
  <c r="O100" i="3" s="1"/>
  <c r="S99" i="3"/>
  <c r="N99" i="3"/>
  <c r="O99" i="3" s="1"/>
  <c r="S98" i="3"/>
  <c r="N98" i="3"/>
  <c r="O98" i="3" s="1"/>
  <c r="S97" i="3"/>
  <c r="O97" i="3"/>
  <c r="N97" i="3"/>
  <c r="S96" i="3"/>
  <c r="N96" i="3"/>
  <c r="O96" i="3" s="1"/>
  <c r="S95" i="3"/>
  <c r="N95" i="3"/>
  <c r="O95" i="3" s="1"/>
  <c r="S94" i="3"/>
  <c r="N94" i="3"/>
  <c r="O94" i="3" s="1"/>
  <c r="S93" i="3"/>
  <c r="N93" i="3"/>
  <c r="O93" i="3" s="1"/>
  <c r="S92" i="3"/>
  <c r="O92" i="3"/>
  <c r="N92" i="3"/>
  <c r="S91" i="3"/>
  <c r="N91" i="3"/>
  <c r="O91" i="3" s="1"/>
  <c r="S90" i="3"/>
  <c r="N90" i="3"/>
  <c r="O90" i="3" s="1"/>
  <c r="S89" i="3"/>
  <c r="O89" i="3"/>
  <c r="N89" i="3"/>
  <c r="S88" i="3"/>
  <c r="N88" i="3"/>
  <c r="O88" i="3" s="1"/>
  <c r="S87" i="3"/>
  <c r="N87" i="3"/>
  <c r="O87" i="3" s="1"/>
  <c r="S86" i="3"/>
  <c r="N86" i="3"/>
  <c r="O86" i="3" s="1"/>
  <c r="S85" i="3"/>
  <c r="N85" i="3"/>
  <c r="O85" i="3" s="1"/>
  <c r="S84" i="3"/>
  <c r="N84" i="3"/>
  <c r="O84" i="3" s="1"/>
  <c r="S83" i="3"/>
  <c r="N83" i="3"/>
  <c r="O83" i="3" s="1"/>
  <c r="S82" i="3"/>
  <c r="N82" i="3"/>
  <c r="O82" i="3" s="1"/>
  <c r="S81" i="3"/>
  <c r="O81" i="3"/>
  <c r="N81" i="3"/>
  <c r="S80" i="3"/>
  <c r="O80" i="3"/>
  <c r="N80" i="3"/>
  <c r="S79" i="3"/>
  <c r="N79" i="3"/>
  <c r="O79" i="3" s="1"/>
  <c r="S78" i="3"/>
  <c r="N78" i="3"/>
  <c r="O78" i="3" s="1"/>
  <c r="S77" i="3"/>
  <c r="N77" i="3"/>
  <c r="O77" i="3" s="1"/>
  <c r="S76" i="3"/>
  <c r="N76" i="3"/>
  <c r="O76" i="3" s="1"/>
  <c r="S75" i="3"/>
  <c r="N75" i="3"/>
  <c r="O75" i="3" s="1"/>
  <c r="S74" i="3"/>
  <c r="N74" i="3"/>
  <c r="O74" i="3" s="1"/>
  <c r="S73" i="3"/>
  <c r="N73" i="3"/>
  <c r="O73" i="3" s="1"/>
  <c r="M72" i="3"/>
  <c r="L72" i="3"/>
  <c r="K72" i="3"/>
  <c r="J72" i="3"/>
  <c r="I72" i="3"/>
  <c r="H72" i="3"/>
  <c r="S72" i="3" s="1"/>
  <c r="G72" i="3"/>
  <c r="F72" i="3"/>
  <c r="E72" i="3"/>
  <c r="D72" i="3"/>
  <c r="C72" i="3"/>
  <c r="B72" i="3"/>
  <c r="S71" i="3"/>
  <c r="N71" i="3"/>
  <c r="O71" i="3" s="1"/>
  <c r="S70" i="3"/>
  <c r="N70" i="3"/>
  <c r="O70" i="3" s="1"/>
  <c r="S69" i="3"/>
  <c r="N69" i="3"/>
  <c r="O69" i="3" s="1"/>
  <c r="S68" i="3"/>
  <c r="N68" i="3"/>
  <c r="O68" i="3" s="1"/>
  <c r="S67" i="3"/>
  <c r="N67" i="3"/>
  <c r="O67" i="3" s="1"/>
  <c r="S66" i="3"/>
  <c r="N66" i="3"/>
  <c r="O66" i="3" s="1"/>
  <c r="M65" i="3"/>
  <c r="L65" i="3"/>
  <c r="K65" i="3"/>
  <c r="J65" i="3"/>
  <c r="I65" i="3"/>
  <c r="H65" i="3"/>
  <c r="S65" i="3" s="1"/>
  <c r="G65" i="3"/>
  <c r="F65" i="3"/>
  <c r="E65" i="3"/>
  <c r="D65" i="3"/>
  <c r="C65" i="3"/>
  <c r="B65" i="3"/>
  <c r="S64" i="3"/>
  <c r="N64" i="3"/>
  <c r="O64" i="3" s="1"/>
  <c r="S63" i="3"/>
  <c r="N63" i="3"/>
  <c r="O63" i="3" s="1"/>
  <c r="S62" i="3"/>
  <c r="N62" i="3"/>
  <c r="O62" i="3" s="1"/>
  <c r="S61" i="3"/>
  <c r="N61" i="3"/>
  <c r="S60" i="3"/>
  <c r="S59" i="3" s="1"/>
  <c r="O60" i="3"/>
  <c r="N60" i="3"/>
  <c r="M59" i="3"/>
  <c r="L59" i="3"/>
  <c r="K59" i="3"/>
  <c r="J59" i="3"/>
  <c r="I59" i="3"/>
  <c r="H59" i="3"/>
  <c r="G59" i="3"/>
  <c r="F59" i="3"/>
  <c r="E59" i="3"/>
  <c r="D59" i="3"/>
  <c r="C59" i="3"/>
  <c r="B59" i="3"/>
  <c r="S58" i="3"/>
  <c r="N58" i="3"/>
  <c r="O58" i="3" s="1"/>
  <c r="S57" i="3"/>
  <c r="N57" i="3"/>
  <c r="O57" i="3" s="1"/>
  <c r="S56" i="3"/>
  <c r="N56" i="3"/>
  <c r="S55" i="3"/>
  <c r="N55" i="3"/>
  <c r="O55" i="3" s="1"/>
  <c r="S54" i="3"/>
  <c r="N54" i="3"/>
  <c r="O54" i="3" s="1"/>
  <c r="S53" i="3"/>
  <c r="N53" i="3"/>
  <c r="O53" i="3" s="1"/>
  <c r="M52" i="3"/>
  <c r="L52" i="3"/>
  <c r="K52" i="3"/>
  <c r="J52" i="3"/>
  <c r="I52" i="3"/>
  <c r="H52" i="3"/>
  <c r="G52" i="3"/>
  <c r="F52" i="3"/>
  <c r="E52" i="3"/>
  <c r="E51" i="3" s="1"/>
  <c r="D52" i="3"/>
  <c r="C52" i="3"/>
  <c r="C51" i="3" s="1"/>
  <c r="B52" i="3"/>
  <c r="S50" i="3"/>
  <c r="N50" i="3"/>
  <c r="O50" i="3" s="1"/>
  <c r="S49" i="3"/>
  <c r="O49" i="3"/>
  <c r="N49" i="3"/>
  <c r="S48" i="3"/>
  <c r="N48" i="3"/>
  <c r="O48" i="3" s="1"/>
  <c r="S47" i="3"/>
  <c r="N47" i="3"/>
  <c r="O47" i="3" s="1"/>
  <c r="S46" i="3"/>
  <c r="N46" i="3"/>
  <c r="O46" i="3" s="1"/>
  <c r="S45" i="3"/>
  <c r="N45" i="3"/>
  <c r="O45" i="3" s="1"/>
  <c r="S44" i="3"/>
  <c r="N44" i="3"/>
  <c r="O44" i="3" s="1"/>
  <c r="S43" i="3"/>
  <c r="N43" i="3"/>
  <c r="O43" i="3" s="1"/>
  <c r="S42" i="3"/>
  <c r="N42" i="3"/>
  <c r="O42" i="3" s="1"/>
  <c r="M41" i="3"/>
  <c r="L41" i="3"/>
  <c r="K41" i="3"/>
  <c r="J41" i="3"/>
  <c r="I41" i="3"/>
  <c r="H41" i="3"/>
  <c r="S41" i="3" s="1"/>
  <c r="G41" i="3"/>
  <c r="F41" i="3"/>
  <c r="E41" i="3"/>
  <c r="D41" i="3"/>
  <c r="C41" i="3"/>
  <c r="B41" i="3"/>
  <c r="S40" i="3"/>
  <c r="N40" i="3"/>
  <c r="O40" i="3" s="1"/>
  <c r="S39" i="3"/>
  <c r="N39" i="3"/>
  <c r="O39" i="3" s="1"/>
  <c r="S38" i="3"/>
  <c r="N38" i="3"/>
  <c r="O38" i="3" s="1"/>
  <c r="S37" i="3"/>
  <c r="N37" i="3"/>
  <c r="O37" i="3" s="1"/>
  <c r="S36" i="3"/>
  <c r="N36" i="3"/>
  <c r="O36" i="3" s="1"/>
  <c r="S35" i="3"/>
  <c r="N35" i="3"/>
  <c r="O35" i="3" s="1"/>
  <c r="S34" i="3"/>
  <c r="N34" i="3"/>
  <c r="O34" i="3" s="1"/>
  <c r="S33" i="3"/>
  <c r="O33" i="3"/>
  <c r="N33" i="3"/>
  <c r="S32" i="3"/>
  <c r="N32" i="3"/>
  <c r="O32" i="3" s="1"/>
  <c r="S31" i="3"/>
  <c r="N31" i="3"/>
  <c r="O31" i="3" s="1"/>
  <c r="S30" i="3"/>
  <c r="N30" i="3"/>
  <c r="O30" i="3" s="1"/>
  <c r="S29" i="3"/>
  <c r="N29" i="3"/>
  <c r="O29" i="3" s="1"/>
  <c r="M28" i="3"/>
  <c r="L28" i="3"/>
  <c r="K28" i="3"/>
  <c r="J28" i="3"/>
  <c r="I28" i="3"/>
  <c r="H28" i="3"/>
  <c r="G28" i="3"/>
  <c r="F28" i="3"/>
  <c r="E28" i="3"/>
  <c r="D28" i="3"/>
  <c r="C28" i="3"/>
  <c r="B28" i="3"/>
  <c r="S26" i="3"/>
  <c r="O26" i="3"/>
  <c r="N26" i="3"/>
  <c r="S25" i="3"/>
  <c r="N25" i="3"/>
  <c r="O25" i="3" s="1"/>
  <c r="S24" i="3"/>
  <c r="N24" i="3"/>
  <c r="O24" i="3" s="1"/>
  <c r="S23" i="3"/>
  <c r="O23" i="3"/>
  <c r="N23" i="3"/>
  <c r="S22" i="3"/>
  <c r="N22" i="3"/>
  <c r="O22" i="3" s="1"/>
  <c r="S21" i="3"/>
  <c r="N21" i="3"/>
  <c r="O21" i="3" s="1"/>
  <c r="S20" i="3"/>
  <c r="N20" i="3"/>
  <c r="S19" i="3"/>
  <c r="N19" i="3"/>
  <c r="O19" i="3" s="1"/>
  <c r="M18" i="3"/>
  <c r="L18" i="3"/>
  <c r="K18" i="3"/>
  <c r="J18" i="3"/>
  <c r="I18" i="3"/>
  <c r="H18" i="3"/>
  <c r="S18" i="3" s="1"/>
  <c r="G18" i="3"/>
  <c r="F18" i="3"/>
  <c r="E18" i="3"/>
  <c r="D18" i="3"/>
  <c r="C18" i="3"/>
  <c r="B18" i="3"/>
  <c r="S17" i="3"/>
  <c r="N17" i="3"/>
  <c r="O17" i="3" s="1"/>
  <c r="S16" i="3"/>
  <c r="O16" i="3"/>
  <c r="N16" i="3"/>
  <c r="S15" i="3"/>
  <c r="N15" i="3"/>
  <c r="N14" i="3" s="1"/>
  <c r="O14" i="3" s="1"/>
  <c r="M14" i="3"/>
  <c r="L14" i="3"/>
  <c r="K14" i="3"/>
  <c r="J14" i="3"/>
  <c r="I14" i="3"/>
  <c r="I2" i="3" s="1"/>
  <c r="H14" i="3"/>
  <c r="S14" i="3" s="1"/>
  <c r="G14" i="3"/>
  <c r="G2" i="3" s="1"/>
  <c r="F14" i="3"/>
  <c r="E14" i="3"/>
  <c r="D14" i="3"/>
  <c r="C14" i="3"/>
  <c r="B14" i="3"/>
  <c r="S13" i="3"/>
  <c r="N13" i="3"/>
  <c r="O13" i="3" s="1"/>
  <c r="S12" i="3"/>
  <c r="O12" i="3"/>
  <c r="N12" i="3"/>
  <c r="S11" i="3"/>
  <c r="O11" i="3"/>
  <c r="N11" i="3"/>
  <c r="S10" i="3"/>
  <c r="N10" i="3"/>
  <c r="O10" i="3" s="1"/>
  <c r="S9" i="3"/>
  <c r="N9" i="3"/>
  <c r="O9" i="3" s="1"/>
  <c r="S8" i="3"/>
  <c r="N8" i="3"/>
  <c r="O8" i="3" s="1"/>
  <c r="S7" i="3"/>
  <c r="N7" i="3"/>
  <c r="S6" i="3"/>
  <c r="N6" i="3"/>
  <c r="O6" i="3" s="1"/>
  <c r="S5" i="3"/>
  <c r="N5" i="3"/>
  <c r="O5" i="3" s="1"/>
  <c r="S4" i="3"/>
  <c r="N4" i="3"/>
  <c r="O4" i="3" s="1"/>
  <c r="M3" i="3"/>
  <c r="L3" i="3"/>
  <c r="K3" i="3"/>
  <c r="J3" i="3"/>
  <c r="I3" i="3"/>
  <c r="H3" i="3"/>
  <c r="G3" i="3"/>
  <c r="F3" i="3"/>
  <c r="E3" i="3"/>
  <c r="E2" i="3" s="1"/>
  <c r="E178" i="3" s="1"/>
  <c r="D3" i="3"/>
  <c r="C3" i="3"/>
  <c r="B3" i="3"/>
  <c r="D2" i="3"/>
  <c r="C2" i="3"/>
  <c r="C178" i="3" s="1"/>
  <c r="C31" i="1" s="1"/>
  <c r="O210" i="6" s="1"/>
  <c r="B291" i="2"/>
  <c r="L290" i="2"/>
  <c r="K290" i="2"/>
  <c r="J290" i="2"/>
  <c r="I290" i="2"/>
  <c r="H290" i="2"/>
  <c r="G290" i="2"/>
  <c r="F290" i="2"/>
  <c r="E290" i="2"/>
  <c r="D290" i="2"/>
  <c r="L279" i="2"/>
  <c r="K279" i="2"/>
  <c r="B279" i="2"/>
  <c r="L277" i="2"/>
  <c r="G277" i="2"/>
  <c r="B277" i="2"/>
  <c r="K276" i="2"/>
  <c r="J276" i="2"/>
  <c r="G276" i="2"/>
  <c r="M274" i="2"/>
  <c r="L274" i="2"/>
  <c r="L281" i="2" s="1"/>
  <c r="K274" i="2"/>
  <c r="J274" i="2"/>
  <c r="I274" i="2"/>
  <c r="I272" i="2" s="1"/>
  <c r="H274" i="2"/>
  <c r="H277" i="2" s="1"/>
  <c r="G274" i="2"/>
  <c r="G272" i="2" s="1"/>
  <c r="F274" i="2"/>
  <c r="F281" i="2" s="1"/>
  <c r="E274" i="2"/>
  <c r="E281" i="2" s="1"/>
  <c r="D274" i="2"/>
  <c r="C274" i="2"/>
  <c r="B274" i="2"/>
  <c r="B281" i="2" s="1"/>
  <c r="M272" i="2"/>
  <c r="L272" i="2"/>
  <c r="K272" i="2"/>
  <c r="H272" i="2"/>
  <c r="S267" i="2"/>
  <c r="N267" i="2"/>
  <c r="O267" i="2" s="1"/>
  <c r="S266" i="2"/>
  <c r="N266" i="2"/>
  <c r="O266" i="2" s="1"/>
  <c r="S265" i="2"/>
  <c r="N265" i="2"/>
  <c r="S264" i="2"/>
  <c r="N264" i="2"/>
  <c r="O264" i="2" s="1"/>
  <c r="M263" i="2"/>
  <c r="CQ37" i="6" s="1"/>
  <c r="L263" i="2"/>
  <c r="CI37" i="6" s="1"/>
  <c r="K263" i="2"/>
  <c r="CA37" i="6" s="1"/>
  <c r="J263" i="2"/>
  <c r="BS37" i="6" s="1"/>
  <c r="I263" i="2"/>
  <c r="BK37" i="6" s="1"/>
  <c r="H263" i="2"/>
  <c r="BC37" i="6" s="1"/>
  <c r="G263" i="2"/>
  <c r="AU37" i="6" s="1"/>
  <c r="F263" i="2"/>
  <c r="AM37" i="6" s="1"/>
  <c r="E263" i="2"/>
  <c r="AE37" i="6" s="1"/>
  <c r="D263" i="2"/>
  <c r="W37" i="6" s="1"/>
  <c r="C263" i="2"/>
  <c r="O37" i="6" s="1"/>
  <c r="B263" i="2"/>
  <c r="G37" i="6" s="1"/>
  <c r="N262" i="2"/>
  <c r="S261" i="2"/>
  <c r="N261" i="2"/>
  <c r="O261" i="2" s="1"/>
  <c r="S260" i="2"/>
  <c r="N260" i="2"/>
  <c r="O260" i="2" s="1"/>
  <c r="S259" i="2"/>
  <c r="N259" i="2"/>
  <c r="O259" i="2" s="1"/>
  <c r="S258" i="2"/>
  <c r="N258" i="2"/>
  <c r="O258" i="2" s="1"/>
  <c r="S257" i="2"/>
  <c r="N257" i="2"/>
  <c r="O257" i="2" s="1"/>
  <c r="S256" i="2"/>
  <c r="N256" i="2"/>
  <c r="O256" i="2" s="1"/>
  <c r="M255" i="2"/>
  <c r="CQ29" i="6" s="1"/>
  <c r="CT29" i="6" s="1"/>
  <c r="L255" i="2"/>
  <c r="CI29" i="6" s="1"/>
  <c r="K255" i="2"/>
  <c r="CA29" i="6" s="1"/>
  <c r="J255" i="2"/>
  <c r="BS29" i="6" s="1"/>
  <c r="I255" i="2"/>
  <c r="BK29" i="6" s="1"/>
  <c r="H255" i="2"/>
  <c r="BC29" i="6" s="1"/>
  <c r="G255" i="2"/>
  <c r="AU29" i="6" s="1"/>
  <c r="F255" i="2"/>
  <c r="AM29" i="6" s="1"/>
  <c r="E255" i="2"/>
  <c r="AE29" i="6" s="1"/>
  <c r="D255" i="2"/>
  <c r="W29" i="6" s="1"/>
  <c r="C255" i="2"/>
  <c r="O29" i="6" s="1"/>
  <c r="B255" i="2"/>
  <c r="G29" i="6" s="1"/>
  <c r="S254" i="2"/>
  <c r="N254" i="2"/>
  <c r="O254" i="2" s="1"/>
  <c r="S253" i="2"/>
  <c r="N253" i="2"/>
  <c r="O253" i="2" s="1"/>
  <c r="S252" i="2"/>
  <c r="N252" i="2"/>
  <c r="O252" i="2" s="1"/>
  <c r="S251" i="2"/>
  <c r="N251" i="2"/>
  <c r="O251" i="2" s="1"/>
  <c r="S250" i="2"/>
  <c r="N250" i="2"/>
  <c r="O250" i="2" s="1"/>
  <c r="S249" i="2"/>
  <c r="N249" i="2"/>
  <c r="M248" i="2"/>
  <c r="L248" i="2"/>
  <c r="K248" i="2"/>
  <c r="CA22" i="6" s="1"/>
  <c r="J248" i="2"/>
  <c r="BS22" i="6" s="1"/>
  <c r="I248" i="2"/>
  <c r="BK22" i="6" s="1"/>
  <c r="H248" i="2"/>
  <c r="S248" i="2" s="1"/>
  <c r="G248" i="2"/>
  <c r="AU22" i="6" s="1"/>
  <c r="F248" i="2"/>
  <c r="AM22" i="6" s="1"/>
  <c r="E248" i="2"/>
  <c r="AE22" i="6" s="1"/>
  <c r="D248" i="2"/>
  <c r="C248" i="2"/>
  <c r="B248" i="2"/>
  <c r="G22" i="6" s="1"/>
  <c r="S244" i="2"/>
  <c r="N244" i="2"/>
  <c r="O244" i="2" s="1"/>
  <c r="S243" i="2"/>
  <c r="N243" i="2"/>
  <c r="O243" i="2" s="1"/>
  <c r="S242" i="2"/>
  <c r="N242" i="2"/>
  <c r="O242" i="2" s="1"/>
  <c r="S241" i="2"/>
  <c r="N241" i="2"/>
  <c r="O241" i="2" s="1"/>
  <c r="S240" i="2"/>
  <c r="N240" i="2"/>
  <c r="O240" i="2" s="1"/>
  <c r="S239" i="2"/>
  <c r="N239" i="2"/>
  <c r="O239" i="2" s="1"/>
  <c r="S238" i="2"/>
  <c r="N238" i="2"/>
  <c r="O238" i="2" s="1"/>
  <c r="S237" i="2"/>
  <c r="N237" i="2"/>
  <c r="O237" i="2" s="1"/>
  <c r="S236" i="2"/>
  <c r="N236" i="2"/>
  <c r="O236" i="2" s="1"/>
  <c r="S235" i="2"/>
  <c r="N235" i="2"/>
  <c r="O235" i="2" s="1"/>
  <c r="S234" i="2"/>
  <c r="N234" i="2"/>
  <c r="O234" i="2" s="1"/>
  <c r="S233" i="2"/>
  <c r="N233" i="2"/>
  <c r="O233" i="2" s="1"/>
  <c r="S232" i="2"/>
  <c r="N232" i="2"/>
  <c r="O232" i="2" s="1"/>
  <c r="S231" i="2"/>
  <c r="N231" i="2"/>
  <c r="O231" i="2" s="1"/>
  <c r="S230" i="2"/>
  <c r="N230" i="2"/>
  <c r="O230" i="2" s="1"/>
  <c r="S229" i="2"/>
  <c r="N229" i="2"/>
  <c r="O229" i="2" s="1"/>
  <c r="S228" i="2"/>
  <c r="N228" i="2"/>
  <c r="O228" i="2" s="1"/>
  <c r="S227" i="2"/>
  <c r="N227" i="2"/>
  <c r="O227" i="2" s="1"/>
  <c r="S226" i="2"/>
  <c r="N226" i="2"/>
  <c r="O226" i="2" s="1"/>
  <c r="S225" i="2"/>
  <c r="N225" i="2"/>
  <c r="M224" i="2"/>
  <c r="M41" i="1" s="1"/>
  <c r="CQ219" i="6" s="1"/>
  <c r="L224" i="2"/>
  <c r="L41" i="1" s="1"/>
  <c r="CI219" i="6" s="1"/>
  <c r="K224" i="2"/>
  <c r="K41" i="1" s="1"/>
  <c r="CA219" i="6" s="1"/>
  <c r="J224" i="2"/>
  <c r="J41" i="1" s="1"/>
  <c r="BS219" i="6" s="1"/>
  <c r="I224" i="2"/>
  <c r="I41" i="1" s="1"/>
  <c r="BK219" i="6" s="1"/>
  <c r="H224" i="2"/>
  <c r="S224" i="2" s="1"/>
  <c r="G224" i="2"/>
  <c r="G41" i="1" s="1"/>
  <c r="F224" i="2"/>
  <c r="F41" i="1" s="1"/>
  <c r="AM219" i="6" s="1"/>
  <c r="E224" i="2"/>
  <c r="E41" i="1" s="1"/>
  <c r="AE219" i="6" s="1"/>
  <c r="D224" i="2"/>
  <c r="D41" i="1" s="1"/>
  <c r="W219" i="6" s="1"/>
  <c r="C224" i="2"/>
  <c r="C41" i="1" s="1"/>
  <c r="O219" i="6" s="1"/>
  <c r="B224" i="2"/>
  <c r="B41" i="1" s="1"/>
  <c r="G219" i="6" s="1"/>
  <c r="S223" i="2"/>
  <c r="N223" i="2"/>
  <c r="O223" i="2" s="1"/>
  <c r="S222" i="2"/>
  <c r="N222" i="2"/>
  <c r="O222" i="2" s="1"/>
  <c r="S221" i="2"/>
  <c r="N221" i="2"/>
  <c r="O221" i="2" s="1"/>
  <c r="S220" i="2"/>
  <c r="N220" i="2"/>
  <c r="O220" i="2" s="1"/>
  <c r="S219" i="2"/>
  <c r="N219" i="2"/>
  <c r="O219" i="2" s="1"/>
  <c r="S218" i="2"/>
  <c r="F218" i="2"/>
  <c r="N218" i="2" s="1"/>
  <c r="O218" i="2" s="1"/>
  <c r="S217" i="2"/>
  <c r="N217" i="2"/>
  <c r="O217" i="2" s="1"/>
  <c r="S216" i="2"/>
  <c r="N216" i="2"/>
  <c r="O216" i="2" s="1"/>
  <c r="S215" i="2"/>
  <c r="N215" i="2"/>
  <c r="O215" i="2" s="1"/>
  <c r="S214" i="2"/>
  <c r="N214" i="2"/>
  <c r="O214" i="2" s="1"/>
  <c r="S213" i="2"/>
  <c r="N213" i="2"/>
  <c r="O213" i="2" s="1"/>
  <c r="S212" i="2"/>
  <c r="N212" i="2"/>
  <c r="M211" i="2"/>
  <c r="L211" i="2"/>
  <c r="L40" i="1" s="1"/>
  <c r="CI218" i="6" s="1"/>
  <c r="K211" i="2"/>
  <c r="J211" i="2"/>
  <c r="I211" i="2"/>
  <c r="H211" i="2"/>
  <c r="H40" i="1" s="1"/>
  <c r="G211" i="2"/>
  <c r="G40" i="1" s="1"/>
  <c r="AU218" i="6" s="1"/>
  <c r="F211" i="2"/>
  <c r="E211" i="2"/>
  <c r="D211" i="2"/>
  <c r="C211" i="2"/>
  <c r="C40" i="1" s="1"/>
  <c r="O218" i="6" s="1"/>
  <c r="B211" i="2"/>
  <c r="S210" i="2"/>
  <c r="O210" i="2"/>
  <c r="S209" i="2"/>
  <c r="O209" i="2"/>
  <c r="S207" i="2"/>
  <c r="O207" i="2"/>
  <c r="S206" i="2"/>
  <c r="O206" i="2"/>
  <c r="S205" i="2"/>
  <c r="N205" i="2"/>
  <c r="O205" i="2" s="1"/>
  <c r="S204" i="2"/>
  <c r="N204" i="2"/>
  <c r="O204" i="2" s="1"/>
  <c r="S203" i="2"/>
  <c r="N203" i="2"/>
  <c r="O203" i="2" s="1"/>
  <c r="S202" i="2"/>
  <c r="N202" i="2"/>
  <c r="O202" i="2" s="1"/>
  <c r="S201" i="2"/>
  <c r="N201" i="2"/>
  <c r="O201" i="2" s="1"/>
  <c r="S200" i="2"/>
  <c r="N200" i="2"/>
  <c r="O200" i="2" s="1"/>
  <c r="S199" i="2"/>
  <c r="N199" i="2"/>
  <c r="O199" i="2" s="1"/>
  <c r="S198" i="2"/>
  <c r="N198" i="2"/>
  <c r="O198" i="2" s="1"/>
  <c r="S197" i="2"/>
  <c r="N197" i="2"/>
  <c r="O197" i="2" s="1"/>
  <c r="S195" i="2"/>
  <c r="N195" i="2"/>
  <c r="O195" i="2" s="1"/>
  <c r="S194" i="2"/>
  <c r="N194" i="2"/>
  <c r="O194" i="2" s="1"/>
  <c r="S193" i="2"/>
  <c r="N193" i="2"/>
  <c r="S192" i="2"/>
  <c r="N192" i="2"/>
  <c r="O192" i="2" s="1"/>
  <c r="M191" i="2"/>
  <c r="L191" i="2"/>
  <c r="L278" i="2" s="1"/>
  <c r="K191" i="2"/>
  <c r="K278" i="2" s="1"/>
  <c r="J191" i="2"/>
  <c r="J278" i="2" s="1"/>
  <c r="I191" i="2"/>
  <c r="H191" i="2"/>
  <c r="S191" i="2" s="1"/>
  <c r="G191" i="2"/>
  <c r="G278" i="2" s="1"/>
  <c r="F191" i="2"/>
  <c r="E191" i="2"/>
  <c r="D191" i="2"/>
  <c r="D278" i="2" s="1"/>
  <c r="C191" i="2"/>
  <c r="C278" i="2" s="1"/>
  <c r="B191" i="2"/>
  <c r="B278" i="2" s="1"/>
  <c r="S190" i="2"/>
  <c r="N190" i="2"/>
  <c r="O190" i="2" s="1"/>
  <c r="S189" i="2"/>
  <c r="N189" i="2"/>
  <c r="S188" i="2"/>
  <c r="N188" i="2"/>
  <c r="O188" i="2" s="1"/>
  <c r="M187" i="2"/>
  <c r="L187" i="2"/>
  <c r="K187" i="2"/>
  <c r="J187" i="2"/>
  <c r="I187" i="2"/>
  <c r="H187" i="2"/>
  <c r="S187" i="2" s="1"/>
  <c r="G187" i="2"/>
  <c r="F187" i="2"/>
  <c r="E187" i="2"/>
  <c r="D187" i="2"/>
  <c r="C187" i="2"/>
  <c r="B187" i="2"/>
  <c r="S186" i="2"/>
  <c r="N186" i="2"/>
  <c r="O186" i="2" s="1"/>
  <c r="S185" i="2"/>
  <c r="N185" i="2"/>
  <c r="O185" i="2" s="1"/>
  <c r="S184" i="2"/>
  <c r="N184" i="2"/>
  <c r="O184" i="2" s="1"/>
  <c r="S183" i="2"/>
  <c r="N183" i="2"/>
  <c r="O183" i="2" s="1"/>
  <c r="S182" i="2"/>
  <c r="N182" i="2"/>
  <c r="M181" i="2"/>
  <c r="M208" i="2" s="1"/>
  <c r="M30" i="1" s="1"/>
  <c r="CQ208" i="6" s="1"/>
  <c r="L181" i="2"/>
  <c r="L208" i="2" s="1"/>
  <c r="L30" i="1" s="1"/>
  <c r="CI208" i="6" s="1"/>
  <c r="K181" i="2"/>
  <c r="J181" i="2"/>
  <c r="I181" i="2"/>
  <c r="H181" i="2"/>
  <c r="G181" i="2"/>
  <c r="G208" i="2" s="1"/>
  <c r="G30" i="1" s="1"/>
  <c r="AU208" i="6" s="1"/>
  <c r="F181" i="2"/>
  <c r="F208" i="2" s="1"/>
  <c r="F30" i="1" s="1"/>
  <c r="AM208" i="6" s="1"/>
  <c r="E181" i="2"/>
  <c r="E208" i="2" s="1"/>
  <c r="E30" i="1" s="1"/>
  <c r="AE208" i="6" s="1"/>
  <c r="D181" i="2"/>
  <c r="C181" i="2"/>
  <c r="B181" i="2"/>
  <c r="B208" i="2" s="1"/>
  <c r="B30" i="1" s="1"/>
  <c r="S179" i="2"/>
  <c r="O179" i="2"/>
  <c r="S177" i="2"/>
  <c r="O177" i="2"/>
  <c r="S176" i="2"/>
  <c r="F176" i="2"/>
  <c r="AM206" i="6" s="1"/>
  <c r="S175" i="2"/>
  <c r="N175" i="2"/>
  <c r="O175" i="2" s="1"/>
  <c r="S174" i="2"/>
  <c r="N174" i="2"/>
  <c r="O174" i="2" s="1"/>
  <c r="S173" i="2"/>
  <c r="N173" i="2"/>
  <c r="O173" i="2" s="1"/>
  <c r="S172" i="2"/>
  <c r="N172" i="2"/>
  <c r="O172" i="2" s="1"/>
  <c r="S171" i="2"/>
  <c r="N171" i="2"/>
  <c r="O171" i="2" s="1"/>
  <c r="S170" i="2"/>
  <c r="N170" i="2"/>
  <c r="O170" i="2" s="1"/>
  <c r="S169" i="2"/>
  <c r="N169" i="2"/>
  <c r="O169" i="2" s="1"/>
  <c r="S168" i="2"/>
  <c r="N168" i="2"/>
  <c r="O168" i="2" s="1"/>
  <c r="S167" i="2"/>
  <c r="N167" i="2"/>
  <c r="O167" i="2" s="1"/>
  <c r="S166" i="2"/>
  <c r="N166" i="2"/>
  <c r="O166" i="2" s="1"/>
  <c r="S165" i="2"/>
  <c r="N165" i="2"/>
  <c r="O165" i="2" s="1"/>
  <c r="S164" i="2"/>
  <c r="N164" i="2"/>
  <c r="O164" i="2" s="1"/>
  <c r="S163" i="2"/>
  <c r="N163" i="2"/>
  <c r="O163" i="2" s="1"/>
  <c r="S162" i="2"/>
  <c r="N162" i="2"/>
  <c r="O162" i="2" s="1"/>
  <c r="S161" i="2"/>
  <c r="N161" i="2"/>
  <c r="O161" i="2" s="1"/>
  <c r="S160" i="2"/>
  <c r="N160" i="2"/>
  <c r="O160" i="2" s="1"/>
  <c r="S159" i="2"/>
  <c r="N159" i="2"/>
  <c r="O159" i="2" s="1"/>
  <c r="S158" i="2"/>
  <c r="N158" i="2"/>
  <c r="O158" i="2" s="1"/>
  <c r="S157" i="2"/>
  <c r="N157" i="2"/>
  <c r="O157" i="2" s="1"/>
  <c r="S156" i="2"/>
  <c r="N156" i="2"/>
  <c r="O156" i="2" s="1"/>
  <c r="M155" i="2"/>
  <c r="CQ205" i="6" s="1"/>
  <c r="L155" i="2"/>
  <c r="CI205" i="6" s="1"/>
  <c r="K155" i="2"/>
  <c r="CA205" i="6" s="1"/>
  <c r="J155" i="2"/>
  <c r="BS205" i="6" s="1"/>
  <c r="I155" i="2"/>
  <c r="BK205" i="6" s="1"/>
  <c r="H155" i="2"/>
  <c r="BC205" i="6" s="1"/>
  <c r="G155" i="2"/>
  <c r="AU205" i="6" s="1"/>
  <c r="F155" i="2"/>
  <c r="AM205" i="6" s="1"/>
  <c r="E155" i="2"/>
  <c r="AE205" i="6" s="1"/>
  <c r="D155" i="2"/>
  <c r="W205" i="6" s="1"/>
  <c r="C155" i="2"/>
  <c r="O205" i="6" s="1"/>
  <c r="B155" i="2"/>
  <c r="G205" i="6" s="1"/>
  <c r="S153" i="2"/>
  <c r="N153" i="2"/>
  <c r="O153" i="2" s="1"/>
  <c r="S152" i="2"/>
  <c r="N152" i="2"/>
  <c r="O152" i="2" s="1"/>
  <c r="S151" i="2"/>
  <c r="N151" i="2"/>
  <c r="O151" i="2" s="1"/>
  <c r="S150" i="2"/>
  <c r="N150" i="2"/>
  <c r="O150" i="2" s="1"/>
  <c r="S149" i="2"/>
  <c r="N149" i="2"/>
  <c r="O149" i="2" s="1"/>
  <c r="S148" i="2"/>
  <c r="N148" i="2"/>
  <c r="O148" i="2" s="1"/>
  <c r="M147" i="2"/>
  <c r="CQ197" i="6" s="1"/>
  <c r="L147" i="2"/>
  <c r="CI197" i="6" s="1"/>
  <c r="K147" i="2"/>
  <c r="CA197" i="6" s="1"/>
  <c r="J147" i="2"/>
  <c r="BS197" i="6" s="1"/>
  <c r="I147" i="2"/>
  <c r="BK197" i="6" s="1"/>
  <c r="H147" i="2"/>
  <c r="BC197" i="6" s="1"/>
  <c r="G147" i="2"/>
  <c r="AU197" i="6" s="1"/>
  <c r="F147" i="2"/>
  <c r="AM197" i="6" s="1"/>
  <c r="E147" i="2"/>
  <c r="AE197" i="6" s="1"/>
  <c r="D147" i="2"/>
  <c r="W197" i="6" s="1"/>
  <c r="C147" i="2"/>
  <c r="O197" i="6" s="1"/>
  <c r="B147" i="2"/>
  <c r="G197" i="6" s="1"/>
  <c r="S146" i="2"/>
  <c r="N146" i="2"/>
  <c r="O146" i="2" s="1"/>
  <c r="S145" i="2"/>
  <c r="N145" i="2"/>
  <c r="O145" i="2" s="1"/>
  <c r="S144" i="2"/>
  <c r="N144" i="2"/>
  <c r="O144" i="2" s="1"/>
  <c r="S143" i="2"/>
  <c r="N143" i="2"/>
  <c r="O143" i="2" s="1"/>
  <c r="S142" i="2"/>
  <c r="N142" i="2"/>
  <c r="O142" i="2" s="1"/>
  <c r="S141" i="2"/>
  <c r="N141" i="2"/>
  <c r="O141" i="2" s="1"/>
  <c r="S140" i="2"/>
  <c r="N140" i="2"/>
  <c r="O140" i="2" s="1"/>
  <c r="S139" i="2"/>
  <c r="N139" i="2"/>
  <c r="O139" i="2" s="1"/>
  <c r="S138" i="2"/>
  <c r="N138" i="2"/>
  <c r="O138" i="2" s="1"/>
  <c r="S137" i="2"/>
  <c r="N137" i="2"/>
  <c r="O137" i="2" s="1"/>
  <c r="S136" i="2"/>
  <c r="N136" i="2"/>
  <c r="O136" i="2" s="1"/>
  <c r="S135" i="2"/>
  <c r="N135" i="2"/>
  <c r="O135" i="2" s="1"/>
  <c r="S134" i="2"/>
  <c r="N134" i="2"/>
  <c r="O134" i="2" s="1"/>
  <c r="S133" i="2"/>
  <c r="N133" i="2"/>
  <c r="O133" i="2" s="1"/>
  <c r="S132" i="2"/>
  <c r="N132" i="2"/>
  <c r="O132" i="2" s="1"/>
  <c r="S131" i="2"/>
  <c r="N131" i="2"/>
  <c r="O131" i="2" s="1"/>
  <c r="S130" i="2"/>
  <c r="N130" i="2"/>
  <c r="O130" i="2" s="1"/>
  <c r="S129" i="2"/>
  <c r="N129" i="2"/>
  <c r="O129" i="2" s="1"/>
  <c r="S128" i="2"/>
  <c r="N128" i="2"/>
  <c r="O128" i="2" s="1"/>
  <c r="S127" i="2"/>
  <c r="N127" i="2"/>
  <c r="O127" i="2" s="1"/>
  <c r="S126" i="2"/>
  <c r="N126" i="2"/>
  <c r="O126" i="2" s="1"/>
  <c r="S125" i="2"/>
  <c r="N125" i="2"/>
  <c r="O125" i="2" s="1"/>
  <c r="S124" i="2"/>
  <c r="N124" i="2"/>
  <c r="O124" i="2" s="1"/>
  <c r="S123" i="2"/>
  <c r="N123" i="2"/>
  <c r="O123" i="2" s="1"/>
  <c r="S122" i="2"/>
  <c r="N122" i="2"/>
  <c r="O122" i="2" s="1"/>
  <c r="M121" i="2"/>
  <c r="CQ171" i="6" s="1"/>
  <c r="L121" i="2"/>
  <c r="CI171" i="6" s="1"/>
  <c r="K121" i="2"/>
  <c r="CA171" i="6" s="1"/>
  <c r="J121" i="2"/>
  <c r="BS171" i="6" s="1"/>
  <c r="I121" i="2"/>
  <c r="BK171" i="6" s="1"/>
  <c r="H121" i="2"/>
  <c r="BC171" i="6" s="1"/>
  <c r="G121" i="2"/>
  <c r="AU171" i="6" s="1"/>
  <c r="F121" i="2"/>
  <c r="AM171" i="6" s="1"/>
  <c r="E121" i="2"/>
  <c r="AE171" i="6" s="1"/>
  <c r="D121" i="2"/>
  <c r="W171" i="6" s="1"/>
  <c r="C121" i="2"/>
  <c r="O171" i="6" s="1"/>
  <c r="B121" i="2"/>
  <c r="G171" i="6" s="1"/>
  <c r="S120" i="2"/>
  <c r="N120" i="2"/>
  <c r="O120" i="2" s="1"/>
  <c r="S119" i="2"/>
  <c r="N119" i="2"/>
  <c r="O119" i="2" s="1"/>
  <c r="S118" i="2"/>
  <c r="N118" i="2"/>
  <c r="O118" i="2" s="1"/>
  <c r="S117" i="2"/>
  <c r="N117" i="2"/>
  <c r="O117" i="2" s="1"/>
  <c r="S116" i="2"/>
  <c r="N116" i="2"/>
  <c r="O116" i="2" s="1"/>
  <c r="S115" i="2"/>
  <c r="N115" i="2"/>
  <c r="O115" i="2" s="1"/>
  <c r="S114" i="2"/>
  <c r="N114" i="2"/>
  <c r="O114" i="2" s="1"/>
  <c r="S113" i="2"/>
  <c r="N113" i="2"/>
  <c r="O113" i="2" s="1"/>
  <c r="S112" i="2"/>
  <c r="N112" i="2"/>
  <c r="O112" i="2" s="1"/>
  <c r="S111" i="2"/>
  <c r="N111" i="2"/>
  <c r="O111" i="2" s="1"/>
  <c r="S110" i="2"/>
  <c r="N110" i="2"/>
  <c r="O110" i="2" s="1"/>
  <c r="S109" i="2"/>
  <c r="N109" i="2"/>
  <c r="O109" i="2" s="1"/>
  <c r="S108" i="2"/>
  <c r="N108" i="2"/>
  <c r="O108" i="2" s="1"/>
  <c r="S107" i="2"/>
  <c r="N107" i="2"/>
  <c r="O107" i="2" s="1"/>
  <c r="S106" i="2"/>
  <c r="N106" i="2"/>
  <c r="O106" i="2" s="1"/>
  <c r="S105" i="2"/>
  <c r="N105" i="2"/>
  <c r="O105" i="2" s="1"/>
  <c r="S104" i="2"/>
  <c r="N104" i="2"/>
  <c r="O104" i="2" s="1"/>
  <c r="S103" i="2"/>
  <c r="N103" i="2"/>
  <c r="O103" i="2" s="1"/>
  <c r="S102" i="2"/>
  <c r="N102" i="2"/>
  <c r="O102" i="2" s="1"/>
  <c r="S101" i="2"/>
  <c r="N101" i="2"/>
  <c r="O101" i="2" s="1"/>
  <c r="S100" i="2"/>
  <c r="N100" i="2"/>
  <c r="O100" i="2" s="1"/>
  <c r="S99" i="2"/>
  <c r="N99" i="2"/>
  <c r="O99" i="2" s="1"/>
  <c r="S98" i="2"/>
  <c r="N98" i="2"/>
  <c r="O98" i="2" s="1"/>
  <c r="S97" i="2"/>
  <c r="N97" i="2"/>
  <c r="O97" i="2" s="1"/>
  <c r="S96" i="2"/>
  <c r="N96" i="2"/>
  <c r="O96" i="2" s="1"/>
  <c r="S95" i="2"/>
  <c r="N95" i="2"/>
  <c r="O95" i="2" s="1"/>
  <c r="S94" i="2"/>
  <c r="N94" i="2"/>
  <c r="O94" i="2" s="1"/>
  <c r="S93" i="2"/>
  <c r="N93" i="2"/>
  <c r="O93" i="2" s="1"/>
  <c r="S92" i="2"/>
  <c r="N92" i="2"/>
  <c r="O92" i="2" s="1"/>
  <c r="S91" i="2"/>
  <c r="N91" i="2"/>
  <c r="O91" i="2" s="1"/>
  <c r="S90" i="2"/>
  <c r="N90" i="2"/>
  <c r="O90" i="2" s="1"/>
  <c r="S89" i="2"/>
  <c r="N89" i="2"/>
  <c r="O89" i="2" s="1"/>
  <c r="S88" i="2"/>
  <c r="N88" i="2"/>
  <c r="O88" i="2" s="1"/>
  <c r="S87" i="2"/>
  <c r="N87" i="2"/>
  <c r="O87" i="2" s="1"/>
  <c r="S86" i="2"/>
  <c r="N86" i="2"/>
  <c r="O86" i="2" s="1"/>
  <c r="S85" i="2"/>
  <c r="N85" i="2"/>
  <c r="O85" i="2" s="1"/>
  <c r="S84" i="2"/>
  <c r="N84" i="2"/>
  <c r="O84" i="2" s="1"/>
  <c r="S83" i="2"/>
  <c r="N83" i="2"/>
  <c r="O83" i="2" s="1"/>
  <c r="S82" i="2"/>
  <c r="N82" i="2"/>
  <c r="O82" i="2" s="1"/>
  <c r="S81" i="2"/>
  <c r="N81" i="2"/>
  <c r="O81" i="2" s="1"/>
  <c r="S80" i="2"/>
  <c r="N80" i="2"/>
  <c r="O80" i="2" s="1"/>
  <c r="S79" i="2"/>
  <c r="N79" i="2"/>
  <c r="O79" i="2" s="1"/>
  <c r="S78" i="2"/>
  <c r="N78" i="2"/>
  <c r="O78" i="2" s="1"/>
  <c r="S77" i="2"/>
  <c r="N77" i="2"/>
  <c r="O77" i="2" s="1"/>
  <c r="S76" i="2"/>
  <c r="N76" i="2"/>
  <c r="O76" i="2" s="1"/>
  <c r="S75" i="2"/>
  <c r="N75" i="2"/>
  <c r="O75" i="2" s="1"/>
  <c r="S74" i="2"/>
  <c r="N74" i="2"/>
  <c r="O74" i="2" s="1"/>
  <c r="S73" i="2"/>
  <c r="N73" i="2"/>
  <c r="O73" i="2" s="1"/>
  <c r="M72" i="2"/>
  <c r="CQ122" i="6" s="1"/>
  <c r="L72" i="2"/>
  <c r="CI122" i="6" s="1"/>
  <c r="K72" i="2"/>
  <c r="CA122" i="6" s="1"/>
  <c r="J72" i="2"/>
  <c r="BS122" i="6" s="1"/>
  <c r="I72" i="2"/>
  <c r="BK122" i="6" s="1"/>
  <c r="H72" i="2"/>
  <c r="BC122" i="6" s="1"/>
  <c r="G72" i="2"/>
  <c r="AU122" i="6" s="1"/>
  <c r="F72" i="2"/>
  <c r="AM122" i="6" s="1"/>
  <c r="E72" i="2"/>
  <c r="AE122" i="6" s="1"/>
  <c r="D72" i="2"/>
  <c r="W122" i="6" s="1"/>
  <c r="C72" i="2"/>
  <c r="O122" i="6" s="1"/>
  <c r="B72" i="2"/>
  <c r="G122" i="6" s="1"/>
  <c r="S71" i="2"/>
  <c r="F71" i="2"/>
  <c r="N71" i="2" s="1"/>
  <c r="O71" i="2" s="1"/>
  <c r="S70" i="2"/>
  <c r="N70" i="2"/>
  <c r="O70" i="2" s="1"/>
  <c r="S69" i="2"/>
  <c r="N69" i="2"/>
  <c r="O69" i="2" s="1"/>
  <c r="S68" i="2"/>
  <c r="N68" i="2"/>
  <c r="O68" i="2" s="1"/>
  <c r="M67" i="2"/>
  <c r="CQ117" i="6" s="1"/>
  <c r="L67" i="2"/>
  <c r="CI117" i="6" s="1"/>
  <c r="K67" i="2"/>
  <c r="CA117" i="6" s="1"/>
  <c r="J67" i="2"/>
  <c r="I67" i="2"/>
  <c r="BK117" i="6" s="1"/>
  <c r="H67" i="2"/>
  <c r="BC117" i="6" s="1"/>
  <c r="G67" i="2"/>
  <c r="AU117" i="6" s="1"/>
  <c r="E67" i="2"/>
  <c r="AE117" i="6" s="1"/>
  <c r="D67" i="2"/>
  <c r="W117" i="6" s="1"/>
  <c r="C67" i="2"/>
  <c r="O117" i="6" s="1"/>
  <c r="B67" i="2"/>
  <c r="G117" i="6" s="1"/>
  <c r="S66" i="2"/>
  <c r="N66" i="2"/>
  <c r="O66" i="2" s="1"/>
  <c r="S65" i="2"/>
  <c r="N65" i="2"/>
  <c r="O65" i="2" s="1"/>
  <c r="S64" i="2"/>
  <c r="N64" i="2"/>
  <c r="O64" i="2" s="1"/>
  <c r="S63" i="2"/>
  <c r="N63" i="2"/>
  <c r="O63" i="2" s="1"/>
  <c r="S62" i="2"/>
  <c r="N62" i="2"/>
  <c r="O62" i="2" s="1"/>
  <c r="M61" i="2"/>
  <c r="CQ111" i="6" s="1"/>
  <c r="L61" i="2"/>
  <c r="CI111" i="6" s="1"/>
  <c r="K61" i="2"/>
  <c r="CA111" i="6" s="1"/>
  <c r="J61" i="2"/>
  <c r="BS111" i="6" s="1"/>
  <c r="I61" i="2"/>
  <c r="BK111" i="6" s="1"/>
  <c r="H61" i="2"/>
  <c r="BC111" i="6" s="1"/>
  <c r="G61" i="2"/>
  <c r="F61" i="2"/>
  <c r="E61" i="2"/>
  <c r="AE111" i="6" s="1"/>
  <c r="AF111" i="6" s="1"/>
  <c r="D61" i="2"/>
  <c r="W111" i="6" s="1"/>
  <c r="C61" i="2"/>
  <c r="O111" i="6" s="1"/>
  <c r="B61" i="2"/>
  <c r="G111" i="6" s="1"/>
  <c r="S60" i="2"/>
  <c r="N60" i="2"/>
  <c r="O60" i="2" s="1"/>
  <c r="S59" i="2"/>
  <c r="N59" i="2"/>
  <c r="O59" i="2" s="1"/>
  <c r="S58" i="2"/>
  <c r="N58" i="2"/>
  <c r="O58" i="2" s="1"/>
  <c r="S57" i="2"/>
  <c r="N57" i="2"/>
  <c r="O57" i="2" s="1"/>
  <c r="S56" i="2"/>
  <c r="N56" i="2"/>
  <c r="O56" i="2" s="1"/>
  <c r="S55" i="2"/>
  <c r="N55" i="2"/>
  <c r="O55" i="2" s="1"/>
  <c r="M54" i="2"/>
  <c r="L54" i="2"/>
  <c r="CI104" i="6" s="1"/>
  <c r="K54" i="2"/>
  <c r="CA104" i="6" s="1"/>
  <c r="J54" i="2"/>
  <c r="BS104" i="6" s="1"/>
  <c r="I54" i="2"/>
  <c r="BK104" i="6" s="1"/>
  <c r="H54" i="2"/>
  <c r="BC104" i="6" s="1"/>
  <c r="G54" i="2"/>
  <c r="AU104" i="6" s="1"/>
  <c r="F54" i="2"/>
  <c r="AM104" i="6" s="1"/>
  <c r="E54" i="2"/>
  <c r="D54" i="2"/>
  <c r="W104" i="6" s="1"/>
  <c r="C54" i="2"/>
  <c r="O104" i="6" s="1"/>
  <c r="B54" i="2"/>
  <c r="G104" i="6" s="1"/>
  <c r="S52" i="2"/>
  <c r="N52" i="2"/>
  <c r="O52" i="2" s="1"/>
  <c r="S51" i="2"/>
  <c r="N51" i="2"/>
  <c r="O51" i="2" s="1"/>
  <c r="S50" i="2"/>
  <c r="N50" i="2"/>
  <c r="O50" i="2" s="1"/>
  <c r="S49" i="2"/>
  <c r="N49" i="2"/>
  <c r="O49" i="2" s="1"/>
  <c r="S48" i="2"/>
  <c r="N48" i="2"/>
  <c r="O48" i="2" s="1"/>
  <c r="S47" i="2"/>
  <c r="N47" i="2"/>
  <c r="O47" i="2" s="1"/>
  <c r="S46" i="2"/>
  <c r="N46" i="2"/>
  <c r="O46" i="2" s="1"/>
  <c r="S45" i="2"/>
  <c r="N45" i="2"/>
  <c r="S44" i="2"/>
  <c r="N44" i="2"/>
  <c r="O44" i="2" s="1"/>
  <c r="M43" i="2"/>
  <c r="CQ93" i="6" s="1"/>
  <c r="L43" i="2"/>
  <c r="CI93" i="6" s="1"/>
  <c r="K43" i="2"/>
  <c r="CA93" i="6" s="1"/>
  <c r="J43" i="2"/>
  <c r="BS93" i="6" s="1"/>
  <c r="I43" i="2"/>
  <c r="BK93" i="6" s="1"/>
  <c r="H43" i="2"/>
  <c r="BC93" i="6" s="1"/>
  <c r="G43" i="2"/>
  <c r="AU93" i="6" s="1"/>
  <c r="F43" i="2"/>
  <c r="AM93" i="6" s="1"/>
  <c r="E43" i="2"/>
  <c r="AE93" i="6" s="1"/>
  <c r="D43" i="2"/>
  <c r="W93" i="6" s="1"/>
  <c r="C43" i="2"/>
  <c r="O93" i="6" s="1"/>
  <c r="B43" i="2"/>
  <c r="G93" i="6" s="1"/>
  <c r="S42" i="2"/>
  <c r="N42" i="2"/>
  <c r="O42" i="2" s="1"/>
  <c r="S41" i="2"/>
  <c r="N41" i="2"/>
  <c r="O41" i="2" s="1"/>
  <c r="S40" i="2"/>
  <c r="N40" i="2"/>
  <c r="O40" i="2" s="1"/>
  <c r="S39" i="2"/>
  <c r="N39" i="2"/>
  <c r="O39" i="2" s="1"/>
  <c r="S38" i="2"/>
  <c r="N38" i="2"/>
  <c r="O38" i="2" s="1"/>
  <c r="S37" i="2"/>
  <c r="N37" i="2"/>
  <c r="O37" i="2" s="1"/>
  <c r="S36" i="2"/>
  <c r="N36" i="2"/>
  <c r="O36" i="2" s="1"/>
  <c r="S35" i="2"/>
  <c r="N35" i="2"/>
  <c r="O35" i="2" s="1"/>
  <c r="S34" i="2"/>
  <c r="N34" i="2"/>
  <c r="O34" i="2" s="1"/>
  <c r="S33" i="2"/>
  <c r="N33" i="2"/>
  <c r="O33" i="2" s="1"/>
  <c r="S32" i="2"/>
  <c r="N32" i="2"/>
  <c r="S31" i="2"/>
  <c r="N31" i="2"/>
  <c r="O31" i="2" s="1"/>
  <c r="M30" i="2"/>
  <c r="CQ80" i="6" s="1"/>
  <c r="L30" i="2"/>
  <c r="CI80" i="6" s="1"/>
  <c r="K30" i="2"/>
  <c r="CA80" i="6" s="1"/>
  <c r="J30" i="2"/>
  <c r="BS80" i="6" s="1"/>
  <c r="I30" i="2"/>
  <c r="BK80" i="6" s="1"/>
  <c r="H30" i="2"/>
  <c r="BC80" i="6" s="1"/>
  <c r="G30" i="2"/>
  <c r="AU80" i="6" s="1"/>
  <c r="F30" i="2"/>
  <c r="AM80" i="6" s="1"/>
  <c r="E30" i="2"/>
  <c r="AE80" i="6" s="1"/>
  <c r="D30" i="2"/>
  <c r="W80" i="6" s="1"/>
  <c r="C30" i="2"/>
  <c r="O80" i="6" s="1"/>
  <c r="B30" i="2"/>
  <c r="G80" i="6" s="1"/>
  <c r="S28" i="2"/>
  <c r="N28" i="2"/>
  <c r="O28" i="2" s="1"/>
  <c r="S27" i="2"/>
  <c r="N27" i="2"/>
  <c r="O27" i="2" s="1"/>
  <c r="S26" i="2"/>
  <c r="N26" i="2"/>
  <c r="O26" i="2" s="1"/>
  <c r="S25" i="2"/>
  <c r="N25" i="2"/>
  <c r="O25" i="2" s="1"/>
  <c r="S24" i="2"/>
  <c r="N24" i="2"/>
  <c r="O24" i="2" s="1"/>
  <c r="S23" i="2"/>
  <c r="N23" i="2"/>
  <c r="O23" i="2" s="1"/>
  <c r="S22" i="2"/>
  <c r="N22" i="2"/>
  <c r="O22" i="2" s="1"/>
  <c r="S21" i="2"/>
  <c r="N21" i="2"/>
  <c r="O21" i="2" s="1"/>
  <c r="S20" i="2"/>
  <c r="N20" i="2"/>
  <c r="O20" i="2" s="1"/>
  <c r="S19" i="2"/>
  <c r="N19" i="2"/>
  <c r="O19" i="2" s="1"/>
  <c r="M18" i="2"/>
  <c r="CQ68" i="6" s="1"/>
  <c r="L18" i="2"/>
  <c r="CI68" i="6" s="1"/>
  <c r="K18" i="2"/>
  <c r="CA68" i="6" s="1"/>
  <c r="J18" i="2"/>
  <c r="BS68" i="6" s="1"/>
  <c r="I18" i="2"/>
  <c r="BK68" i="6" s="1"/>
  <c r="H18" i="2"/>
  <c r="BC68" i="6" s="1"/>
  <c r="G18" i="2"/>
  <c r="AU68" i="6" s="1"/>
  <c r="F18" i="2"/>
  <c r="AM68" i="6" s="1"/>
  <c r="E18" i="2"/>
  <c r="AE68" i="6" s="1"/>
  <c r="D18" i="2"/>
  <c r="W68" i="6" s="1"/>
  <c r="C18" i="2"/>
  <c r="O68" i="6" s="1"/>
  <c r="B18" i="2"/>
  <c r="G68" i="6" s="1"/>
  <c r="S17" i="2"/>
  <c r="N17" i="2"/>
  <c r="S16" i="2"/>
  <c r="N16" i="2"/>
  <c r="O16" i="2" s="1"/>
  <c r="S15" i="2"/>
  <c r="N15" i="2"/>
  <c r="O15" i="2" s="1"/>
  <c r="M14" i="2"/>
  <c r="L14" i="2"/>
  <c r="CI64" i="6" s="1"/>
  <c r="K14" i="2"/>
  <c r="CA64" i="6" s="1"/>
  <c r="J14" i="2"/>
  <c r="BS64" i="6" s="1"/>
  <c r="I14" i="2"/>
  <c r="BK64" i="6" s="1"/>
  <c r="H14" i="2"/>
  <c r="BC64" i="6" s="1"/>
  <c r="G14" i="2"/>
  <c r="AU64" i="6" s="1"/>
  <c r="F14" i="2"/>
  <c r="AM64" i="6" s="1"/>
  <c r="E14" i="2"/>
  <c r="D14" i="2"/>
  <c r="W64" i="6" s="1"/>
  <c r="C14" i="2"/>
  <c r="O64" i="6" s="1"/>
  <c r="B14" i="2"/>
  <c r="G64" i="6" s="1"/>
  <c r="S13" i="2"/>
  <c r="N13" i="2"/>
  <c r="O13" i="2" s="1"/>
  <c r="S12" i="2"/>
  <c r="N12" i="2"/>
  <c r="O12" i="2" s="1"/>
  <c r="S11" i="2"/>
  <c r="N11" i="2"/>
  <c r="O11" i="2" s="1"/>
  <c r="S10" i="2"/>
  <c r="N10" i="2"/>
  <c r="O10" i="2" s="1"/>
  <c r="S9" i="2"/>
  <c r="N9" i="2"/>
  <c r="O9" i="2" s="1"/>
  <c r="S8" i="2"/>
  <c r="N8" i="2"/>
  <c r="O8" i="2" s="1"/>
  <c r="S7" i="2"/>
  <c r="N7" i="2"/>
  <c r="O7" i="2" s="1"/>
  <c r="S6" i="2"/>
  <c r="N6" i="2"/>
  <c r="O6" i="2" s="1"/>
  <c r="S5" i="2"/>
  <c r="F5" i="2"/>
  <c r="S4" i="2"/>
  <c r="N4" i="2"/>
  <c r="O4" i="2" s="1"/>
  <c r="M3" i="2"/>
  <c r="CQ53" i="6" s="1"/>
  <c r="L3" i="2"/>
  <c r="K3" i="2"/>
  <c r="CA53" i="6" s="1"/>
  <c r="J3" i="2"/>
  <c r="I3" i="2"/>
  <c r="H3" i="2"/>
  <c r="BC53" i="6" s="1"/>
  <c r="G3" i="2"/>
  <c r="AU53" i="6" s="1"/>
  <c r="E3" i="2"/>
  <c r="AE53" i="6" s="1"/>
  <c r="D3" i="2"/>
  <c r="C3" i="2"/>
  <c r="O53" i="6" s="1"/>
  <c r="B3" i="2"/>
  <c r="M75" i="1"/>
  <c r="L75" i="1"/>
  <c r="K75" i="1"/>
  <c r="J75" i="1"/>
  <c r="I75" i="1"/>
  <c r="H75" i="1"/>
  <c r="G75" i="1"/>
  <c r="F75" i="1"/>
  <c r="E75" i="1"/>
  <c r="D75" i="1"/>
  <c r="C75" i="1"/>
  <c r="B75" i="1"/>
  <c r="D69" i="1"/>
  <c r="C69" i="1"/>
  <c r="K68" i="1"/>
  <c r="L54" i="4" s="1"/>
  <c r="L55" i="4" s="1"/>
  <c r="J68" i="1"/>
  <c r="K54" i="4" s="1"/>
  <c r="I68" i="1"/>
  <c r="H68" i="1"/>
  <c r="G68" i="1"/>
  <c r="F68" i="1"/>
  <c r="E68" i="1"/>
  <c r="F54" i="4" s="1"/>
  <c r="D68" i="1"/>
  <c r="C68" i="1"/>
  <c r="O67" i="1"/>
  <c r="N67" i="1"/>
  <c r="N66" i="1"/>
  <c r="O66" i="1" s="1"/>
  <c r="N65" i="1"/>
  <c r="O65" i="1" s="1"/>
  <c r="N64" i="1"/>
  <c r="M64" i="1"/>
  <c r="N54" i="4" s="1"/>
  <c r="L64" i="1"/>
  <c r="M54" i="4" s="1"/>
  <c r="K64" i="1"/>
  <c r="J64" i="1"/>
  <c r="I64" i="1"/>
  <c r="H64" i="1"/>
  <c r="G64" i="1"/>
  <c r="F64" i="1"/>
  <c r="E64" i="1"/>
  <c r="D64" i="1"/>
  <c r="C64" i="1"/>
  <c r="B64" i="1"/>
  <c r="C54" i="4" s="1"/>
  <c r="N63" i="1"/>
  <c r="O63" i="1" s="1"/>
  <c r="N62" i="1"/>
  <c r="O62" i="1" s="1"/>
  <c r="F60" i="1"/>
  <c r="G50" i="4" s="1"/>
  <c r="E61" i="1"/>
  <c r="D61" i="1"/>
  <c r="C61" i="1"/>
  <c r="M60" i="1"/>
  <c r="N50" i="4" s="1"/>
  <c r="N51" i="4" s="1"/>
  <c r="L60" i="1"/>
  <c r="M50" i="4" s="1"/>
  <c r="M51" i="4" s="1"/>
  <c r="K60" i="1"/>
  <c r="L50" i="4" s="1"/>
  <c r="J60" i="1"/>
  <c r="K50" i="4" s="1"/>
  <c r="I60" i="1"/>
  <c r="J50" i="4" s="1"/>
  <c r="H60" i="1"/>
  <c r="I50" i="4" s="1"/>
  <c r="G60" i="1"/>
  <c r="E60" i="1"/>
  <c r="F50" i="4" s="1"/>
  <c r="F51" i="4" s="1"/>
  <c r="D60" i="1"/>
  <c r="E50" i="4" s="1"/>
  <c r="E51" i="4" s="1"/>
  <c r="C60" i="1"/>
  <c r="D50" i="4" s="1"/>
  <c r="D51" i="4" s="1"/>
  <c r="B60" i="1"/>
  <c r="C50" i="4" s="1"/>
  <c r="N59" i="1"/>
  <c r="O59" i="1" s="1"/>
  <c r="F58" i="1"/>
  <c r="F57" i="1" s="1"/>
  <c r="E58" i="1"/>
  <c r="E57" i="1" s="1"/>
  <c r="D58" i="1"/>
  <c r="D57" i="1" s="1"/>
  <c r="E46" i="4" s="1"/>
  <c r="C58" i="1"/>
  <c r="M57" i="1"/>
  <c r="N46" i="4" s="1"/>
  <c r="L57" i="1"/>
  <c r="M46" i="4" s="1"/>
  <c r="M47" i="4" s="1"/>
  <c r="K57" i="1"/>
  <c r="L46" i="4" s="1"/>
  <c r="J57" i="1"/>
  <c r="I57" i="1"/>
  <c r="H57" i="1"/>
  <c r="G57" i="1"/>
  <c r="H46" i="4" s="1"/>
  <c r="B57" i="1"/>
  <c r="C46" i="4" s="1"/>
  <c r="O56" i="1"/>
  <c r="O54" i="1"/>
  <c r="N53" i="1"/>
  <c r="O53" i="1" s="1"/>
  <c r="M51" i="1"/>
  <c r="CQ229" i="6" s="1"/>
  <c r="L51" i="1"/>
  <c r="CI229" i="6" s="1"/>
  <c r="K51" i="1"/>
  <c r="CA229" i="6" s="1"/>
  <c r="J51" i="1"/>
  <c r="BS229" i="6" s="1"/>
  <c r="I51" i="1"/>
  <c r="BK229" i="6" s="1"/>
  <c r="H51" i="1"/>
  <c r="BC229" i="6" s="1"/>
  <c r="G51" i="1"/>
  <c r="AU229" i="6" s="1"/>
  <c r="F51" i="1"/>
  <c r="AM229" i="6" s="1"/>
  <c r="E51" i="1"/>
  <c r="AE229" i="6" s="1"/>
  <c r="D51" i="1"/>
  <c r="W229" i="6" s="1"/>
  <c r="C51" i="1"/>
  <c r="O229" i="6" s="1"/>
  <c r="B51" i="1"/>
  <c r="M50" i="1"/>
  <c r="CQ228" i="6" s="1"/>
  <c r="L50" i="1"/>
  <c r="CI228" i="6" s="1"/>
  <c r="K50" i="1"/>
  <c r="CA228" i="6" s="1"/>
  <c r="J50" i="1"/>
  <c r="BS228" i="6" s="1"/>
  <c r="I50" i="1"/>
  <c r="BK228" i="6" s="1"/>
  <c r="H50" i="1"/>
  <c r="BC228" i="6" s="1"/>
  <c r="G50" i="1"/>
  <c r="AU228" i="6" s="1"/>
  <c r="F50" i="1"/>
  <c r="AM228" i="6" s="1"/>
  <c r="E50" i="1"/>
  <c r="AE228" i="6" s="1"/>
  <c r="D50" i="1"/>
  <c r="W228" i="6" s="1"/>
  <c r="C50" i="1"/>
  <c r="O228" i="6" s="1"/>
  <c r="B50" i="1"/>
  <c r="M49" i="1"/>
  <c r="CQ227" i="6" s="1"/>
  <c r="L49" i="1"/>
  <c r="CI227" i="6" s="1"/>
  <c r="K49" i="1"/>
  <c r="CA227" i="6" s="1"/>
  <c r="J49" i="1"/>
  <c r="BS227" i="6" s="1"/>
  <c r="I49" i="1"/>
  <c r="BK227" i="6" s="1"/>
  <c r="H49" i="1"/>
  <c r="BC227" i="6" s="1"/>
  <c r="G49" i="1"/>
  <c r="AU227" i="6" s="1"/>
  <c r="F49" i="1"/>
  <c r="AM227" i="6" s="1"/>
  <c r="E49" i="1"/>
  <c r="AE227" i="6" s="1"/>
  <c r="D49" i="1"/>
  <c r="W227" i="6" s="1"/>
  <c r="C49" i="1"/>
  <c r="O227" i="6" s="1"/>
  <c r="B49" i="1"/>
  <c r="G227" i="6" s="1"/>
  <c r="M48" i="1"/>
  <c r="CQ226" i="6" s="1"/>
  <c r="L48" i="1"/>
  <c r="CI226" i="6" s="1"/>
  <c r="K48" i="1"/>
  <c r="CA226" i="6" s="1"/>
  <c r="J48" i="1"/>
  <c r="BS226" i="6" s="1"/>
  <c r="I48" i="1"/>
  <c r="BK226" i="6" s="1"/>
  <c r="H48" i="1"/>
  <c r="BC226" i="6" s="1"/>
  <c r="G48" i="1"/>
  <c r="AU226" i="6" s="1"/>
  <c r="F48" i="1"/>
  <c r="AM226" i="6" s="1"/>
  <c r="E48" i="1"/>
  <c r="AE226" i="6" s="1"/>
  <c r="D48" i="1"/>
  <c r="W226" i="6" s="1"/>
  <c r="C48" i="1"/>
  <c r="O226" i="6" s="1"/>
  <c r="B48" i="1"/>
  <c r="M47" i="1"/>
  <c r="CQ225" i="6" s="1"/>
  <c r="L47" i="1"/>
  <c r="CI225" i="6" s="1"/>
  <c r="K47" i="1"/>
  <c r="CA225" i="6" s="1"/>
  <c r="J47" i="1"/>
  <c r="BS225" i="6" s="1"/>
  <c r="I47" i="1"/>
  <c r="BK225" i="6" s="1"/>
  <c r="H47" i="1"/>
  <c r="BC225" i="6" s="1"/>
  <c r="G47" i="1"/>
  <c r="AU225" i="6" s="1"/>
  <c r="F47" i="1"/>
  <c r="AM225" i="6" s="1"/>
  <c r="E47" i="1"/>
  <c r="AE225" i="6" s="1"/>
  <c r="D47" i="1"/>
  <c r="W225" i="6" s="1"/>
  <c r="C47" i="1"/>
  <c r="O225" i="6" s="1"/>
  <c r="B47" i="1"/>
  <c r="M46" i="1"/>
  <c r="CQ224" i="6" s="1"/>
  <c r="L46" i="1"/>
  <c r="CI224" i="6" s="1"/>
  <c r="K46" i="1"/>
  <c r="CA224" i="6" s="1"/>
  <c r="J46" i="1"/>
  <c r="BS224" i="6" s="1"/>
  <c r="I46" i="1"/>
  <c r="BK224" i="6" s="1"/>
  <c r="H46" i="1"/>
  <c r="BC224" i="6" s="1"/>
  <c r="G46" i="1"/>
  <c r="AU224" i="6" s="1"/>
  <c r="F46" i="1"/>
  <c r="AM224" i="6" s="1"/>
  <c r="E46" i="1"/>
  <c r="AE224" i="6" s="1"/>
  <c r="D46" i="1"/>
  <c r="W224" i="6" s="1"/>
  <c r="C46" i="1"/>
  <c r="O224" i="6" s="1"/>
  <c r="B46" i="1"/>
  <c r="G224" i="6" s="1"/>
  <c r="M45" i="1"/>
  <c r="CQ223" i="6" s="1"/>
  <c r="L45" i="1"/>
  <c r="CI223" i="6" s="1"/>
  <c r="K45" i="1"/>
  <c r="CA223" i="6" s="1"/>
  <c r="J45" i="1"/>
  <c r="BS223" i="6" s="1"/>
  <c r="I45" i="1"/>
  <c r="BK223" i="6" s="1"/>
  <c r="H45" i="1"/>
  <c r="BC223" i="6" s="1"/>
  <c r="G45" i="1"/>
  <c r="AU223" i="6" s="1"/>
  <c r="F45" i="1"/>
  <c r="AM223" i="6" s="1"/>
  <c r="E45" i="1"/>
  <c r="AE223" i="6" s="1"/>
  <c r="D45" i="1"/>
  <c r="W223" i="6" s="1"/>
  <c r="C45" i="1"/>
  <c r="O223" i="6" s="1"/>
  <c r="B45" i="1"/>
  <c r="G223" i="6" s="1"/>
  <c r="M44" i="1"/>
  <c r="CQ222" i="6" s="1"/>
  <c r="L44" i="1"/>
  <c r="CI222" i="6" s="1"/>
  <c r="K44" i="1"/>
  <c r="CA222" i="6" s="1"/>
  <c r="J44" i="1"/>
  <c r="BS222" i="6" s="1"/>
  <c r="I44" i="1"/>
  <c r="BK222" i="6" s="1"/>
  <c r="H44" i="1"/>
  <c r="BC222" i="6" s="1"/>
  <c r="G44" i="1"/>
  <c r="AU222" i="6" s="1"/>
  <c r="F44" i="1"/>
  <c r="AM222" i="6" s="1"/>
  <c r="E44" i="1"/>
  <c r="AE222" i="6" s="1"/>
  <c r="D44" i="1"/>
  <c r="W222" i="6" s="1"/>
  <c r="C44" i="1"/>
  <c r="O222" i="6" s="1"/>
  <c r="B44" i="1"/>
  <c r="M43" i="1"/>
  <c r="CQ221" i="6" s="1"/>
  <c r="L43" i="1"/>
  <c r="CI221" i="6" s="1"/>
  <c r="K43" i="1"/>
  <c r="CA221" i="6" s="1"/>
  <c r="J43" i="1"/>
  <c r="BS221" i="6" s="1"/>
  <c r="I43" i="1"/>
  <c r="BK221" i="6" s="1"/>
  <c r="H43" i="1"/>
  <c r="BC221" i="6" s="1"/>
  <c r="G43" i="1"/>
  <c r="AU221" i="6" s="1"/>
  <c r="F43" i="1"/>
  <c r="AM221" i="6" s="1"/>
  <c r="E43" i="1"/>
  <c r="AE221" i="6" s="1"/>
  <c r="D43" i="1"/>
  <c r="W221" i="6" s="1"/>
  <c r="C43" i="1"/>
  <c r="O221" i="6" s="1"/>
  <c r="B43" i="1"/>
  <c r="M42" i="1"/>
  <c r="CQ220" i="6" s="1"/>
  <c r="L42" i="1"/>
  <c r="CI220" i="6" s="1"/>
  <c r="K42" i="1"/>
  <c r="CA220" i="6" s="1"/>
  <c r="J42" i="1"/>
  <c r="BS220" i="6" s="1"/>
  <c r="I42" i="1"/>
  <c r="BK220" i="6" s="1"/>
  <c r="H42" i="1"/>
  <c r="BC220" i="6" s="1"/>
  <c r="G42" i="1"/>
  <c r="AU220" i="6" s="1"/>
  <c r="F42" i="1"/>
  <c r="AM220" i="6" s="1"/>
  <c r="E42" i="1"/>
  <c r="AE220" i="6" s="1"/>
  <c r="D42" i="1"/>
  <c r="W220" i="6" s="1"/>
  <c r="C42" i="1"/>
  <c r="O220" i="6" s="1"/>
  <c r="B42" i="1"/>
  <c r="G220" i="6" s="1"/>
  <c r="F40" i="1"/>
  <c r="AM218" i="6" s="1"/>
  <c r="N37" i="1"/>
  <c r="O37" i="1" s="1"/>
  <c r="O36" i="1"/>
  <c r="E31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D25" i="1"/>
  <c r="C25" i="1"/>
  <c r="B25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K273" i="2" s="1"/>
  <c r="J22" i="1"/>
  <c r="J273" i="2" s="1"/>
  <c r="I22" i="1"/>
  <c r="I273" i="2" s="1"/>
  <c r="H22" i="1"/>
  <c r="H273" i="2" s="1"/>
  <c r="H280" i="2" s="1"/>
  <c r="G22" i="1"/>
  <c r="G273" i="2" s="1"/>
  <c r="F22" i="1"/>
  <c r="E22" i="1"/>
  <c r="D22" i="1"/>
  <c r="C22" i="1"/>
  <c r="B22" i="1"/>
  <c r="N18" i="1"/>
  <c r="O18" i="1" s="1"/>
  <c r="N17" i="1"/>
  <c r="O17" i="1" s="1"/>
  <c r="E16" i="1"/>
  <c r="N16" i="1" s="1"/>
  <c r="D16" i="1"/>
  <c r="M15" i="1"/>
  <c r="P25" i="5" s="1"/>
  <c r="L15" i="1"/>
  <c r="O25" i="5" s="1"/>
  <c r="K15" i="1"/>
  <c r="J15" i="1"/>
  <c r="I15" i="1"/>
  <c r="H15" i="1"/>
  <c r="K25" i="5" s="1"/>
  <c r="G15" i="1"/>
  <c r="J25" i="5" s="1"/>
  <c r="F15" i="1"/>
  <c r="I25" i="5" s="1"/>
  <c r="D15" i="1"/>
  <c r="G25" i="5" s="1"/>
  <c r="C15" i="1"/>
  <c r="F25" i="5" s="1"/>
  <c r="B15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N9" i="1"/>
  <c r="O9" i="1" s="1"/>
  <c r="N8" i="1"/>
  <c r="N274" i="2" s="1"/>
  <c r="N7" i="1"/>
  <c r="O7" i="1" s="1"/>
  <c r="M6" i="1"/>
  <c r="L6" i="1"/>
  <c r="K6" i="1"/>
  <c r="J6" i="1"/>
  <c r="I6" i="1"/>
  <c r="H6" i="1"/>
  <c r="G6" i="1"/>
  <c r="F6" i="1"/>
  <c r="E6" i="1"/>
  <c r="D6" i="1"/>
  <c r="C6" i="1"/>
  <c r="B6" i="1"/>
  <c r="N5" i="1"/>
  <c r="O5" i="1" s="1"/>
  <c r="N4" i="1"/>
  <c r="N3" i="1"/>
  <c r="M2" i="1"/>
  <c r="M24" i="1" s="1"/>
  <c r="L2" i="1"/>
  <c r="K2" i="1"/>
  <c r="J2" i="1"/>
  <c r="J275" i="2" s="1"/>
  <c r="I2" i="1"/>
  <c r="H2" i="1"/>
  <c r="K24" i="5" s="1"/>
  <c r="G2" i="1"/>
  <c r="F2" i="1"/>
  <c r="E2" i="1"/>
  <c r="D2" i="1"/>
  <c r="C2" i="1"/>
  <c r="F24" i="5" s="1"/>
  <c r="B2" i="1"/>
  <c r="B275" i="2" s="1"/>
  <c r="AV68" i="6" l="1"/>
  <c r="J37" i="5"/>
  <c r="G246" i="2"/>
  <c r="G281" i="2"/>
  <c r="N272" i="2"/>
  <c r="D208" i="2"/>
  <c r="D30" i="1" s="1"/>
  <c r="W208" i="6" s="1"/>
  <c r="Y208" i="6" s="1"/>
  <c r="E291" i="2"/>
  <c r="BE141" i="6"/>
  <c r="AH151" i="6"/>
  <c r="CT190" i="6"/>
  <c r="Q193" i="6"/>
  <c r="K53" i="2"/>
  <c r="CA103" i="6" s="1"/>
  <c r="AX69" i="6"/>
  <c r="CL71" i="6"/>
  <c r="I72" i="6"/>
  <c r="Q74" i="6"/>
  <c r="BE94" i="6"/>
  <c r="CD94" i="6"/>
  <c r="CK94" i="6"/>
  <c r="BF31" i="6"/>
  <c r="CK97" i="6"/>
  <c r="BU98" i="6"/>
  <c r="Y108" i="6"/>
  <c r="R69" i="6"/>
  <c r="AP69" i="6"/>
  <c r="Y83" i="6"/>
  <c r="BM129" i="6"/>
  <c r="BU129" i="6"/>
  <c r="Y130" i="6"/>
  <c r="CT132" i="6"/>
  <c r="AG133" i="6"/>
  <c r="AW143" i="6"/>
  <c r="CS153" i="6"/>
  <c r="Q154" i="6"/>
  <c r="Z154" i="6"/>
  <c r="BE154" i="6"/>
  <c r="CL162" i="6"/>
  <c r="I163" i="6"/>
  <c r="I246" i="2"/>
  <c r="K246" i="2"/>
  <c r="AX34" i="6"/>
  <c r="Y36" i="6"/>
  <c r="AX38" i="6"/>
  <c r="CS89" i="6"/>
  <c r="BV107" i="6"/>
  <c r="AO112" i="6"/>
  <c r="AX112" i="6"/>
  <c r="BF112" i="6"/>
  <c r="BU151" i="6"/>
  <c r="AO192" i="6"/>
  <c r="BM192" i="6"/>
  <c r="BM198" i="6"/>
  <c r="H41" i="1"/>
  <c r="BC219" i="6" s="1"/>
  <c r="BE219" i="6" s="1"/>
  <c r="D246" i="2"/>
  <c r="F246" i="2"/>
  <c r="J246" i="2"/>
  <c r="L246" i="2"/>
  <c r="BM30" i="6"/>
  <c r="CK87" i="6"/>
  <c r="CC96" i="6"/>
  <c r="AW101" i="6"/>
  <c r="BU101" i="6"/>
  <c r="I102" i="6"/>
  <c r="BN113" i="6"/>
  <c r="CS115" i="6"/>
  <c r="AW149" i="6"/>
  <c r="CL149" i="6"/>
  <c r="AG150" i="6"/>
  <c r="AO150" i="6"/>
  <c r="BM160" i="6"/>
  <c r="AX161" i="6"/>
  <c r="R170" i="6"/>
  <c r="CK170" i="6"/>
  <c r="AW172" i="6"/>
  <c r="BU172" i="6"/>
  <c r="Q174" i="6"/>
  <c r="BE174" i="6"/>
  <c r="CT174" i="6"/>
  <c r="R175" i="6"/>
  <c r="AG176" i="6"/>
  <c r="AW185" i="6"/>
  <c r="BE185" i="6"/>
  <c r="AO201" i="6"/>
  <c r="CS30" i="6"/>
  <c r="CS31" i="6"/>
  <c r="BM56" i="6"/>
  <c r="AH57" i="6"/>
  <c r="AH60" i="6"/>
  <c r="AW70" i="6"/>
  <c r="BV70" i="6"/>
  <c r="Q84" i="6"/>
  <c r="Y87" i="6"/>
  <c r="AH99" i="6"/>
  <c r="I101" i="6"/>
  <c r="AP106" i="6"/>
  <c r="CL112" i="6"/>
  <c r="CS114" i="6"/>
  <c r="BU194" i="6"/>
  <c r="BE195" i="6"/>
  <c r="CC196" i="6"/>
  <c r="BE199" i="6"/>
  <c r="BM202" i="6"/>
  <c r="BV25" i="6"/>
  <c r="CC25" i="6"/>
  <c r="Y39" i="6"/>
  <c r="CT39" i="6"/>
  <c r="BV54" i="6"/>
  <c r="Y55" i="6"/>
  <c r="BU55" i="6"/>
  <c r="CC55" i="6"/>
  <c r="AP59" i="6"/>
  <c r="BU59" i="6"/>
  <c r="R62" i="6"/>
  <c r="Y62" i="6"/>
  <c r="CC66" i="6"/>
  <c r="AG67" i="6"/>
  <c r="R75" i="6"/>
  <c r="CD78" i="6"/>
  <c r="AX94" i="6"/>
  <c r="R110" i="6"/>
  <c r="CS118" i="6"/>
  <c r="Q119" i="6"/>
  <c r="AW120" i="6"/>
  <c r="BE127" i="6"/>
  <c r="J128" i="6"/>
  <c r="R128" i="6"/>
  <c r="AO128" i="6"/>
  <c r="I134" i="6"/>
  <c r="BU137" i="6"/>
  <c r="BE138" i="6"/>
  <c r="AG140" i="6"/>
  <c r="Y146" i="6"/>
  <c r="BU150" i="6"/>
  <c r="CC156" i="6"/>
  <c r="CS157" i="6"/>
  <c r="I159" i="6"/>
  <c r="Y162" i="6"/>
  <c r="CK163" i="6"/>
  <c r="Y177" i="6"/>
  <c r="BU178" i="6"/>
  <c r="AH180" i="6"/>
  <c r="AX183" i="6"/>
  <c r="BN186" i="6"/>
  <c r="CK186" i="6"/>
  <c r="CD206" i="6"/>
  <c r="Z23" i="6"/>
  <c r="AH23" i="6"/>
  <c r="AO23" i="6"/>
  <c r="I24" i="6"/>
  <c r="R25" i="6"/>
  <c r="AG25" i="6"/>
  <c r="AP26" i="6"/>
  <c r="R30" i="6"/>
  <c r="Z31" i="6"/>
  <c r="AG31" i="6"/>
  <c r="I33" i="6"/>
  <c r="R34" i="6"/>
  <c r="J35" i="6"/>
  <c r="CC35" i="6"/>
  <c r="AO36" i="6"/>
  <c r="R38" i="6"/>
  <c r="BE39" i="6"/>
  <c r="I54" i="6"/>
  <c r="AG56" i="6"/>
  <c r="J58" i="6"/>
  <c r="Q60" i="6"/>
  <c r="BM60" i="6"/>
  <c r="BV60" i="6"/>
  <c r="CC60" i="6"/>
  <c r="AW61" i="6"/>
  <c r="BE62" i="6"/>
  <c r="BN67" i="6"/>
  <c r="Q70" i="6"/>
  <c r="AO72" i="6"/>
  <c r="Y73" i="6"/>
  <c r="AG74" i="6"/>
  <c r="AX79" i="6"/>
  <c r="AX85" i="6"/>
  <c r="J90" i="6"/>
  <c r="Q90" i="6"/>
  <c r="BE91" i="6"/>
  <c r="AH95" i="6"/>
  <c r="AP97" i="6"/>
  <c r="Y106" i="6"/>
  <c r="BE118" i="6"/>
  <c r="BM118" i="6"/>
  <c r="AG119" i="6"/>
  <c r="BV119" i="6"/>
  <c r="BV123" i="6"/>
  <c r="BU123" i="6"/>
  <c r="CS126" i="6"/>
  <c r="CT126" i="6"/>
  <c r="CK130" i="6"/>
  <c r="CL130" i="6"/>
  <c r="Z132" i="6"/>
  <c r="Y132" i="6"/>
  <c r="BN133" i="6"/>
  <c r="BM133" i="6"/>
  <c r="BV135" i="6"/>
  <c r="BU135" i="6"/>
  <c r="Z139" i="6"/>
  <c r="Y139" i="6"/>
  <c r="CL141" i="6"/>
  <c r="CK141" i="6"/>
  <c r="CK144" i="6"/>
  <c r="CL144" i="6"/>
  <c r="CT148" i="6"/>
  <c r="CS148" i="6"/>
  <c r="BF150" i="6"/>
  <c r="BE150" i="6"/>
  <c r="CT150" i="6"/>
  <c r="CS150" i="6"/>
  <c r="CL151" i="6"/>
  <c r="CK151" i="6"/>
  <c r="BN156" i="6"/>
  <c r="BM156" i="6"/>
  <c r="AX157" i="6"/>
  <c r="AW157" i="6"/>
  <c r="AW158" i="6"/>
  <c r="AX158" i="6"/>
  <c r="CC160" i="6"/>
  <c r="CD160" i="6"/>
  <c r="CD161" i="6"/>
  <c r="CC161" i="6"/>
  <c r="BF163" i="6"/>
  <c r="BE163" i="6"/>
  <c r="AX165" i="6"/>
  <c r="AW165" i="6"/>
  <c r="CD165" i="6"/>
  <c r="CC165" i="6"/>
  <c r="AP166" i="6"/>
  <c r="AO166" i="6"/>
  <c r="AP168" i="6"/>
  <c r="AO168" i="6"/>
  <c r="CK172" i="6"/>
  <c r="CL172" i="6"/>
  <c r="CC176" i="6"/>
  <c r="CD176" i="6"/>
  <c r="CT176" i="6"/>
  <c r="CS176" i="6"/>
  <c r="Y178" i="6"/>
  <c r="Z178" i="6"/>
  <c r="Q27" i="6"/>
  <c r="Y33" i="6"/>
  <c r="CK75" i="6"/>
  <c r="CK76" i="6"/>
  <c r="Q79" i="6"/>
  <c r="CK83" i="6"/>
  <c r="AW90" i="6"/>
  <c r="AW92" i="6"/>
  <c r="AP100" i="6"/>
  <c r="CD102" i="6"/>
  <c r="CS110" i="6"/>
  <c r="CD120" i="6"/>
  <c r="CC120" i="6"/>
  <c r="Y124" i="6"/>
  <c r="Z124" i="6"/>
  <c r="AP126" i="6"/>
  <c r="AO126" i="6"/>
  <c r="BF126" i="6"/>
  <c r="BE126" i="6"/>
  <c r="R129" i="6"/>
  <c r="Q129" i="6"/>
  <c r="Z131" i="6"/>
  <c r="Y131" i="6"/>
  <c r="BN132" i="6"/>
  <c r="BM132" i="6"/>
  <c r="AH135" i="6"/>
  <c r="AG135" i="6"/>
  <c r="R139" i="6"/>
  <c r="Q139" i="6"/>
  <c r="BN140" i="6"/>
  <c r="BM140" i="6"/>
  <c r="BF142" i="6"/>
  <c r="BE142" i="6"/>
  <c r="CD144" i="6"/>
  <c r="CC144" i="6"/>
  <c r="BU148" i="6"/>
  <c r="BV148" i="6"/>
  <c r="AH149" i="6"/>
  <c r="AG149" i="6"/>
  <c r="R151" i="6"/>
  <c r="Q151" i="6"/>
  <c r="CD153" i="6"/>
  <c r="CC153" i="6"/>
  <c r="AP155" i="6"/>
  <c r="AO155" i="6"/>
  <c r="CT156" i="6"/>
  <c r="CS156" i="6"/>
  <c r="Y158" i="6"/>
  <c r="Z158" i="6"/>
  <c r="CL159" i="6"/>
  <c r="CK159" i="6"/>
  <c r="R161" i="6"/>
  <c r="Q161" i="6"/>
  <c r="BF162" i="6"/>
  <c r="BE162" i="6"/>
  <c r="CT164" i="6"/>
  <c r="CS164" i="6"/>
  <c r="AH166" i="6"/>
  <c r="AG166" i="6"/>
  <c r="AP167" i="6"/>
  <c r="AO167" i="6"/>
  <c r="CT168" i="6"/>
  <c r="CS168" i="6"/>
  <c r="BF173" i="6"/>
  <c r="BE173" i="6"/>
  <c r="BU177" i="6"/>
  <c r="BV177" i="6"/>
  <c r="BN179" i="6"/>
  <c r="Q180" i="6"/>
  <c r="J181" i="6"/>
  <c r="Y182" i="6"/>
  <c r="BF184" i="6"/>
  <c r="CK185" i="6"/>
  <c r="AW187" i="6"/>
  <c r="R188" i="6"/>
  <c r="Y190" i="6"/>
  <c r="BM190" i="6"/>
  <c r="BV191" i="6"/>
  <c r="I192" i="6"/>
  <c r="AX193" i="6"/>
  <c r="Y195" i="6"/>
  <c r="Q198" i="6"/>
  <c r="CS198" i="6"/>
  <c r="I201" i="6"/>
  <c r="BU201" i="6"/>
  <c r="CC202" i="6"/>
  <c r="BF206" i="6"/>
  <c r="G2" i="2"/>
  <c r="AU52" i="6" s="1"/>
  <c r="AW52" i="6" s="1"/>
  <c r="S14" i="2"/>
  <c r="N14" i="2"/>
  <c r="O14" i="2" s="1"/>
  <c r="S18" i="2"/>
  <c r="L53" i="2"/>
  <c r="CI103" i="6" s="1"/>
  <c r="CJ103" i="6" s="1"/>
  <c r="BV23" i="6"/>
  <c r="CL23" i="6"/>
  <c r="BN24" i="6"/>
  <c r="AH26" i="6"/>
  <c r="AP28" i="6"/>
  <c r="AH30" i="6"/>
  <c r="CK31" i="6"/>
  <c r="CL31" i="6"/>
  <c r="AO32" i="6"/>
  <c r="AP32" i="6"/>
  <c r="I36" i="6"/>
  <c r="J36" i="6"/>
  <c r="CK36" i="6"/>
  <c r="CL36" i="6"/>
  <c r="AH38" i="6"/>
  <c r="AG38" i="6"/>
  <c r="CT38" i="6"/>
  <c r="CS38" i="6"/>
  <c r="R56" i="6"/>
  <c r="Q56" i="6"/>
  <c r="BF58" i="6"/>
  <c r="BE58" i="6"/>
  <c r="BU58" i="6"/>
  <c r="BV58" i="6"/>
  <c r="AX60" i="6"/>
  <c r="AW60" i="6"/>
  <c r="G34" i="1"/>
  <c r="B269" i="2"/>
  <c r="B19" i="1" s="1"/>
  <c r="B21" i="1" s="1"/>
  <c r="B20" i="1" s="1"/>
  <c r="D291" i="2"/>
  <c r="BV26" i="6"/>
  <c r="AP27" i="6"/>
  <c r="BM27" i="6"/>
  <c r="BF28" i="6"/>
  <c r="BN32" i="6"/>
  <c r="BM32" i="6"/>
  <c r="AP33" i="6"/>
  <c r="AO33" i="6"/>
  <c r="BV33" i="6"/>
  <c r="CD34" i="6"/>
  <c r="AH35" i="6"/>
  <c r="AG35" i="6"/>
  <c r="BN38" i="6"/>
  <c r="BM38" i="6"/>
  <c r="BM39" i="6"/>
  <c r="BN39" i="6"/>
  <c r="Z54" i="6"/>
  <c r="BE55" i="6"/>
  <c r="BF55" i="6"/>
  <c r="BN57" i="6"/>
  <c r="Z58" i="6"/>
  <c r="AP58" i="6"/>
  <c r="AO58" i="6"/>
  <c r="BM58" i="6"/>
  <c r="BN58" i="6"/>
  <c r="CS58" i="6"/>
  <c r="CT58" i="6"/>
  <c r="CD62" i="6"/>
  <c r="CK62" i="6"/>
  <c r="CK63" i="6"/>
  <c r="Y65" i="6"/>
  <c r="CK65" i="6"/>
  <c r="BF66" i="6"/>
  <c r="BN66" i="6"/>
  <c r="CS66" i="6"/>
  <c r="CS67" i="6"/>
  <c r="I69" i="6"/>
  <c r="BV69" i="6"/>
  <c r="CD69" i="6"/>
  <c r="AH70" i="6"/>
  <c r="BM70" i="6"/>
  <c r="Q71" i="6"/>
  <c r="AW71" i="6"/>
  <c r="CC71" i="6"/>
  <c r="Z72" i="6"/>
  <c r="BE72" i="6"/>
  <c r="CK72" i="6"/>
  <c r="BE73" i="6"/>
  <c r="CL73" i="6"/>
  <c r="AX74" i="6"/>
  <c r="BF74" i="6"/>
  <c r="BN74" i="6"/>
  <c r="AG75" i="6"/>
  <c r="CC75" i="6"/>
  <c r="AG76" i="6"/>
  <c r="BF76" i="6"/>
  <c r="BM76" i="6"/>
  <c r="I77" i="6"/>
  <c r="BU77" i="6"/>
  <c r="CS77" i="6"/>
  <c r="J78" i="6"/>
  <c r="Q78" i="6"/>
  <c r="CC79" i="6"/>
  <c r="R81" i="6"/>
  <c r="BU81" i="6"/>
  <c r="Y82" i="6"/>
  <c r="AX83" i="6"/>
  <c r="BF83" i="6"/>
  <c r="AG85" i="6"/>
  <c r="CD85" i="6"/>
  <c r="BE86" i="6"/>
  <c r="CC86" i="6"/>
  <c r="I88" i="6"/>
  <c r="AO88" i="6"/>
  <c r="BV88" i="6"/>
  <c r="CD88" i="6"/>
  <c r="BN89" i="6"/>
  <c r="Z91" i="6"/>
  <c r="BN92" i="6"/>
  <c r="R94" i="6"/>
  <c r="R95" i="6"/>
  <c r="AX96" i="6"/>
  <c r="CL96" i="6"/>
  <c r="CS96" i="6"/>
  <c r="BV97" i="6"/>
  <c r="AH98" i="6"/>
  <c r="AP98" i="6"/>
  <c r="AX99" i="6"/>
  <c r="AG100" i="6"/>
  <c r="BV100" i="6"/>
  <c r="CT100" i="6"/>
  <c r="Q101" i="6"/>
  <c r="AO101" i="6"/>
  <c r="CC101" i="6"/>
  <c r="R102" i="6"/>
  <c r="Y102" i="6"/>
  <c r="BU102" i="6"/>
  <c r="Z105" i="6"/>
  <c r="BN105" i="6"/>
  <c r="J106" i="6"/>
  <c r="AP108" i="6"/>
  <c r="CT108" i="6"/>
  <c r="BN109" i="6"/>
  <c r="J110" i="6"/>
  <c r="AO110" i="6"/>
  <c r="R115" i="6"/>
  <c r="AW115" i="6"/>
  <c r="CC115" i="6"/>
  <c r="I116" i="6"/>
  <c r="R124" i="6"/>
  <c r="CD129" i="6"/>
  <c r="R130" i="6"/>
  <c r="BF130" i="6"/>
  <c r="AP107" i="6"/>
  <c r="CL107" i="6"/>
  <c r="I109" i="6"/>
  <c r="AH109" i="6"/>
  <c r="CT109" i="6"/>
  <c r="Z112" i="6"/>
  <c r="R113" i="6"/>
  <c r="Y113" i="6"/>
  <c r="AX114" i="6"/>
  <c r="AG115" i="6"/>
  <c r="CL116" i="6"/>
  <c r="Q120" i="6"/>
  <c r="BN120" i="6"/>
  <c r="CT120" i="6"/>
  <c r="Q123" i="6"/>
  <c r="AO123" i="6"/>
  <c r="BF124" i="6"/>
  <c r="BM124" i="6"/>
  <c r="BV124" i="6"/>
  <c r="CD124" i="6"/>
  <c r="CK125" i="6"/>
  <c r="I126" i="6"/>
  <c r="BN126" i="6"/>
  <c r="Y127" i="6"/>
  <c r="CK127" i="6"/>
  <c r="CS127" i="6"/>
  <c r="BV128" i="6"/>
  <c r="CS129" i="6"/>
  <c r="BV130" i="6"/>
  <c r="BF131" i="6"/>
  <c r="CT134" i="6"/>
  <c r="Q137" i="6"/>
  <c r="AW137" i="6"/>
  <c r="Q138" i="6"/>
  <c r="AW138" i="6"/>
  <c r="CK138" i="6"/>
  <c r="AW139" i="6"/>
  <c r="BF139" i="6"/>
  <c r="CL140" i="6"/>
  <c r="BM141" i="6"/>
  <c r="AH142" i="6"/>
  <c r="J143" i="6"/>
  <c r="AG143" i="6"/>
  <c r="I144" i="6"/>
  <c r="AH144" i="6"/>
  <c r="Q145" i="6"/>
  <c r="Q146" i="6"/>
  <c r="BU146" i="6"/>
  <c r="CK146" i="6"/>
  <c r="BU147" i="6"/>
  <c r="CL147" i="6"/>
  <c r="AH148" i="6"/>
  <c r="BN148" i="6"/>
  <c r="Q152" i="6"/>
  <c r="AX152" i="6"/>
  <c r="BU152" i="6"/>
  <c r="CC152" i="6"/>
  <c r="AP153" i="6"/>
  <c r="BM153" i="6"/>
  <c r="CC154" i="6"/>
  <c r="CL154" i="6"/>
  <c r="BE155" i="6"/>
  <c r="BU155" i="6"/>
  <c r="CS155" i="6"/>
  <c r="Q157" i="6"/>
  <c r="AO157" i="6"/>
  <c r="CC157" i="6"/>
  <c r="BM158" i="6"/>
  <c r="CT160" i="6"/>
  <c r="Z163" i="6"/>
  <c r="J166" i="6"/>
  <c r="BU166" i="6"/>
  <c r="Q167" i="6"/>
  <c r="AG167" i="6"/>
  <c r="BF167" i="6"/>
  <c r="BM168" i="6"/>
  <c r="CL168" i="6"/>
  <c r="BF169" i="6"/>
  <c r="BN170" i="6"/>
  <c r="Z172" i="6"/>
  <c r="CT175" i="6"/>
  <c r="I177" i="6"/>
  <c r="J177" i="6"/>
  <c r="CL177" i="6"/>
  <c r="CK177" i="6"/>
  <c r="AP178" i="6"/>
  <c r="AO178" i="6"/>
  <c r="BV181" i="6"/>
  <c r="BU181" i="6"/>
  <c r="BF182" i="6"/>
  <c r="BE182" i="6"/>
  <c r="CL182" i="6"/>
  <c r="CK182" i="6"/>
  <c r="CK133" i="6"/>
  <c r="CT133" i="6"/>
  <c r="BF134" i="6"/>
  <c r="AO136" i="6"/>
  <c r="Q149" i="6"/>
  <c r="BM149" i="6"/>
  <c r="CY158" i="6"/>
  <c r="BE159" i="6"/>
  <c r="Q160" i="6"/>
  <c r="Z160" i="6"/>
  <c r="AX160" i="6"/>
  <c r="BM161" i="6"/>
  <c r="AO163" i="6"/>
  <c r="Q165" i="6"/>
  <c r="Z169" i="6"/>
  <c r="AW169" i="6"/>
  <c r="CL169" i="6"/>
  <c r="BM173" i="6"/>
  <c r="BV173" i="6"/>
  <c r="AP174" i="6"/>
  <c r="AX175" i="6"/>
  <c r="BF175" i="6"/>
  <c r="BM176" i="6"/>
  <c r="AO177" i="6"/>
  <c r="AP177" i="6"/>
  <c r="J178" i="6"/>
  <c r="I178" i="6"/>
  <c r="CL178" i="6"/>
  <c r="CK178" i="6"/>
  <c r="AG179" i="6"/>
  <c r="AH179" i="6"/>
  <c r="CT179" i="6"/>
  <c r="BN180" i="6"/>
  <c r="CS180" i="6"/>
  <c r="CT180" i="6"/>
  <c r="BN181" i="6"/>
  <c r="BM181" i="6"/>
  <c r="I182" i="6"/>
  <c r="J182" i="6"/>
  <c r="J183" i="6"/>
  <c r="I183" i="6"/>
  <c r="R183" i="6"/>
  <c r="Z184" i="6"/>
  <c r="CL184" i="6"/>
  <c r="Y185" i="6"/>
  <c r="Y186" i="6"/>
  <c r="BE186" i="6"/>
  <c r="CL187" i="6"/>
  <c r="AW188" i="6"/>
  <c r="CC188" i="6"/>
  <c r="CK188" i="6"/>
  <c r="AG189" i="6"/>
  <c r="BM189" i="6"/>
  <c r="CC189" i="6"/>
  <c r="AG190" i="6"/>
  <c r="Y191" i="6"/>
  <c r="AP191" i="6"/>
  <c r="CK192" i="6"/>
  <c r="CS193" i="6"/>
  <c r="Q194" i="6"/>
  <c r="AG194" i="6"/>
  <c r="AO194" i="6"/>
  <c r="Q195" i="6"/>
  <c r="CK195" i="6"/>
  <c r="AH198" i="6"/>
  <c r="AG199" i="6"/>
  <c r="BM199" i="6"/>
  <c r="CS199" i="6"/>
  <c r="I200" i="6"/>
  <c r="BE200" i="6"/>
  <c r="CK200" i="6"/>
  <c r="CS200" i="6"/>
  <c r="AG202" i="6"/>
  <c r="AO202" i="6"/>
  <c r="AW203" i="6"/>
  <c r="CD203" i="6"/>
  <c r="AW56" i="6"/>
  <c r="J282" i="2"/>
  <c r="J280" i="2"/>
  <c r="CQ22" i="6"/>
  <c r="CT22" i="6" s="1"/>
  <c r="M269" i="2"/>
  <c r="M19" i="1" s="1"/>
  <c r="AP40" i="6"/>
  <c r="AO40" i="6"/>
  <c r="L24" i="5"/>
  <c r="I275" i="2"/>
  <c r="I282" i="2" s="1"/>
  <c r="I283" i="2" s="1"/>
  <c r="BC43" i="6"/>
  <c r="BC47" i="6"/>
  <c r="AG11" i="6"/>
  <c r="I40" i="1"/>
  <c r="I39" i="1" s="1"/>
  <c r="S61" i="2"/>
  <c r="O61" i="3"/>
  <c r="N59" i="3"/>
  <c r="O59" i="3" s="1"/>
  <c r="Q36" i="6"/>
  <c r="N121" i="2"/>
  <c r="O121" i="2" s="1"/>
  <c r="E269" i="2"/>
  <c r="E19" i="1" s="1"/>
  <c r="E21" i="1" s="1"/>
  <c r="J36" i="5"/>
  <c r="BB54" i="6"/>
  <c r="BB17" i="6"/>
  <c r="BB6" i="6"/>
  <c r="BB35" i="6"/>
  <c r="BB31" i="6"/>
  <c r="BB7" i="6"/>
  <c r="BB28" i="6"/>
  <c r="BB26" i="6"/>
  <c r="BB5" i="6"/>
  <c r="BB25" i="6"/>
  <c r="CF64" i="6"/>
  <c r="CF55" i="6"/>
  <c r="CE12" i="6"/>
  <c r="CF7" i="6"/>
  <c r="CF22" i="6"/>
  <c r="CF24" i="6"/>
  <c r="CF27" i="6"/>
  <c r="CF5" i="6"/>
  <c r="CF28" i="6"/>
  <c r="CF23" i="6"/>
  <c r="CF6" i="6"/>
  <c r="BF6" i="6"/>
  <c r="AP7" i="6"/>
  <c r="BU10" i="6"/>
  <c r="BD19" i="6"/>
  <c r="BE19" i="6" s="1"/>
  <c r="CC26" i="6"/>
  <c r="I32" i="6"/>
  <c r="BF32" i="6"/>
  <c r="BE32" i="6"/>
  <c r="BV34" i="6"/>
  <c r="BU34" i="6"/>
  <c r="CS35" i="6"/>
  <c r="BJ43" i="6"/>
  <c r="CG214" i="6"/>
  <c r="CH214" i="6" s="1"/>
  <c r="CH44" i="6"/>
  <c r="AI51" i="6"/>
  <c r="AI49" i="6" s="1"/>
  <c r="CL55" i="6"/>
  <c r="CK55" i="6"/>
  <c r="CL56" i="6"/>
  <c r="J87" i="6"/>
  <c r="I87" i="6"/>
  <c r="BF87" i="6"/>
  <c r="BE87" i="6"/>
  <c r="R100" i="6"/>
  <c r="Q100" i="6"/>
  <c r="Y101" i="6"/>
  <c r="Z101" i="6"/>
  <c r="J108" i="6"/>
  <c r="CK58" i="6"/>
  <c r="CL58" i="6"/>
  <c r="AO70" i="6"/>
  <c r="AP70" i="6"/>
  <c r="K208" i="2"/>
  <c r="K30" i="1" s="1"/>
  <c r="CA208" i="6" s="1"/>
  <c r="N15" i="4"/>
  <c r="N30" i="4" s="1"/>
  <c r="N59" i="4"/>
  <c r="N47" i="4"/>
  <c r="BZ43" i="6"/>
  <c r="CS57" i="6"/>
  <c r="CT57" i="6"/>
  <c r="AP81" i="6"/>
  <c r="AO81" i="6"/>
  <c r="AP91" i="6"/>
  <c r="AO91" i="6"/>
  <c r="BU176" i="6"/>
  <c r="BV176" i="6"/>
  <c r="AZ6" i="6"/>
  <c r="AZ5" i="6"/>
  <c r="BE6" i="6"/>
  <c r="BN11" i="6"/>
  <c r="AW28" i="6"/>
  <c r="R88" i="6"/>
  <c r="AH89" i="6"/>
  <c r="AG89" i="6"/>
  <c r="CK108" i="6"/>
  <c r="CD167" i="6"/>
  <c r="CC167" i="6"/>
  <c r="K275" i="2"/>
  <c r="K282" i="2" s="1"/>
  <c r="K283" i="2" s="1"/>
  <c r="N24" i="5"/>
  <c r="O8" i="1"/>
  <c r="C24" i="1"/>
  <c r="K40" i="1"/>
  <c r="CA218" i="6" s="1"/>
  <c r="CD218" i="6" s="1"/>
  <c r="G70" i="1"/>
  <c r="N69" i="1"/>
  <c r="O69" i="1" s="1"/>
  <c r="O17" i="2"/>
  <c r="J24" i="1"/>
  <c r="I269" i="2"/>
  <c r="I19" i="1" s="1"/>
  <c r="I21" i="1" s="1"/>
  <c r="I20" i="1" s="1"/>
  <c r="J279" i="2"/>
  <c r="J277" i="2"/>
  <c r="L2" i="3"/>
  <c r="N3" i="3"/>
  <c r="N2" i="3" s="1"/>
  <c r="K36" i="5"/>
  <c r="M37" i="5"/>
  <c r="BC4" i="6"/>
  <c r="W46" i="6"/>
  <c r="W4" i="6"/>
  <c r="X7" i="6" s="1"/>
  <c r="Z5" i="6"/>
  <c r="AW5" i="6"/>
  <c r="BV9" i="6"/>
  <c r="AO10" i="6"/>
  <c r="AM14" i="6"/>
  <c r="AP10" i="6"/>
  <c r="AC16" i="6"/>
  <c r="AW25" i="6"/>
  <c r="CS27" i="6"/>
  <c r="Y28" i="6"/>
  <c r="Y30" i="6"/>
  <c r="AG34" i="6"/>
  <c r="BU35" i="6"/>
  <c r="CU37" i="6"/>
  <c r="J40" i="6"/>
  <c r="I40" i="6"/>
  <c r="V43" i="6"/>
  <c r="BJ44" i="6"/>
  <c r="CM214" i="6"/>
  <c r="CN214" i="6" s="1"/>
  <c r="CN44" i="6"/>
  <c r="CT56" i="6"/>
  <c r="CS56" i="6"/>
  <c r="BV62" i="6"/>
  <c r="BU62" i="6"/>
  <c r="CT85" i="6"/>
  <c r="CS85" i="6"/>
  <c r="BF96" i="6"/>
  <c r="CD99" i="6"/>
  <c r="BN100" i="6"/>
  <c r="BM100" i="6"/>
  <c r="AN20" i="6"/>
  <c r="AM15" i="6"/>
  <c r="AP15" i="6" s="1"/>
  <c r="AX27" i="6"/>
  <c r="AW27" i="6"/>
  <c r="AX88" i="6"/>
  <c r="BC48" i="6"/>
  <c r="BD20" i="6"/>
  <c r="BE20" i="6" s="1"/>
  <c r="CE213" i="6"/>
  <c r="CF43" i="6"/>
  <c r="K280" i="2"/>
  <c r="E47" i="4"/>
  <c r="C10" i="1"/>
  <c r="I10" i="1"/>
  <c r="K24" i="1"/>
  <c r="F39" i="1"/>
  <c r="H54" i="4"/>
  <c r="H55" i="4" s="1"/>
  <c r="N211" i="2"/>
  <c r="O211" i="2" s="1"/>
  <c r="J269" i="2"/>
  <c r="J19" i="1" s="1"/>
  <c r="J21" i="1" s="1"/>
  <c r="J20" i="1" s="1"/>
  <c r="C276" i="2"/>
  <c r="C272" i="2"/>
  <c r="C281" i="2"/>
  <c r="C279" i="2"/>
  <c r="C277" i="2"/>
  <c r="K281" i="2"/>
  <c r="K277" i="2"/>
  <c r="N52" i="3"/>
  <c r="N51" i="3" s="1"/>
  <c r="O51" i="3" s="1"/>
  <c r="O147" i="3"/>
  <c r="D6" i="6"/>
  <c r="D7" i="6"/>
  <c r="BC44" i="6"/>
  <c r="AW26" i="6"/>
  <c r="BI21" i="6"/>
  <c r="BI16" i="6" s="1"/>
  <c r="BJ16" i="6" s="1"/>
  <c r="CY32" i="6"/>
  <c r="DA32" i="6" s="1"/>
  <c r="AH33" i="6"/>
  <c r="AG33" i="6"/>
  <c r="BB39" i="6"/>
  <c r="CC39" i="6"/>
  <c r="AS213" i="6"/>
  <c r="AT43" i="6"/>
  <c r="BF56" i="6"/>
  <c r="CT73" i="6"/>
  <c r="Y74" i="6"/>
  <c r="CY74" i="6"/>
  <c r="DB74" i="6" s="1"/>
  <c r="Q96" i="6"/>
  <c r="BM96" i="6"/>
  <c r="BN96" i="6"/>
  <c r="J98" i="6"/>
  <c r="I98" i="6"/>
  <c r="E214" i="6"/>
  <c r="F214" i="6" s="1"/>
  <c r="F44" i="6"/>
  <c r="BF178" i="6"/>
  <c r="BE178" i="6"/>
  <c r="D54" i="4"/>
  <c r="D55" i="4" s="1"/>
  <c r="J5" i="6"/>
  <c r="G13" i="6"/>
  <c r="I5" i="6"/>
  <c r="H10" i="1"/>
  <c r="I51" i="3"/>
  <c r="I178" i="3" s="1"/>
  <c r="I31" i="1" s="1"/>
  <c r="E59" i="4"/>
  <c r="M24" i="5"/>
  <c r="AO7" i="6"/>
  <c r="Y24" i="6"/>
  <c r="R66" i="6"/>
  <c r="Q66" i="6"/>
  <c r="DB232" i="6"/>
  <c r="N22" i="1"/>
  <c r="N30" i="2"/>
  <c r="O30" i="2" s="1"/>
  <c r="N147" i="2"/>
  <c r="O147" i="2" s="1"/>
  <c r="D281" i="2"/>
  <c r="D272" i="2"/>
  <c r="D279" i="2"/>
  <c r="N18" i="3"/>
  <c r="O18" i="3" s="1"/>
  <c r="N155" i="3"/>
  <c r="O155" i="3" s="1"/>
  <c r="F7" i="6"/>
  <c r="F6" i="6"/>
  <c r="Y5" i="6"/>
  <c r="AM8" i="6"/>
  <c r="AP8" i="6" s="1"/>
  <c r="CS8" i="6"/>
  <c r="AP9" i="6"/>
  <c r="AO9" i="6"/>
  <c r="AL17" i="6"/>
  <c r="BB23" i="6"/>
  <c r="CS25" i="6"/>
  <c r="BM31" i="6"/>
  <c r="BN31" i="6"/>
  <c r="Q39" i="6"/>
  <c r="CL39" i="6"/>
  <c r="CK39" i="6"/>
  <c r="E213" i="6"/>
  <c r="F43" i="6"/>
  <c r="V44" i="6"/>
  <c r="AR44" i="6"/>
  <c r="BB60" i="6"/>
  <c r="R61" i="6"/>
  <c r="Q61" i="6"/>
  <c r="Z74" i="6"/>
  <c r="AS42" i="6"/>
  <c r="AS16" i="6"/>
  <c r="AT16" i="6" s="1"/>
  <c r="AT21" i="6"/>
  <c r="O4" i="1"/>
  <c r="H2" i="2"/>
  <c r="S2" i="2" s="1"/>
  <c r="O15" i="3"/>
  <c r="CT23" i="6"/>
  <c r="CD30" i="6"/>
  <c r="R35" i="6"/>
  <c r="Q35" i="6"/>
  <c r="K10" i="1"/>
  <c r="N2" i="1"/>
  <c r="N12" i="1"/>
  <c r="D40" i="1"/>
  <c r="W218" i="6" s="1"/>
  <c r="Y218" i="6" s="1"/>
  <c r="J54" i="4"/>
  <c r="J55" i="4" s="1"/>
  <c r="S43" i="2"/>
  <c r="C53" i="2"/>
  <c r="O103" i="6" s="1"/>
  <c r="Q103" i="6" s="1"/>
  <c r="I208" i="2"/>
  <c r="I30" i="1" s="1"/>
  <c r="BK208" i="6" s="1"/>
  <c r="BM208" i="6" s="1"/>
  <c r="J272" i="2"/>
  <c r="H278" i="2"/>
  <c r="G291" i="2"/>
  <c r="O20" i="3"/>
  <c r="G51" i="3"/>
  <c r="G178" i="3" s="1"/>
  <c r="G31" i="1" s="1"/>
  <c r="N72" i="3"/>
  <c r="O72" i="3" s="1"/>
  <c r="E15" i="4"/>
  <c r="I30" i="4"/>
  <c r="E30" i="5"/>
  <c r="D5" i="6"/>
  <c r="Q6" i="6"/>
  <c r="CI4" i="6"/>
  <c r="CL4" i="6" s="1"/>
  <c r="CL7" i="6"/>
  <c r="BS8" i="6"/>
  <c r="M16" i="6"/>
  <c r="CK19" i="6"/>
  <c r="CL19" i="6"/>
  <c r="CJ20" i="6"/>
  <c r="BF23" i="6"/>
  <c r="BE23" i="6"/>
  <c r="CC27" i="6"/>
  <c r="BV32" i="6"/>
  <c r="AO35" i="6"/>
  <c r="CF40" i="6"/>
  <c r="J59" i="6"/>
  <c r="CD61" i="6"/>
  <c r="CC61" i="6"/>
  <c r="CY69" i="6"/>
  <c r="BV91" i="6"/>
  <c r="BU91" i="6"/>
  <c r="R92" i="6"/>
  <c r="Q92" i="6"/>
  <c r="J208" i="2"/>
  <c r="J30" i="1" s="1"/>
  <c r="J34" i="1" s="1"/>
  <c r="E246" i="2"/>
  <c r="M246" i="2"/>
  <c r="C246" i="2"/>
  <c r="H291" i="2"/>
  <c r="I291" i="2" s="1"/>
  <c r="B15" i="4"/>
  <c r="B30" i="4" s="1"/>
  <c r="B32" i="4" s="1"/>
  <c r="B33" i="4" s="1"/>
  <c r="J15" i="4"/>
  <c r="J30" i="4" s="1"/>
  <c r="G30" i="5"/>
  <c r="N36" i="5"/>
  <c r="BH17" i="6"/>
  <c r="CH81" i="6"/>
  <c r="CH39" i="6"/>
  <c r="BH6" i="6"/>
  <c r="W15" i="6"/>
  <c r="Z15" i="6" s="1"/>
  <c r="AT7" i="6"/>
  <c r="BS48" i="6"/>
  <c r="S12" i="6"/>
  <c r="AT17" i="6"/>
  <c r="W48" i="6"/>
  <c r="S21" i="6"/>
  <c r="BV24" i="6"/>
  <c r="BU24" i="6"/>
  <c r="AS214" i="6"/>
  <c r="AT44" i="6"/>
  <c r="CW47" i="6"/>
  <c r="CT60" i="6"/>
  <c r="CS60" i="6"/>
  <c r="CY62" i="6"/>
  <c r="J62" i="6"/>
  <c r="AP62" i="6"/>
  <c r="AO62" i="6"/>
  <c r="CY65" i="6"/>
  <c r="DA65" i="6" s="1"/>
  <c r="Q65" i="6"/>
  <c r="AW72" i="6"/>
  <c r="AX72" i="6"/>
  <c r="BM73" i="6"/>
  <c r="BN73" i="6"/>
  <c r="BN79" i="6"/>
  <c r="BM79" i="6"/>
  <c r="CL91" i="6"/>
  <c r="CK91" i="6"/>
  <c r="CS94" i="6"/>
  <c r="CT94" i="6"/>
  <c r="Y96" i="6"/>
  <c r="Z96" i="6"/>
  <c r="CT119" i="6"/>
  <c r="CS119" i="6"/>
  <c r="BV127" i="6"/>
  <c r="BU127" i="6"/>
  <c r="CL196" i="6"/>
  <c r="CK196" i="6"/>
  <c r="J206" i="6"/>
  <c r="I206" i="6"/>
  <c r="H2" i="3"/>
  <c r="S2" i="3" s="1"/>
  <c r="H195" i="3"/>
  <c r="AB195" i="3"/>
  <c r="C15" i="4"/>
  <c r="C30" i="4" s="1"/>
  <c r="K15" i="4"/>
  <c r="K30" i="4" s="1"/>
  <c r="H47" i="4"/>
  <c r="G37" i="5"/>
  <c r="T91" i="6"/>
  <c r="T76" i="6"/>
  <c r="T59" i="6"/>
  <c r="T23" i="6"/>
  <c r="AQ12" i="6"/>
  <c r="CW8" i="6"/>
  <c r="CW14" i="6"/>
  <c r="CW15" i="6"/>
  <c r="BV15" i="6"/>
  <c r="CU17" i="6"/>
  <c r="V17" i="6"/>
  <c r="BQ16" i="6"/>
  <c r="BR16" i="6" s="1"/>
  <c r="Y20" i="6"/>
  <c r="T22" i="6"/>
  <c r="AT22" i="6"/>
  <c r="CH23" i="6"/>
  <c r="AP24" i="6"/>
  <c r="AO24" i="6"/>
  <c r="AB28" i="6"/>
  <c r="AK21" i="6"/>
  <c r="AK16" i="6" s="1"/>
  <c r="AL16" i="6" s="1"/>
  <c r="BG52" i="6"/>
  <c r="CH62" i="6"/>
  <c r="T65" i="6"/>
  <c r="BF65" i="6"/>
  <c r="BE65" i="6"/>
  <c r="AH66" i="6"/>
  <c r="AG66" i="6"/>
  <c r="Y77" i="6"/>
  <c r="Z77" i="6"/>
  <c r="BE90" i="6"/>
  <c r="BF90" i="6"/>
  <c r="BN114" i="6"/>
  <c r="BM114" i="6"/>
  <c r="AO119" i="6"/>
  <c r="AP119" i="6"/>
  <c r="AS51" i="6"/>
  <c r="AG132" i="6"/>
  <c r="BV158" i="6"/>
  <c r="BU158" i="6"/>
  <c r="AO22" i="6"/>
  <c r="G279" i="2"/>
  <c r="M51" i="3"/>
  <c r="D51" i="3"/>
  <c r="D178" i="3" s="1"/>
  <c r="D31" i="1" s="1"/>
  <c r="L51" i="3"/>
  <c r="J51" i="4"/>
  <c r="AT39" i="6"/>
  <c r="AT75" i="6"/>
  <c r="AT74" i="6"/>
  <c r="AT33" i="6"/>
  <c r="AT31" i="6"/>
  <c r="AT26" i="6"/>
  <c r="CY5" i="6"/>
  <c r="DA5" i="6" s="1"/>
  <c r="CI43" i="6"/>
  <c r="AA12" i="6"/>
  <c r="BA12" i="6"/>
  <c r="AS12" i="6"/>
  <c r="CW13" i="6"/>
  <c r="Z20" i="6"/>
  <c r="AY16" i="6"/>
  <c r="CE21" i="6"/>
  <c r="CE16" i="6" s="1"/>
  <c r="CF16" i="6" s="1"/>
  <c r="I23" i="6"/>
  <c r="BM23" i="6"/>
  <c r="BN23" i="6"/>
  <c r="AT24" i="6"/>
  <c r="CH25" i="6"/>
  <c r="CH27" i="6"/>
  <c r="CL28" i="6"/>
  <c r="AT29" i="6"/>
  <c r="BY21" i="6"/>
  <c r="BY16" i="6" s="1"/>
  <c r="BZ16" i="6" s="1"/>
  <c r="AW31" i="6"/>
  <c r="CS32" i="6"/>
  <c r="BM33" i="6"/>
  <c r="CK33" i="6"/>
  <c r="AX35" i="6"/>
  <c r="T40" i="6"/>
  <c r="BP43" i="6"/>
  <c r="CH43" i="6"/>
  <c r="L44" i="6"/>
  <c r="AC214" i="6"/>
  <c r="AD44" i="6"/>
  <c r="BA214" i="6"/>
  <c r="BB214" i="6" s="1"/>
  <c r="BB44" i="6"/>
  <c r="BF63" i="6"/>
  <c r="BE63" i="6"/>
  <c r="CS70" i="6"/>
  <c r="BF71" i="6"/>
  <c r="AX78" i="6"/>
  <c r="AW78" i="6"/>
  <c r="AO84" i="6"/>
  <c r="Z85" i="6"/>
  <c r="BM85" i="6"/>
  <c r="AX86" i="6"/>
  <c r="AW86" i="6"/>
  <c r="J91" i="6"/>
  <c r="I91" i="6"/>
  <c r="CC92" i="6"/>
  <c r="BM94" i="6"/>
  <c r="BN94" i="6"/>
  <c r="AO102" i="6"/>
  <c r="BV114" i="6"/>
  <c r="BU114" i="6"/>
  <c r="AH118" i="6"/>
  <c r="AG118" i="6"/>
  <c r="CT121" i="6"/>
  <c r="CS121" i="6"/>
  <c r="H246" i="2"/>
  <c r="S246" i="2" s="1"/>
  <c r="H279" i="2"/>
  <c r="K291" i="2"/>
  <c r="B2" i="3"/>
  <c r="J2" i="3"/>
  <c r="J178" i="3" s="1"/>
  <c r="J31" i="1" s="1"/>
  <c r="BS210" i="6" s="1"/>
  <c r="BV210" i="6" s="1"/>
  <c r="M2" i="3"/>
  <c r="M178" i="3" s="1"/>
  <c r="M31" i="1" s="1"/>
  <c r="CQ210" i="6" s="1"/>
  <c r="CS210" i="6" s="1"/>
  <c r="B51" i="3"/>
  <c r="J51" i="3"/>
  <c r="F51" i="3"/>
  <c r="N65" i="3"/>
  <c r="O65" i="3" s="1"/>
  <c r="M15" i="4"/>
  <c r="M30" i="4" s="1"/>
  <c r="C51" i="4"/>
  <c r="K51" i="4"/>
  <c r="J30" i="5"/>
  <c r="CN26" i="6"/>
  <c r="CN71" i="6"/>
  <c r="CN76" i="6"/>
  <c r="X6" i="6"/>
  <c r="BR6" i="6"/>
  <c r="CK6" i="6"/>
  <c r="I7" i="6"/>
  <c r="AB7" i="6"/>
  <c r="CD11" i="6"/>
  <c r="BQ12" i="6"/>
  <c r="O13" i="6"/>
  <c r="BA45" i="6"/>
  <c r="AA21" i="6"/>
  <c r="AB21" i="6" s="1"/>
  <c r="BB22" i="6"/>
  <c r="BM25" i="6"/>
  <c r="CT26" i="6"/>
  <c r="T29" i="6"/>
  <c r="CF29" i="6"/>
  <c r="BE36" i="6"/>
  <c r="AT37" i="6"/>
  <c r="CC38" i="6"/>
  <c r="AH39" i="6"/>
  <c r="BQ213" i="6"/>
  <c r="CW213" i="6" s="1"/>
  <c r="CX213" i="6" s="1"/>
  <c r="BR43" i="6"/>
  <c r="T52" i="6"/>
  <c r="BE54" i="6"/>
  <c r="CK54" i="6"/>
  <c r="I55" i="6"/>
  <c r="AG58" i="6"/>
  <c r="AH58" i="6"/>
  <c r="Y71" i="6"/>
  <c r="Z71" i="6"/>
  <c r="J84" i="6"/>
  <c r="I84" i="6"/>
  <c r="Z94" i="6"/>
  <c r="Y94" i="6"/>
  <c r="Q99" i="6"/>
  <c r="R99" i="6"/>
  <c r="CK101" i="6"/>
  <c r="CL101" i="6"/>
  <c r="AW109" i="6"/>
  <c r="AX109" i="6"/>
  <c r="Z114" i="6"/>
  <c r="Y114" i="6"/>
  <c r="BF116" i="6"/>
  <c r="BE116" i="6"/>
  <c r="CN106" i="6"/>
  <c r="CT124" i="6"/>
  <c r="CS124" i="6"/>
  <c r="AX129" i="6"/>
  <c r="AW129" i="6"/>
  <c r="K2" i="3"/>
  <c r="F2" i="3"/>
  <c r="F178" i="3" s="1"/>
  <c r="F31" i="1" s="1"/>
  <c r="AM210" i="6" s="1"/>
  <c r="K51" i="3"/>
  <c r="K30" i="5"/>
  <c r="AB70" i="6"/>
  <c r="AB63" i="6"/>
  <c r="AB61" i="6"/>
  <c r="AB38" i="6"/>
  <c r="BR21" i="6"/>
  <c r="T5" i="6"/>
  <c r="CU15" i="6"/>
  <c r="BZ17" i="6"/>
  <c r="CI46" i="6"/>
  <c r="CL46" i="6" s="1"/>
  <c r="X19" i="6"/>
  <c r="C21" i="6"/>
  <c r="C42" i="6" s="1"/>
  <c r="AB22" i="6"/>
  <c r="BG21" i="6"/>
  <c r="AT23" i="6"/>
  <c r="CK24" i="6"/>
  <c r="AP25" i="6"/>
  <c r="CN25" i="6"/>
  <c r="Q26" i="6"/>
  <c r="U21" i="6"/>
  <c r="BB29" i="6"/>
  <c r="CH29" i="6"/>
  <c r="BR30" i="6"/>
  <c r="CT33" i="6"/>
  <c r="AB36" i="6"/>
  <c r="BU40" i="6"/>
  <c r="S213" i="6"/>
  <c r="T43" i="6"/>
  <c r="AK214" i="6"/>
  <c r="AL44" i="6"/>
  <c r="BZ44" i="6"/>
  <c r="CF53" i="6"/>
  <c r="CD56" i="6"/>
  <c r="Z63" i="6"/>
  <c r="Y63" i="6"/>
  <c r="AW66" i="6"/>
  <c r="BB52" i="6"/>
  <c r="CL74" i="6"/>
  <c r="CK74" i="6"/>
  <c r="BN75" i="6"/>
  <c r="BM75" i="6"/>
  <c r="AO77" i="6"/>
  <c r="CD90" i="6"/>
  <c r="CC90" i="6"/>
  <c r="CS92" i="6"/>
  <c r="CT92" i="6"/>
  <c r="BF97" i="6"/>
  <c r="BE97" i="6"/>
  <c r="BV99" i="6"/>
  <c r="BU99" i="6"/>
  <c r="BE101" i="6"/>
  <c r="BF101" i="6"/>
  <c r="AO105" i="6"/>
  <c r="AP105" i="6"/>
  <c r="CM21" i="6"/>
  <c r="CN21" i="6" s="1"/>
  <c r="AP99" i="6"/>
  <c r="AO99" i="6"/>
  <c r="K103" i="6"/>
  <c r="R103" i="6" s="1"/>
  <c r="BV112" i="6"/>
  <c r="BU112" i="6"/>
  <c r="BE144" i="6"/>
  <c r="BF144" i="6"/>
  <c r="Z145" i="6"/>
  <c r="Y145" i="6"/>
  <c r="CL145" i="6"/>
  <c r="CK145" i="6"/>
  <c r="R153" i="6"/>
  <c r="Q153" i="6"/>
  <c r="BV195" i="6"/>
  <c r="BU195" i="6"/>
  <c r="CK66" i="6"/>
  <c r="CL66" i="6"/>
  <c r="AG73" i="6"/>
  <c r="AH73" i="6"/>
  <c r="AW77" i="6"/>
  <c r="AX77" i="6"/>
  <c r="AH79" i="6"/>
  <c r="AG79" i="6"/>
  <c r="AG94" i="6"/>
  <c r="AH94" i="6"/>
  <c r="AW102" i="6"/>
  <c r="AX102" i="6"/>
  <c r="CC109" i="6"/>
  <c r="CD109" i="6"/>
  <c r="BV116" i="6"/>
  <c r="BU116" i="6"/>
  <c r="R144" i="6"/>
  <c r="Q144" i="6"/>
  <c r="AW62" i="6"/>
  <c r="AX62" i="6"/>
  <c r="AX81" i="6"/>
  <c r="AW81" i="6"/>
  <c r="CK90" i="6"/>
  <c r="CL90" i="6"/>
  <c r="Z92" i="6"/>
  <c r="Y92" i="6"/>
  <c r="S103" i="6"/>
  <c r="S51" i="6" s="1"/>
  <c r="CT143" i="6"/>
  <c r="CS143" i="6"/>
  <c r="BM144" i="6"/>
  <c r="AW147" i="6"/>
  <c r="CY147" i="6"/>
  <c r="DA147" i="6" s="1"/>
  <c r="AX147" i="6"/>
  <c r="CU64" i="6"/>
  <c r="Z66" i="6"/>
  <c r="CC70" i="6"/>
  <c r="BV72" i="6"/>
  <c r="CY77" i="6"/>
  <c r="DA77" i="6" s="1"/>
  <c r="AH87" i="6"/>
  <c r="J99" i="6"/>
  <c r="I99" i="6"/>
  <c r="CG103" i="6"/>
  <c r="CG51" i="6" s="1"/>
  <c r="AG105" i="6"/>
  <c r="BV108" i="6"/>
  <c r="BU108" i="6"/>
  <c r="AO109" i="6"/>
  <c r="BN115" i="6"/>
  <c r="BM115" i="6"/>
  <c r="Z116" i="6"/>
  <c r="Y116" i="6"/>
  <c r="AH124" i="6"/>
  <c r="AG124" i="6"/>
  <c r="AP142" i="6"/>
  <c r="AO142" i="6"/>
  <c r="R143" i="6"/>
  <c r="Q143" i="6"/>
  <c r="Z187" i="6"/>
  <c r="Y187" i="6"/>
  <c r="Z126" i="6"/>
  <c r="Y126" i="6"/>
  <c r="BN134" i="6"/>
  <c r="BM134" i="6"/>
  <c r="Z151" i="6"/>
  <c r="Y151" i="6"/>
  <c r="AP158" i="6"/>
  <c r="AO158" i="6"/>
  <c r="BF196" i="6"/>
  <c r="BE196" i="6"/>
  <c r="CY88" i="6"/>
  <c r="DA88" i="6" s="1"/>
  <c r="Q109" i="6"/>
  <c r="R109" i="6"/>
  <c r="J112" i="6"/>
  <c r="I112" i="6"/>
  <c r="AH114" i="6"/>
  <c r="AG114" i="6"/>
  <c r="BU115" i="6"/>
  <c r="BV115" i="6"/>
  <c r="I119" i="6"/>
  <c r="J119" i="6"/>
  <c r="AH120" i="6"/>
  <c r="AO124" i="6"/>
  <c r="AP124" i="6"/>
  <c r="AG127" i="6"/>
  <c r="CC128" i="6"/>
  <c r="I136" i="6"/>
  <c r="AH141" i="6"/>
  <c r="AH165" i="6"/>
  <c r="AG165" i="6"/>
  <c r="J173" i="6"/>
  <c r="I173" i="6"/>
  <c r="CS173" i="6"/>
  <c r="Z174" i="6"/>
  <c r="Y174" i="6"/>
  <c r="CS186" i="6"/>
  <c r="CT186" i="6"/>
  <c r="CC81" i="6"/>
  <c r="I82" i="6"/>
  <c r="AO82" i="6"/>
  <c r="I83" i="6"/>
  <c r="AO83" i="6"/>
  <c r="CK84" i="6"/>
  <c r="AG86" i="6"/>
  <c r="AO87" i="6"/>
  <c r="BU87" i="6"/>
  <c r="Q89" i="6"/>
  <c r="AW89" i="6"/>
  <c r="CC89" i="6"/>
  <c r="Z90" i="6"/>
  <c r="R91" i="6"/>
  <c r="BE92" i="6"/>
  <c r="Z95" i="6"/>
  <c r="AG96" i="6"/>
  <c r="Y97" i="6"/>
  <c r="CS97" i="6"/>
  <c r="Y98" i="6"/>
  <c r="BE98" i="6"/>
  <c r="CL98" i="6"/>
  <c r="CS99" i="6"/>
  <c r="AW100" i="6"/>
  <c r="CC100" i="6"/>
  <c r="BE102" i="6"/>
  <c r="CL102" i="6"/>
  <c r="I105" i="6"/>
  <c r="J105" i="6"/>
  <c r="BF107" i="6"/>
  <c r="BE108" i="6"/>
  <c r="AG110" i="6"/>
  <c r="BM110" i="6"/>
  <c r="I121" i="6"/>
  <c r="BN121" i="6"/>
  <c r="BM121" i="6"/>
  <c r="CC123" i="6"/>
  <c r="BE125" i="6"/>
  <c r="AO135" i="6"/>
  <c r="BN136" i="6"/>
  <c r="CL137" i="6"/>
  <c r="AH156" i="6"/>
  <c r="AG156" i="6"/>
  <c r="CD172" i="6"/>
  <c r="CC172" i="6"/>
  <c r="BN191" i="6"/>
  <c r="BM191" i="6"/>
  <c r="CD198" i="6"/>
  <c r="CC198" i="6"/>
  <c r="CU68" i="6"/>
  <c r="AP75" i="6"/>
  <c r="CS75" i="6"/>
  <c r="CC76" i="6"/>
  <c r="AG77" i="6"/>
  <c r="CK77" i="6"/>
  <c r="AH78" i="6"/>
  <c r="BU79" i="6"/>
  <c r="BU83" i="6"/>
  <c r="Y84" i="6"/>
  <c r="BE84" i="6"/>
  <c r="Q85" i="6"/>
  <c r="BM86" i="6"/>
  <c r="CS86" i="6"/>
  <c r="AX91" i="6"/>
  <c r="CK92" i="6"/>
  <c r="BM97" i="6"/>
  <c r="CS98" i="6"/>
  <c r="CT98" i="6"/>
  <c r="BM99" i="6"/>
  <c r="M103" i="6"/>
  <c r="BM106" i="6"/>
  <c r="AO116" i="6"/>
  <c r="BF119" i="6"/>
  <c r="CD119" i="6"/>
  <c r="CC119" i="6"/>
  <c r="BV121" i="6"/>
  <c r="BU121" i="6"/>
  <c r="Q125" i="6"/>
  <c r="AW128" i="6"/>
  <c r="AG134" i="6"/>
  <c r="BV136" i="6"/>
  <c r="BU136" i="6"/>
  <c r="Z138" i="6"/>
  <c r="Y138" i="6"/>
  <c r="J160" i="6"/>
  <c r="I160" i="6"/>
  <c r="BM164" i="6"/>
  <c r="AG184" i="6"/>
  <c r="BU192" i="6"/>
  <c r="R203" i="6"/>
  <c r="Q203" i="6"/>
  <c r="Z76" i="6"/>
  <c r="BM77" i="6"/>
  <c r="AG81" i="6"/>
  <c r="CD91" i="6"/>
  <c r="AH92" i="6"/>
  <c r="AG97" i="6"/>
  <c r="BN98" i="6"/>
  <c r="AG106" i="6"/>
  <c r="Z107" i="6"/>
  <c r="AH108" i="6"/>
  <c r="BM108" i="6"/>
  <c r="BN108" i="6"/>
  <c r="BU109" i="6"/>
  <c r="CC110" i="6"/>
  <c r="CD110" i="6"/>
  <c r="AH113" i="6"/>
  <c r="CD114" i="6"/>
  <c r="J115" i="6"/>
  <c r="I115" i="6"/>
  <c r="BE119" i="6"/>
  <c r="CW122" i="6"/>
  <c r="AW123" i="6"/>
  <c r="CL124" i="6"/>
  <c r="Z125" i="6"/>
  <c r="Y125" i="6"/>
  <c r="BU126" i="6"/>
  <c r="CL134" i="6"/>
  <c r="I135" i="6"/>
  <c r="CC145" i="6"/>
  <c r="CD145" i="6"/>
  <c r="CS154" i="6"/>
  <c r="CT154" i="6"/>
  <c r="CS161" i="6"/>
  <c r="CD180" i="6"/>
  <c r="CC180" i="6"/>
  <c r="AP182" i="6"/>
  <c r="AO182" i="6"/>
  <c r="AW198" i="6"/>
  <c r="BA103" i="6"/>
  <c r="BA51" i="6" s="1"/>
  <c r="CY116" i="6"/>
  <c r="DA116" i="6" s="1"/>
  <c r="J142" i="6"/>
  <c r="CY142" i="6"/>
  <c r="DA142" i="6" s="1"/>
  <c r="I142" i="6"/>
  <c r="R147" i="6"/>
  <c r="Q147" i="6"/>
  <c r="J150" i="6"/>
  <c r="I150" i="6"/>
  <c r="AP170" i="6"/>
  <c r="AO170" i="6"/>
  <c r="BV174" i="6"/>
  <c r="BU174" i="6"/>
  <c r="AH187" i="6"/>
  <c r="AG187" i="6"/>
  <c r="AH191" i="6"/>
  <c r="AG191" i="6"/>
  <c r="J193" i="6"/>
  <c r="I193" i="6"/>
  <c r="R202" i="6"/>
  <c r="Q202" i="6"/>
  <c r="CD139" i="6"/>
  <c r="CC139" i="6"/>
  <c r="CD141" i="6"/>
  <c r="CC141" i="6"/>
  <c r="BV144" i="6"/>
  <c r="BU144" i="6"/>
  <c r="CD149" i="6"/>
  <c r="CC149" i="6"/>
  <c r="AH161" i="6"/>
  <c r="AG161" i="6"/>
  <c r="R168" i="6"/>
  <c r="Q168" i="6"/>
  <c r="CD194" i="6"/>
  <c r="CC194" i="6"/>
  <c r="BN203" i="6"/>
  <c r="BM203" i="6"/>
  <c r="CW117" i="6"/>
  <c r="AW124" i="6"/>
  <c r="CK126" i="6"/>
  <c r="I127" i="6"/>
  <c r="AG128" i="6"/>
  <c r="CK131" i="6"/>
  <c r="R132" i="6"/>
  <c r="BE133" i="6"/>
  <c r="AO134" i="6"/>
  <c r="CS135" i="6"/>
  <c r="Q136" i="6"/>
  <c r="AW136" i="6"/>
  <c r="AO137" i="6"/>
  <c r="BF140" i="6"/>
  <c r="BF146" i="6"/>
  <c r="BE146" i="6"/>
  <c r="Y147" i="6"/>
  <c r="CK148" i="6"/>
  <c r="I149" i="6"/>
  <c r="BF152" i="6"/>
  <c r="CT152" i="6"/>
  <c r="CS152" i="6"/>
  <c r="I158" i="6"/>
  <c r="AG164" i="6"/>
  <c r="CY166" i="6"/>
  <c r="DA166" i="6" s="1"/>
  <c r="AW167" i="6"/>
  <c r="BN169" i="6"/>
  <c r="AG173" i="6"/>
  <c r="AX176" i="6"/>
  <c r="AW176" i="6"/>
  <c r="CS184" i="6"/>
  <c r="AH186" i="6"/>
  <c r="AW194" i="6"/>
  <c r="CS202" i="6"/>
  <c r="AG217" i="6"/>
  <c r="CD106" i="6"/>
  <c r="AG107" i="6"/>
  <c r="BM107" i="6"/>
  <c r="CS107" i="6"/>
  <c r="AP120" i="6"/>
  <c r="BV120" i="6"/>
  <c r="AH126" i="6"/>
  <c r="CD130" i="6"/>
  <c r="BE132" i="6"/>
  <c r="Y133" i="6"/>
  <c r="BU134" i="6"/>
  <c r="BM135" i="6"/>
  <c r="CC136" i="6"/>
  <c r="I137" i="6"/>
  <c r="CC137" i="6"/>
  <c r="CC138" i="6"/>
  <c r="CK139" i="6"/>
  <c r="Z140" i="6"/>
  <c r="CS140" i="6"/>
  <c r="Q141" i="6"/>
  <c r="BM146" i="6"/>
  <c r="BN146" i="6"/>
  <c r="CT146" i="6"/>
  <c r="BE151" i="6"/>
  <c r="AO154" i="6"/>
  <c r="BE156" i="6"/>
  <c r="CS165" i="6"/>
  <c r="AO169" i="6"/>
  <c r="AP173" i="6"/>
  <c r="AO173" i="6"/>
  <c r="BE177" i="6"/>
  <c r="AP181" i="6"/>
  <c r="AO181" i="6"/>
  <c r="CD183" i="6"/>
  <c r="CC183" i="6"/>
  <c r="Y188" i="6"/>
  <c r="BE188" i="6"/>
  <c r="Z196" i="6"/>
  <c r="Y196" i="6"/>
  <c r="BF201" i="6"/>
  <c r="BE201" i="6"/>
  <c r="Z141" i="6"/>
  <c r="Y141" i="6"/>
  <c r="BV142" i="6"/>
  <c r="BU142" i="6"/>
  <c r="AX144" i="6"/>
  <c r="AW144" i="6"/>
  <c r="BN145" i="6"/>
  <c r="BM145" i="6"/>
  <c r="CT151" i="6"/>
  <c r="Y159" i="6"/>
  <c r="BN159" i="6"/>
  <c r="BM165" i="6"/>
  <c r="BU168" i="6"/>
  <c r="CD175" i="6"/>
  <c r="CC175" i="6"/>
  <c r="BU182" i="6"/>
  <c r="BM184" i="6"/>
  <c r="BM193" i="6"/>
  <c r="CT195" i="6"/>
  <c r="CS195" i="6"/>
  <c r="BV202" i="6"/>
  <c r="BU202" i="6"/>
  <c r="BU163" i="6"/>
  <c r="AW168" i="6"/>
  <c r="CY172" i="6"/>
  <c r="DB172" i="6" s="1"/>
  <c r="BE179" i="6"/>
  <c r="AW180" i="6"/>
  <c r="Q184" i="6"/>
  <c r="AW184" i="6"/>
  <c r="CC184" i="6"/>
  <c r="I186" i="6"/>
  <c r="AO186" i="6"/>
  <c r="BU186" i="6"/>
  <c r="Y189" i="6"/>
  <c r="CS189" i="6"/>
  <c r="I191" i="6"/>
  <c r="BE192" i="6"/>
  <c r="CC193" i="6"/>
  <c r="AP195" i="6"/>
  <c r="BE198" i="6"/>
  <c r="AO200" i="6"/>
  <c r="BU200" i="6"/>
  <c r="Y201" i="6"/>
  <c r="CS201" i="6"/>
  <c r="AW202" i="6"/>
  <c r="Y206" i="6"/>
  <c r="DA209" i="6"/>
  <c r="CC199" i="6"/>
  <c r="BU206" i="6"/>
  <c r="R150" i="6"/>
  <c r="AG153" i="6"/>
  <c r="I155" i="6"/>
  <c r="CD155" i="6"/>
  <c r="AP156" i="6"/>
  <c r="Z157" i="6"/>
  <c r="AW162" i="6"/>
  <c r="CK164" i="6"/>
  <c r="R173" i="6"/>
  <c r="CK174" i="6"/>
  <c r="BU188" i="6"/>
  <c r="CS217" i="6"/>
  <c r="CY181" i="6"/>
  <c r="DB181" i="6" s="1"/>
  <c r="C31" i="4"/>
  <c r="C35" i="4" s="1"/>
  <c r="J32" i="4"/>
  <c r="K31" i="4"/>
  <c r="K35" i="4" s="1"/>
  <c r="C32" i="4"/>
  <c r="D31" i="4"/>
  <c r="L31" i="4"/>
  <c r="K32" i="4"/>
  <c r="I51" i="4"/>
  <c r="M55" i="4"/>
  <c r="AX20" i="6"/>
  <c r="AW20" i="6"/>
  <c r="N23" i="1"/>
  <c r="N13" i="1"/>
  <c r="AE18" i="6"/>
  <c r="CY18" i="6" s="1"/>
  <c r="E25" i="1"/>
  <c r="E15" i="1"/>
  <c r="B34" i="1"/>
  <c r="L39" i="1"/>
  <c r="J40" i="1"/>
  <c r="BN222" i="6"/>
  <c r="BM222" i="6"/>
  <c r="BL222" i="6"/>
  <c r="AG223" i="6"/>
  <c r="AF223" i="6"/>
  <c r="AH223" i="6"/>
  <c r="CT223" i="6"/>
  <c r="CS223" i="6"/>
  <c r="AW224" i="6"/>
  <c r="AV224" i="6"/>
  <c r="AX224" i="6"/>
  <c r="BL225" i="6"/>
  <c r="BN225" i="6"/>
  <c r="BM225" i="6"/>
  <c r="AH226" i="6"/>
  <c r="AG226" i="6"/>
  <c r="AF226" i="6"/>
  <c r="CT226" i="6"/>
  <c r="CS226" i="6"/>
  <c r="N58" i="1"/>
  <c r="C57" i="1"/>
  <c r="K70" i="1"/>
  <c r="BK53" i="6"/>
  <c r="I2" i="2"/>
  <c r="AO68" i="6"/>
  <c r="AP68" i="6"/>
  <c r="N18" i="2"/>
  <c r="O18" i="2" s="1"/>
  <c r="B53" i="2"/>
  <c r="G103" i="6" s="1"/>
  <c r="H208" i="2"/>
  <c r="S181" i="2"/>
  <c r="O212" i="2"/>
  <c r="E272" i="2"/>
  <c r="N55" i="4"/>
  <c r="DB5" i="6"/>
  <c r="BC218" i="6"/>
  <c r="BC216" i="6" s="1"/>
  <c r="CD226" i="6"/>
  <c r="CC226" i="6"/>
  <c r="CB226" i="6"/>
  <c r="CL229" i="6"/>
  <c r="CK229" i="6"/>
  <c r="AH171" i="6"/>
  <c r="AG171" i="6"/>
  <c r="AF171" i="6"/>
  <c r="CJ223" i="6"/>
  <c r="CL223" i="6"/>
  <c r="CK223" i="6"/>
  <c r="BD227" i="6"/>
  <c r="BF227" i="6"/>
  <c r="BE227" i="6"/>
  <c r="AV52" i="6"/>
  <c r="N15" i="1"/>
  <c r="O16" i="1"/>
  <c r="AH220" i="6"/>
  <c r="AG220" i="6"/>
  <c r="AF220" i="6"/>
  <c r="G222" i="6"/>
  <c r="N44" i="1"/>
  <c r="O44" i="1" s="1"/>
  <c r="BV225" i="6"/>
  <c r="BU225" i="6"/>
  <c r="L70" i="1"/>
  <c r="BS53" i="6"/>
  <c r="J2" i="2"/>
  <c r="AE64" i="6"/>
  <c r="E2" i="2"/>
  <c r="CQ64" i="6"/>
  <c r="M2" i="2"/>
  <c r="R80" i="6"/>
  <c r="Q80" i="6"/>
  <c r="CC80" i="6"/>
  <c r="BM117" i="6"/>
  <c r="BL117" i="6"/>
  <c r="BN117" i="6"/>
  <c r="E278" i="2"/>
  <c r="G208" i="6"/>
  <c r="Y29" i="6"/>
  <c r="X29" i="6"/>
  <c r="Z29" i="6"/>
  <c r="CK29" i="6"/>
  <c r="CJ29" i="6"/>
  <c r="CL29" i="6"/>
  <c r="I280" i="2"/>
  <c r="M32" i="4"/>
  <c r="N31" i="4"/>
  <c r="N35" i="4" s="1"/>
  <c r="CJ226" i="6"/>
  <c r="CK226" i="6"/>
  <c r="CL226" i="6"/>
  <c r="G228" i="6"/>
  <c r="N50" i="1"/>
  <c r="O50" i="1" s="1"/>
  <c r="O32" i="2"/>
  <c r="AW122" i="6"/>
  <c r="AX122" i="6"/>
  <c r="AV122" i="6"/>
  <c r="L25" i="5"/>
  <c r="CT220" i="6"/>
  <c r="CS220" i="6"/>
  <c r="BF224" i="6"/>
  <c r="BE224" i="6"/>
  <c r="BD224" i="6"/>
  <c r="M25" i="5"/>
  <c r="R210" i="6"/>
  <c r="Q210" i="6"/>
  <c r="P210" i="6"/>
  <c r="CC219" i="6"/>
  <c r="CD219" i="6"/>
  <c r="N42" i="1"/>
  <c r="O42" i="1" s="1"/>
  <c r="CC222" i="6"/>
  <c r="CD222" i="6"/>
  <c r="CD225" i="6"/>
  <c r="CC225" i="6"/>
  <c r="E70" i="1"/>
  <c r="F46" i="4"/>
  <c r="F47" i="4" s="1"/>
  <c r="CK80" i="6"/>
  <c r="BS117" i="6"/>
  <c r="J53" i="2"/>
  <c r="BS103" i="6" s="1"/>
  <c r="N187" i="2"/>
  <c r="O187" i="2" s="1"/>
  <c r="O189" i="2"/>
  <c r="C208" i="2"/>
  <c r="C30" i="1" s="1"/>
  <c r="O208" i="6" s="1"/>
  <c r="AG29" i="6"/>
  <c r="AF29" i="6"/>
  <c r="AH29" i="6"/>
  <c r="N263" i="2"/>
  <c r="O263" i="2" s="1"/>
  <c r="O265" i="2"/>
  <c r="F276" i="2"/>
  <c r="AP210" i="6"/>
  <c r="AO210" i="6"/>
  <c r="AN210" i="6"/>
  <c r="L51" i="4"/>
  <c r="AH219" i="6"/>
  <c r="AG219" i="6"/>
  <c r="AF219" i="6"/>
  <c r="R226" i="6"/>
  <c r="Q226" i="6"/>
  <c r="AX227" i="6"/>
  <c r="AW227" i="6"/>
  <c r="AV227" i="6"/>
  <c r="Z229" i="6"/>
  <c r="X229" i="6"/>
  <c r="Y229" i="6"/>
  <c r="CT171" i="6"/>
  <c r="CS171" i="6"/>
  <c r="Z223" i="6"/>
  <c r="Y223" i="6"/>
  <c r="X223" i="6"/>
  <c r="N46" i="1"/>
  <c r="O46" i="1" s="1"/>
  <c r="BV228" i="6"/>
  <c r="BU228" i="6"/>
  <c r="D70" i="1"/>
  <c r="F279" i="2"/>
  <c r="F277" i="2"/>
  <c r="F272" i="2"/>
  <c r="F278" i="2"/>
  <c r="D24" i="1"/>
  <c r="D10" i="1"/>
  <c r="G24" i="5"/>
  <c r="D275" i="2"/>
  <c r="BV222" i="6"/>
  <c r="BU222" i="6"/>
  <c r="N45" i="1"/>
  <c r="O45" i="1" s="1"/>
  <c r="G225" i="6"/>
  <c r="N47" i="1"/>
  <c r="O47" i="1" s="1"/>
  <c r="AP220" i="6"/>
  <c r="AO220" i="6"/>
  <c r="AX223" i="6"/>
  <c r="AW223" i="6"/>
  <c r="AV223" i="6"/>
  <c r="R225" i="6"/>
  <c r="P225" i="6"/>
  <c r="Q225" i="6"/>
  <c r="H70" i="1"/>
  <c r="I46" i="4"/>
  <c r="I47" i="4" s="1"/>
  <c r="M70" i="1"/>
  <c r="AP64" i="6"/>
  <c r="AO64" i="6"/>
  <c r="E25" i="5"/>
  <c r="M34" i="1"/>
  <c r="M273" i="2"/>
  <c r="B24" i="1"/>
  <c r="BN221" i="6"/>
  <c r="BM221" i="6"/>
  <c r="BL221" i="6"/>
  <c r="BN229" i="6"/>
  <c r="BM229" i="6"/>
  <c r="BL229" i="6"/>
  <c r="I70" i="1"/>
  <c r="J46" i="4"/>
  <c r="J47" i="4" s="1"/>
  <c r="G46" i="4"/>
  <c r="G47" i="4" s="1"/>
  <c r="F70" i="1"/>
  <c r="AG80" i="6"/>
  <c r="AF80" i="6"/>
  <c r="AH80" i="6"/>
  <c r="I117" i="6"/>
  <c r="J117" i="6"/>
  <c r="N155" i="2"/>
  <c r="O155" i="2" s="1"/>
  <c r="CD22" i="6"/>
  <c r="CB22" i="6"/>
  <c r="CA21" i="6"/>
  <c r="CA42" i="6" s="1"/>
  <c r="CC22" i="6"/>
  <c r="J31" i="4"/>
  <c r="J35" i="4" s="1"/>
  <c r="I32" i="4"/>
  <c r="L47" i="4"/>
  <c r="BN228" i="6"/>
  <c r="BM228" i="6"/>
  <c r="BL228" i="6"/>
  <c r="N67" i="2"/>
  <c r="N72" i="2"/>
  <c r="O72" i="2" s="1"/>
  <c r="CL208" i="6"/>
  <c r="CK208" i="6"/>
  <c r="CJ208" i="6"/>
  <c r="AP224" i="6"/>
  <c r="AO224" i="6"/>
  <c r="X226" i="6"/>
  <c r="Z226" i="6"/>
  <c r="Y226" i="6"/>
  <c r="CQ104" i="6"/>
  <c r="M53" i="2"/>
  <c r="CQ103" i="6" s="1"/>
  <c r="N279" i="2"/>
  <c r="N276" i="2"/>
  <c r="AV221" i="6"/>
  <c r="AX221" i="6"/>
  <c r="AW221" i="6"/>
  <c r="BE221" i="6"/>
  <c r="BD221" i="6"/>
  <c r="BF221" i="6"/>
  <c r="BM224" i="6"/>
  <c r="BN224" i="6"/>
  <c r="BL224" i="6"/>
  <c r="Z80" i="6"/>
  <c r="Y80" i="6"/>
  <c r="X80" i="6"/>
  <c r="C35" i="1"/>
  <c r="CL219" i="6"/>
  <c r="CK219" i="6"/>
  <c r="CJ219" i="6"/>
  <c r="AV220" i="6"/>
  <c r="AX220" i="6"/>
  <c r="AW220" i="6"/>
  <c r="CL222" i="6"/>
  <c r="CK222" i="6"/>
  <c r="Q14" i="6"/>
  <c r="R14" i="6"/>
  <c r="AO122" i="6"/>
  <c r="AP122" i="6"/>
  <c r="AO197" i="6"/>
  <c r="AP197" i="6"/>
  <c r="N181" i="2"/>
  <c r="N277" i="2"/>
  <c r="E276" i="2"/>
  <c r="E277" i="2"/>
  <c r="E279" i="2"/>
  <c r="M276" i="2"/>
  <c r="M278" i="2"/>
  <c r="M277" i="2"/>
  <c r="M281" i="2"/>
  <c r="BD225" i="6"/>
  <c r="BF225" i="6"/>
  <c r="BE225" i="6"/>
  <c r="AE104" i="6"/>
  <c r="E53" i="2"/>
  <c r="AE103" i="6" s="1"/>
  <c r="AM121" i="6"/>
  <c r="CY121" i="6" s="1"/>
  <c r="F67" i="2"/>
  <c r="AM117" i="6" s="1"/>
  <c r="AP171" i="6"/>
  <c r="AO171" i="6"/>
  <c r="AW197" i="6"/>
  <c r="AV197" i="6"/>
  <c r="AX197" i="6"/>
  <c r="O182" i="2"/>
  <c r="L24" i="1"/>
  <c r="L10" i="1"/>
  <c r="L275" i="2"/>
  <c r="O24" i="5"/>
  <c r="AP223" i="6"/>
  <c r="AO223" i="6"/>
  <c r="E10" i="1"/>
  <c r="E275" i="2"/>
  <c r="H24" i="5"/>
  <c r="P24" i="5"/>
  <c r="M10" i="1"/>
  <c r="M275" i="2"/>
  <c r="Q222" i="6"/>
  <c r="R222" i="6"/>
  <c r="E54" i="4"/>
  <c r="E55" i="4" s="1"/>
  <c r="N68" i="1"/>
  <c r="O68" i="1" s="1"/>
  <c r="G53" i="6"/>
  <c r="B2" i="2"/>
  <c r="I24" i="5"/>
  <c r="F24" i="1"/>
  <c r="F10" i="1"/>
  <c r="E34" i="1"/>
  <c r="E273" i="2"/>
  <c r="J219" i="6"/>
  <c r="I219" i="6"/>
  <c r="X222" i="6"/>
  <c r="Z222" i="6"/>
  <c r="Y222" i="6"/>
  <c r="AM111" i="6"/>
  <c r="N61" i="2"/>
  <c r="O61" i="2" s="1"/>
  <c r="AP205" i="6"/>
  <c r="AO205" i="6"/>
  <c r="B40" i="1"/>
  <c r="B246" i="2"/>
  <c r="O22" i="6"/>
  <c r="C269" i="2"/>
  <c r="C19" i="1" s="1"/>
  <c r="G275" i="2"/>
  <c r="J24" i="5"/>
  <c r="G24" i="1"/>
  <c r="O2" i="1"/>
  <c r="G10" i="1"/>
  <c r="F273" i="2"/>
  <c r="N273" i="2"/>
  <c r="AE210" i="6"/>
  <c r="E35" i="1"/>
  <c r="C39" i="1"/>
  <c r="Q219" i="6"/>
  <c r="R219" i="6"/>
  <c r="CT219" i="6"/>
  <c r="CS219" i="6"/>
  <c r="BF220" i="6"/>
  <c r="BE220" i="6"/>
  <c r="BD220" i="6"/>
  <c r="G221" i="6"/>
  <c r="N43" i="1"/>
  <c r="O43" i="1" s="1"/>
  <c r="BV221" i="6"/>
  <c r="BU221" i="6"/>
  <c r="AH227" i="6"/>
  <c r="AG227" i="6"/>
  <c r="AF227" i="6"/>
  <c r="CT227" i="6"/>
  <c r="CS227" i="6"/>
  <c r="AW228" i="6"/>
  <c r="AX228" i="6"/>
  <c r="AV228" i="6"/>
  <c r="G229" i="6"/>
  <c r="N51" i="1"/>
  <c r="O51" i="1" s="1"/>
  <c r="BV229" i="6"/>
  <c r="BU229" i="6"/>
  <c r="K46" i="4"/>
  <c r="J70" i="1"/>
  <c r="N61" i="1"/>
  <c r="O64" i="1"/>
  <c r="AP80" i="6"/>
  <c r="AO80" i="6"/>
  <c r="J93" i="6"/>
  <c r="I93" i="6"/>
  <c r="CY93" i="6"/>
  <c r="BU93" i="6"/>
  <c r="N43" i="2"/>
  <c r="O43" i="2" s="1"/>
  <c r="O45" i="2"/>
  <c r="AU111" i="6"/>
  <c r="G53" i="2"/>
  <c r="AW205" i="6"/>
  <c r="AV205" i="6"/>
  <c r="AX205" i="6"/>
  <c r="Z208" i="6"/>
  <c r="X208" i="6"/>
  <c r="AP208" i="6"/>
  <c r="AO208" i="6"/>
  <c r="AN208" i="6"/>
  <c r="AU219" i="6"/>
  <c r="AU216" i="6" s="1"/>
  <c r="G39" i="1"/>
  <c r="O225" i="2"/>
  <c r="N224" i="2"/>
  <c r="O224" i="2" s="1"/>
  <c r="W22" i="6"/>
  <c r="D269" i="2"/>
  <c r="D19" i="1" s="1"/>
  <c r="CI22" i="6"/>
  <c r="L269" i="2"/>
  <c r="L19" i="1" s="1"/>
  <c r="Q37" i="6"/>
  <c r="R37" i="6"/>
  <c r="K269" i="2"/>
  <c r="K19" i="1" s="1"/>
  <c r="K21" i="1" s="1"/>
  <c r="N281" i="2"/>
  <c r="G280" i="2"/>
  <c r="O22" i="1"/>
  <c r="E24" i="1"/>
  <c r="N25" i="1"/>
  <c r="AX208" i="6"/>
  <c r="AW208" i="6"/>
  <c r="AV208" i="6"/>
  <c r="F34" i="1"/>
  <c r="J35" i="1"/>
  <c r="AO218" i="6"/>
  <c r="AM216" i="6"/>
  <c r="AP218" i="6"/>
  <c r="Z219" i="6"/>
  <c r="Y219" i="6"/>
  <c r="X219" i="6"/>
  <c r="G226" i="6"/>
  <c r="N48" i="1"/>
  <c r="O48" i="1" s="1"/>
  <c r="BU226" i="6"/>
  <c r="BV226" i="6"/>
  <c r="AP227" i="6"/>
  <c r="AO227" i="6"/>
  <c r="N49" i="1"/>
  <c r="O49" i="1" s="1"/>
  <c r="BD228" i="6"/>
  <c r="BF228" i="6"/>
  <c r="BE228" i="6"/>
  <c r="R229" i="6"/>
  <c r="Q229" i="6"/>
  <c r="CC229" i="6"/>
  <c r="CB229" i="6"/>
  <c r="CD229" i="6"/>
  <c r="B70" i="1"/>
  <c r="R93" i="6"/>
  <c r="Q93" i="6"/>
  <c r="CC93" i="6"/>
  <c r="CS208" i="6"/>
  <c r="CT208" i="6"/>
  <c r="CR208" i="6"/>
  <c r="N191" i="2"/>
  <c r="O193" i="2"/>
  <c r="Y37" i="6"/>
  <c r="X37" i="6"/>
  <c r="Z37" i="6"/>
  <c r="CK37" i="6"/>
  <c r="CJ37" i="6"/>
  <c r="CL37" i="6"/>
  <c r="M279" i="2"/>
  <c r="N32" i="4"/>
  <c r="BV13" i="6"/>
  <c r="BU13" i="6"/>
  <c r="BF53" i="6"/>
  <c r="BE53" i="6"/>
  <c r="BD53" i="6"/>
  <c r="S3" i="2"/>
  <c r="Y64" i="6"/>
  <c r="X64" i="6"/>
  <c r="Z64" i="6"/>
  <c r="CK64" i="6"/>
  <c r="CL64" i="6"/>
  <c r="AG68" i="6"/>
  <c r="AF68" i="6"/>
  <c r="AH68" i="6"/>
  <c r="CS68" i="6"/>
  <c r="CT68" i="6"/>
  <c r="BM93" i="6"/>
  <c r="BL93" i="6"/>
  <c r="Z104" i="6"/>
  <c r="Y104" i="6"/>
  <c r="X104" i="6"/>
  <c r="CK104" i="6"/>
  <c r="BE117" i="6"/>
  <c r="BD117" i="6"/>
  <c r="BF117" i="6"/>
  <c r="AG122" i="6"/>
  <c r="AH122" i="6"/>
  <c r="AF122" i="6"/>
  <c r="CS122" i="6"/>
  <c r="CT122" i="6"/>
  <c r="AG197" i="6"/>
  <c r="AF197" i="6"/>
  <c r="AH197" i="6"/>
  <c r="CS197" i="6"/>
  <c r="CR197" i="6"/>
  <c r="CT197" i="6"/>
  <c r="AH205" i="6"/>
  <c r="AG205" i="6"/>
  <c r="AF205" i="6"/>
  <c r="CT205" i="6"/>
  <c r="CS205" i="6"/>
  <c r="S211" i="2"/>
  <c r="J22" i="6"/>
  <c r="G21" i="6"/>
  <c r="G42" i="6" s="1"/>
  <c r="I22" i="6"/>
  <c r="BV22" i="6"/>
  <c r="BS21" i="6"/>
  <c r="BU22" i="6"/>
  <c r="Q29" i="6"/>
  <c r="R29" i="6"/>
  <c r="CC29" i="6"/>
  <c r="CD29" i="6"/>
  <c r="I37" i="6"/>
  <c r="CY37" i="6"/>
  <c r="J37" i="6"/>
  <c r="BU37" i="6"/>
  <c r="BV37" i="6"/>
  <c r="H275" i="2"/>
  <c r="H282" i="2" s="1"/>
  <c r="H283" i="2" s="1"/>
  <c r="D276" i="2"/>
  <c r="N41" i="3"/>
  <c r="O41" i="3" s="1"/>
  <c r="F195" i="3"/>
  <c r="AC195" i="3"/>
  <c r="N232" i="6"/>
  <c r="N229" i="6"/>
  <c r="N228" i="6"/>
  <c r="N227" i="6"/>
  <c r="N226" i="6"/>
  <c r="N225" i="6"/>
  <c r="N222" i="6"/>
  <c r="N221" i="6"/>
  <c r="N220" i="6"/>
  <c r="N219" i="6"/>
  <c r="N223" i="6"/>
  <c r="N224" i="6"/>
  <c r="N218" i="6"/>
  <c r="N206" i="6"/>
  <c r="N205" i="6"/>
  <c r="N196" i="6"/>
  <c r="N203" i="6"/>
  <c r="N207" i="6"/>
  <c r="N199" i="6"/>
  <c r="N198" i="6"/>
  <c r="N195" i="6"/>
  <c r="N194" i="6"/>
  <c r="N217" i="6"/>
  <c r="N202" i="6"/>
  <c r="N200" i="6"/>
  <c r="N193" i="6"/>
  <c r="N192" i="6"/>
  <c r="N189" i="6"/>
  <c r="N185" i="6"/>
  <c r="N177" i="6"/>
  <c r="N184" i="6"/>
  <c r="N176" i="6"/>
  <c r="N168" i="6"/>
  <c r="N188" i="6"/>
  <c r="N183" i="6"/>
  <c r="N191" i="6"/>
  <c r="N190" i="6"/>
  <c r="N182" i="6"/>
  <c r="N181" i="6"/>
  <c r="N173" i="6"/>
  <c r="N201" i="6"/>
  <c r="N162" i="6"/>
  <c r="N175" i="6"/>
  <c r="N174" i="6"/>
  <c r="N170" i="6"/>
  <c r="N161" i="6"/>
  <c r="N153" i="6"/>
  <c r="N145" i="6"/>
  <c r="N187" i="6"/>
  <c r="N169" i="6"/>
  <c r="N166" i="6"/>
  <c r="N158" i="6"/>
  <c r="N150" i="6"/>
  <c r="N180" i="6"/>
  <c r="N164" i="6"/>
  <c r="N163" i="6"/>
  <c r="N157" i="6"/>
  <c r="N156" i="6"/>
  <c r="N155" i="6"/>
  <c r="N186" i="6"/>
  <c r="N179" i="6"/>
  <c r="N167" i="6"/>
  <c r="N165" i="6"/>
  <c r="N154" i="6"/>
  <c r="N152" i="6"/>
  <c r="N151" i="6"/>
  <c r="N146" i="6"/>
  <c r="N197" i="6"/>
  <c r="N172" i="6"/>
  <c r="N171" i="6"/>
  <c r="N149" i="6"/>
  <c r="N148" i="6"/>
  <c r="N178" i="6"/>
  <c r="N159" i="6"/>
  <c r="N140" i="6"/>
  <c r="N141" i="6"/>
  <c r="N139" i="6"/>
  <c r="N144" i="6"/>
  <c r="N138" i="6"/>
  <c r="N130" i="6"/>
  <c r="N147" i="6"/>
  <c r="N137" i="6"/>
  <c r="N129" i="6"/>
  <c r="N143" i="6"/>
  <c r="N142" i="6"/>
  <c r="N135" i="6"/>
  <c r="N133" i="6"/>
  <c r="N131" i="6"/>
  <c r="N125" i="6"/>
  <c r="N116" i="6"/>
  <c r="N134" i="6"/>
  <c r="N132" i="6"/>
  <c r="N124" i="6"/>
  <c r="N115" i="6"/>
  <c r="N136" i="6"/>
  <c r="N123" i="6"/>
  <c r="N121" i="6"/>
  <c r="N118" i="6"/>
  <c r="N128" i="6"/>
  <c r="N126" i="6"/>
  <c r="N122" i="6"/>
  <c r="N119" i="6"/>
  <c r="N117" i="6"/>
  <c r="N114" i="6"/>
  <c r="N107" i="6"/>
  <c r="N106" i="6"/>
  <c r="N105" i="6"/>
  <c r="N97" i="6"/>
  <c r="N86" i="6"/>
  <c r="N96" i="6"/>
  <c r="N95" i="6"/>
  <c r="N94" i="6"/>
  <c r="N92" i="6"/>
  <c r="N102" i="6"/>
  <c r="N91" i="6"/>
  <c r="N83" i="6"/>
  <c r="N82" i="6"/>
  <c r="N101" i="6"/>
  <c r="N90" i="6"/>
  <c r="N81" i="6"/>
  <c r="N79" i="6"/>
  <c r="N160" i="6"/>
  <c r="N113" i="6"/>
  <c r="N110" i="6"/>
  <c r="N100" i="6"/>
  <c r="N89" i="6"/>
  <c r="N109" i="6"/>
  <c r="N99" i="6"/>
  <c r="N88" i="6"/>
  <c r="N77" i="6"/>
  <c r="N76" i="6"/>
  <c r="N72" i="6"/>
  <c r="N62" i="6"/>
  <c r="N54" i="6"/>
  <c r="N87" i="6"/>
  <c r="N71" i="6"/>
  <c r="N61" i="6"/>
  <c r="N127" i="6"/>
  <c r="N75" i="6"/>
  <c r="N70" i="6"/>
  <c r="N69" i="6"/>
  <c r="N59" i="6"/>
  <c r="N78" i="6"/>
  <c r="N85" i="6"/>
  <c r="N67" i="6"/>
  <c r="N57" i="6"/>
  <c r="N120" i="6"/>
  <c r="N66" i="6"/>
  <c r="N65" i="6"/>
  <c r="N38" i="6"/>
  <c r="N108" i="6"/>
  <c r="N58" i="6"/>
  <c r="N84" i="6"/>
  <c r="N64" i="6"/>
  <c r="N36" i="6"/>
  <c r="N28" i="6"/>
  <c r="N60" i="6"/>
  <c r="N35" i="6"/>
  <c r="N27" i="6"/>
  <c r="N98" i="6"/>
  <c r="N34" i="6"/>
  <c r="N74" i="6"/>
  <c r="N55" i="6"/>
  <c r="M45" i="6"/>
  <c r="N63" i="6"/>
  <c r="N39" i="6"/>
  <c r="N33" i="6"/>
  <c r="N31" i="6"/>
  <c r="N26" i="6"/>
  <c r="N25" i="6"/>
  <c r="N7" i="6"/>
  <c r="N112" i="6"/>
  <c r="N73" i="6"/>
  <c r="N56" i="6"/>
  <c r="N23" i="6"/>
  <c r="N24" i="6"/>
  <c r="N21" i="6"/>
  <c r="N40" i="6"/>
  <c r="N32" i="6"/>
  <c r="N30" i="6"/>
  <c r="AD232" i="6"/>
  <c r="AD227" i="6"/>
  <c r="AD229" i="6"/>
  <c r="AD226" i="6"/>
  <c r="AD224" i="6"/>
  <c r="AD223" i="6"/>
  <c r="AD220" i="6"/>
  <c r="AD218" i="6"/>
  <c r="AD217" i="6"/>
  <c r="AD225" i="6"/>
  <c r="AD222" i="6"/>
  <c r="AD228" i="6"/>
  <c r="AD219" i="6"/>
  <c r="AD200" i="6"/>
  <c r="AD199" i="6"/>
  <c r="AD203" i="6"/>
  <c r="AD207" i="6"/>
  <c r="AD191" i="6"/>
  <c r="AD190" i="6"/>
  <c r="AD221" i="6"/>
  <c r="AD198" i="6"/>
  <c r="AD194" i="6"/>
  <c r="AD202" i="6"/>
  <c r="AD206" i="6"/>
  <c r="AD193" i="6"/>
  <c r="AD197" i="6"/>
  <c r="AD192" i="6"/>
  <c r="AD189" i="6"/>
  <c r="AD205" i="6"/>
  <c r="AD181" i="6"/>
  <c r="AD201" i="6"/>
  <c r="AD188" i="6"/>
  <c r="AD180" i="6"/>
  <c r="AD172" i="6"/>
  <c r="AD187" i="6"/>
  <c r="AD195" i="6"/>
  <c r="AD186" i="6"/>
  <c r="AD185" i="6"/>
  <c r="AD177" i="6"/>
  <c r="AD184" i="6"/>
  <c r="AD173" i="6"/>
  <c r="AD171" i="6"/>
  <c r="AD166" i="6"/>
  <c r="AD165" i="6"/>
  <c r="AD157" i="6"/>
  <c r="AD149" i="6"/>
  <c r="AD141" i="6"/>
  <c r="AD163" i="6"/>
  <c r="AD162" i="6"/>
  <c r="AD154" i="6"/>
  <c r="AD176" i="6"/>
  <c r="AD150" i="6"/>
  <c r="AD144" i="6"/>
  <c r="AD143" i="6"/>
  <c r="AD196" i="6"/>
  <c r="AD182" i="6"/>
  <c r="AD168" i="6"/>
  <c r="AD167" i="6"/>
  <c r="AD164" i="6"/>
  <c r="AD161" i="6"/>
  <c r="AD183" i="6"/>
  <c r="AD175" i="6"/>
  <c r="AD174" i="6"/>
  <c r="AD169" i="6"/>
  <c r="AD160" i="6"/>
  <c r="AD159" i="6"/>
  <c r="AD179" i="6"/>
  <c r="AD170" i="6"/>
  <c r="AD158" i="6"/>
  <c r="AD136" i="6"/>
  <c r="AD135" i="6"/>
  <c r="AD151" i="6"/>
  <c r="AD148" i="6"/>
  <c r="AD147" i="6"/>
  <c r="AD134" i="6"/>
  <c r="AD142" i="6"/>
  <c r="AD133" i="6"/>
  <c r="AD178" i="6"/>
  <c r="AD153" i="6"/>
  <c r="AD152" i="6"/>
  <c r="AD140" i="6"/>
  <c r="AD156" i="6"/>
  <c r="AD139" i="6"/>
  <c r="AD131" i="6"/>
  <c r="AD129" i="6"/>
  <c r="AD121" i="6"/>
  <c r="AD132" i="6"/>
  <c r="AD120" i="6"/>
  <c r="AD119" i="6"/>
  <c r="AD128" i="6"/>
  <c r="AD118" i="6"/>
  <c r="AD155" i="6"/>
  <c r="AD145" i="6"/>
  <c r="AD137" i="6"/>
  <c r="AD125" i="6"/>
  <c r="AD116" i="6"/>
  <c r="AD146" i="6"/>
  <c r="AD138" i="6"/>
  <c r="AD127" i="6"/>
  <c r="AD122" i="6"/>
  <c r="AD130" i="6"/>
  <c r="AD126" i="6"/>
  <c r="AD123" i="6"/>
  <c r="AD114" i="6"/>
  <c r="AD101" i="6"/>
  <c r="AD90" i="6"/>
  <c r="AD81" i="6"/>
  <c r="AD100" i="6"/>
  <c r="AD115" i="6"/>
  <c r="AD110" i="6"/>
  <c r="AD109" i="6"/>
  <c r="AD99" i="6"/>
  <c r="AD108" i="6"/>
  <c r="AD98" i="6"/>
  <c r="AD87" i="6"/>
  <c r="AD76" i="6"/>
  <c r="AD124" i="6"/>
  <c r="AD107" i="6"/>
  <c r="AD106" i="6"/>
  <c r="AD105" i="6"/>
  <c r="AD97" i="6"/>
  <c r="AD86" i="6"/>
  <c r="AD113" i="6"/>
  <c r="AD112" i="6"/>
  <c r="AD96" i="6"/>
  <c r="AD95" i="6"/>
  <c r="AD58" i="6"/>
  <c r="AD79" i="6"/>
  <c r="AD67" i="6"/>
  <c r="AD57" i="6"/>
  <c r="AD117" i="6"/>
  <c r="AD94" i="6"/>
  <c r="AD88" i="6"/>
  <c r="AD74" i="6"/>
  <c r="AD91" i="6"/>
  <c r="AD82" i="6"/>
  <c r="AD80" i="6"/>
  <c r="AD78" i="6"/>
  <c r="AD73" i="6"/>
  <c r="AD65" i="6"/>
  <c r="AD63" i="6"/>
  <c r="AD102" i="6"/>
  <c r="AD85" i="6"/>
  <c r="AD84" i="6"/>
  <c r="AD71" i="6"/>
  <c r="AD61" i="6"/>
  <c r="AD69" i="6"/>
  <c r="AD66" i="6"/>
  <c r="AD56" i="6"/>
  <c r="AD34" i="6"/>
  <c r="AD93" i="6"/>
  <c r="AD92" i="6"/>
  <c r="AD64" i="6"/>
  <c r="AD55" i="6"/>
  <c r="AD54" i="6"/>
  <c r="AD40" i="6"/>
  <c r="AD32" i="6"/>
  <c r="AD77" i="6"/>
  <c r="AD72" i="6"/>
  <c r="AD62" i="6"/>
  <c r="AD60" i="6"/>
  <c r="AD59" i="6"/>
  <c r="AD39" i="6"/>
  <c r="AD31" i="6"/>
  <c r="AD83" i="6"/>
  <c r="AD38" i="6"/>
  <c r="AC12" i="6"/>
  <c r="AD89" i="6"/>
  <c r="AD52" i="6"/>
  <c r="AC45" i="6"/>
  <c r="AD24" i="6"/>
  <c r="AD75" i="6"/>
  <c r="AD70" i="6"/>
  <c r="AD53" i="6"/>
  <c r="AD23" i="6"/>
  <c r="AD7" i="6"/>
  <c r="AD6" i="6"/>
  <c r="AD5" i="6"/>
  <c r="AD35" i="6"/>
  <c r="AD33" i="6"/>
  <c r="AD25" i="6"/>
  <c r="AD26" i="6"/>
  <c r="AD37" i="6"/>
  <c r="AD36" i="6"/>
  <c r="AD21" i="6"/>
  <c r="AD30" i="6"/>
  <c r="AD27" i="6"/>
  <c r="AD28" i="6"/>
  <c r="AV232" i="6"/>
  <c r="AV203" i="6"/>
  <c r="AV207" i="6"/>
  <c r="AV193" i="6"/>
  <c r="AV191" i="6"/>
  <c r="AV200" i="6"/>
  <c r="AV199" i="6"/>
  <c r="AV188" i="6"/>
  <c r="AV183" i="6"/>
  <c r="AV198" i="6"/>
  <c r="AV180" i="6"/>
  <c r="AV187" i="6"/>
  <c r="AV194" i="6"/>
  <c r="AV184" i="6"/>
  <c r="AV169" i="6"/>
  <c r="AV168" i="6"/>
  <c r="AV165" i="6"/>
  <c r="AV175" i="6"/>
  <c r="AV172" i="6"/>
  <c r="AV166" i="6"/>
  <c r="AV163" i="6"/>
  <c r="AV162" i="6"/>
  <c r="AV161" i="6"/>
  <c r="AV176" i="6"/>
  <c r="AV167" i="6"/>
  <c r="AV160" i="6"/>
  <c r="AV147" i="6"/>
  <c r="AV195" i="6"/>
  <c r="AV157" i="6"/>
  <c r="AV155" i="6"/>
  <c r="AV185" i="6"/>
  <c r="AV181" i="6"/>
  <c r="AV170" i="6"/>
  <c r="AV149" i="6"/>
  <c r="AV138" i="6"/>
  <c r="AV186" i="6"/>
  <c r="AV137" i="6"/>
  <c r="AV152" i="6"/>
  <c r="AV144" i="6"/>
  <c r="AV139" i="6"/>
  <c r="AV129" i="6"/>
  <c r="AV150" i="6"/>
  <c r="AV134" i="6"/>
  <c r="AV120" i="6"/>
  <c r="AV124" i="6"/>
  <c r="AV115" i="6"/>
  <c r="AV113" i="6"/>
  <c r="AV101" i="6"/>
  <c r="AV90" i="6"/>
  <c r="AV112" i="6"/>
  <c r="AV107" i="6"/>
  <c r="AV70" i="6"/>
  <c r="AV60" i="6"/>
  <c r="AV96" i="6"/>
  <c r="AV85" i="6"/>
  <c r="AV75" i="6"/>
  <c r="AV91" i="6"/>
  <c r="AV83" i="6"/>
  <c r="AV81" i="6"/>
  <c r="AV71" i="6"/>
  <c r="AV95" i="6"/>
  <c r="AV62" i="6"/>
  <c r="AV72" i="6"/>
  <c r="AU45" i="6"/>
  <c r="AV34" i="6"/>
  <c r="AV56" i="6"/>
  <c r="AV61" i="6"/>
  <c r="AV32" i="6"/>
  <c r="AV66" i="6"/>
  <c r="AV28" i="6"/>
  <c r="AV25" i="6"/>
  <c r="AV74" i="6"/>
  <c r="AV27" i="6"/>
  <c r="AV58" i="6"/>
  <c r="AV40" i="6"/>
  <c r="AV23" i="6"/>
  <c r="AV38" i="6"/>
  <c r="AV35" i="6"/>
  <c r="AV79" i="6"/>
  <c r="AV31" i="6"/>
  <c r="BJ227" i="6"/>
  <c r="BJ232" i="6"/>
  <c r="BJ229" i="6"/>
  <c r="BJ218" i="6"/>
  <c r="BJ228" i="6"/>
  <c r="BJ223" i="6"/>
  <c r="BJ225" i="6"/>
  <c r="BJ219" i="6"/>
  <c r="BJ221" i="6"/>
  <c r="BJ217" i="6"/>
  <c r="BJ226" i="6"/>
  <c r="BJ224" i="6"/>
  <c r="BJ220" i="6"/>
  <c r="BJ207" i="6"/>
  <c r="BJ200" i="6"/>
  <c r="BJ199" i="6"/>
  <c r="BJ205" i="6"/>
  <c r="BJ203" i="6"/>
  <c r="BJ191" i="6"/>
  <c r="BJ196" i="6"/>
  <c r="BJ190" i="6"/>
  <c r="BJ198" i="6"/>
  <c r="BJ197" i="6"/>
  <c r="BJ193" i="6"/>
  <c r="BJ222" i="6"/>
  <c r="BJ206" i="6"/>
  <c r="BJ201" i="6"/>
  <c r="BJ192" i="6"/>
  <c r="BJ189" i="6"/>
  <c r="BJ202" i="6"/>
  <c r="BJ195" i="6"/>
  <c r="BJ188" i="6"/>
  <c r="BJ181" i="6"/>
  <c r="BJ180" i="6"/>
  <c r="BJ172" i="6"/>
  <c r="BJ187" i="6"/>
  <c r="BJ186" i="6"/>
  <c r="BJ178" i="6"/>
  <c r="BJ185" i="6"/>
  <c r="BJ177" i="6"/>
  <c r="BJ166" i="6"/>
  <c r="BJ179" i="6"/>
  <c r="BJ170" i="6"/>
  <c r="BJ169" i="6"/>
  <c r="BJ165" i="6"/>
  <c r="BJ157" i="6"/>
  <c r="BJ149" i="6"/>
  <c r="BJ141" i="6"/>
  <c r="BJ184" i="6"/>
  <c r="BJ163" i="6"/>
  <c r="BJ194" i="6"/>
  <c r="BJ183" i="6"/>
  <c r="BJ175" i="6"/>
  <c r="BJ174" i="6"/>
  <c r="BJ167" i="6"/>
  <c r="BJ162" i="6"/>
  <c r="BJ154" i="6"/>
  <c r="BJ159" i="6"/>
  <c r="BJ145" i="6"/>
  <c r="BJ182" i="6"/>
  <c r="BJ161" i="6"/>
  <c r="BJ160" i="6"/>
  <c r="BJ158" i="6"/>
  <c r="BJ176" i="6"/>
  <c r="BJ164" i="6"/>
  <c r="BJ156" i="6"/>
  <c r="BJ155" i="6"/>
  <c r="BJ153" i="6"/>
  <c r="BJ173" i="6"/>
  <c r="BJ168" i="6"/>
  <c r="BJ136" i="6"/>
  <c r="BJ146" i="6"/>
  <c r="BJ135" i="6"/>
  <c r="BJ150" i="6"/>
  <c r="BJ134" i="6"/>
  <c r="BJ143" i="6"/>
  <c r="BJ133" i="6"/>
  <c r="BJ151" i="6"/>
  <c r="BJ147" i="6"/>
  <c r="BJ140" i="6"/>
  <c r="BJ152" i="6"/>
  <c r="BJ148" i="6"/>
  <c r="BJ139" i="6"/>
  <c r="BJ131" i="6"/>
  <c r="BJ142" i="6"/>
  <c r="BJ137" i="6"/>
  <c r="BJ132" i="6"/>
  <c r="BJ127" i="6"/>
  <c r="BJ121" i="6"/>
  <c r="BJ120" i="6"/>
  <c r="BJ138" i="6"/>
  <c r="BJ118" i="6"/>
  <c r="BJ125" i="6"/>
  <c r="BJ116" i="6"/>
  <c r="BJ129" i="6"/>
  <c r="BJ130" i="6"/>
  <c r="BJ126" i="6"/>
  <c r="BJ123" i="6"/>
  <c r="BJ122" i="6"/>
  <c r="BJ128" i="6"/>
  <c r="BJ119" i="6"/>
  <c r="BJ144" i="6"/>
  <c r="BJ117" i="6"/>
  <c r="BJ114" i="6"/>
  <c r="BJ101" i="6"/>
  <c r="BJ90" i="6"/>
  <c r="BJ81" i="6"/>
  <c r="BJ106" i="6"/>
  <c r="BJ105" i="6"/>
  <c r="BJ100" i="6"/>
  <c r="BJ124" i="6"/>
  <c r="BJ113" i="6"/>
  <c r="BJ109" i="6"/>
  <c r="BJ99" i="6"/>
  <c r="BJ95" i="6"/>
  <c r="BJ108" i="6"/>
  <c r="BJ98" i="6"/>
  <c r="BJ93" i="6"/>
  <c r="BJ87" i="6"/>
  <c r="BJ76" i="6"/>
  <c r="BJ115" i="6"/>
  <c r="BJ112" i="6"/>
  <c r="BJ107" i="6"/>
  <c r="BJ97" i="6"/>
  <c r="BJ86" i="6"/>
  <c r="BJ82" i="6"/>
  <c r="BJ110" i="6"/>
  <c r="BJ96" i="6"/>
  <c r="BJ102" i="6"/>
  <c r="BJ89" i="6"/>
  <c r="BJ78" i="6"/>
  <c r="BJ64" i="6"/>
  <c r="BJ58" i="6"/>
  <c r="BJ77" i="6"/>
  <c r="BJ75" i="6"/>
  <c r="BJ67" i="6"/>
  <c r="BJ57" i="6"/>
  <c r="BJ53" i="6"/>
  <c r="BJ74" i="6"/>
  <c r="BJ92" i="6"/>
  <c r="BJ88" i="6"/>
  <c r="BJ85" i="6"/>
  <c r="BJ84" i="6"/>
  <c r="BJ73" i="6"/>
  <c r="BJ65" i="6"/>
  <c r="BJ63" i="6"/>
  <c r="BJ80" i="6"/>
  <c r="BJ91" i="6"/>
  <c r="BJ83" i="6"/>
  <c r="BJ71" i="6"/>
  <c r="BJ61" i="6"/>
  <c r="BJ70" i="6"/>
  <c r="BJ66" i="6"/>
  <c r="BJ34" i="6"/>
  <c r="BJ79" i="6"/>
  <c r="BJ40" i="6"/>
  <c r="BJ32" i="6"/>
  <c r="BJ94" i="6"/>
  <c r="BJ62" i="6"/>
  <c r="BJ60" i="6"/>
  <c r="BJ39" i="6"/>
  <c r="BJ31" i="6"/>
  <c r="BJ69" i="6"/>
  <c r="BJ59" i="6"/>
  <c r="BJ38" i="6"/>
  <c r="BJ35" i="6"/>
  <c r="BJ33" i="6"/>
  <c r="BJ28" i="6"/>
  <c r="BJ24" i="6"/>
  <c r="BJ56" i="6"/>
  <c r="BJ23" i="6"/>
  <c r="BJ7" i="6"/>
  <c r="BJ6" i="6"/>
  <c r="BJ5" i="6"/>
  <c r="BJ30" i="6"/>
  <c r="BJ27" i="6"/>
  <c r="BI12" i="6"/>
  <c r="BJ25" i="6"/>
  <c r="BJ72" i="6"/>
  <c r="BJ36" i="6"/>
  <c r="BJ26" i="6"/>
  <c r="BI45" i="6"/>
  <c r="BJ37" i="6"/>
  <c r="BJ55" i="6"/>
  <c r="BJ54" i="6"/>
  <c r="BZ223" i="6"/>
  <c r="BZ232" i="6"/>
  <c r="BZ229" i="6"/>
  <c r="BZ228" i="6"/>
  <c r="BZ227" i="6"/>
  <c r="BZ226" i="6"/>
  <c r="BZ225" i="6"/>
  <c r="BZ222" i="6"/>
  <c r="BZ221" i="6"/>
  <c r="BZ220" i="6"/>
  <c r="BZ219" i="6"/>
  <c r="BZ218" i="6"/>
  <c r="BZ207" i="6"/>
  <c r="BZ205" i="6"/>
  <c r="BZ217" i="6"/>
  <c r="BZ206" i="6"/>
  <c r="BZ196" i="6"/>
  <c r="BZ203" i="6"/>
  <c r="BZ195" i="6"/>
  <c r="BZ202" i="6"/>
  <c r="BZ201" i="6"/>
  <c r="BZ187" i="6"/>
  <c r="BZ200" i="6"/>
  <c r="BZ194" i="6"/>
  <c r="BZ224" i="6"/>
  <c r="BZ199" i="6"/>
  <c r="BZ198" i="6"/>
  <c r="BZ185" i="6"/>
  <c r="BZ177" i="6"/>
  <c r="BZ188" i="6"/>
  <c r="BZ184" i="6"/>
  <c r="BZ176" i="6"/>
  <c r="BZ168" i="6"/>
  <c r="BZ189" i="6"/>
  <c r="BZ183" i="6"/>
  <c r="BZ193" i="6"/>
  <c r="BZ190" i="6"/>
  <c r="BZ182" i="6"/>
  <c r="BZ192" i="6"/>
  <c r="BZ191" i="6"/>
  <c r="BZ181" i="6"/>
  <c r="BZ173" i="6"/>
  <c r="BZ162" i="6"/>
  <c r="BZ197" i="6"/>
  <c r="BZ179" i="6"/>
  <c r="BZ178" i="6"/>
  <c r="BZ167" i="6"/>
  <c r="BZ161" i="6"/>
  <c r="BZ153" i="6"/>
  <c r="BZ145" i="6"/>
  <c r="BZ180" i="6"/>
  <c r="BZ186" i="6"/>
  <c r="BZ175" i="6"/>
  <c r="BZ174" i="6"/>
  <c r="BZ166" i="6"/>
  <c r="BZ158" i="6"/>
  <c r="BZ150" i="6"/>
  <c r="BZ159" i="6"/>
  <c r="BZ143" i="6"/>
  <c r="BZ142" i="6"/>
  <c r="BZ170" i="6"/>
  <c r="BZ160" i="6"/>
  <c r="BZ157" i="6"/>
  <c r="BZ156" i="6"/>
  <c r="BZ155" i="6"/>
  <c r="BZ164" i="6"/>
  <c r="BZ163" i="6"/>
  <c r="BZ152" i="6"/>
  <c r="BZ151" i="6"/>
  <c r="BZ172" i="6"/>
  <c r="BZ165" i="6"/>
  <c r="BZ140" i="6"/>
  <c r="BZ169" i="6"/>
  <c r="BZ146" i="6"/>
  <c r="BZ141" i="6"/>
  <c r="BZ139" i="6"/>
  <c r="BZ138" i="6"/>
  <c r="BZ130" i="6"/>
  <c r="BZ137" i="6"/>
  <c r="BZ129" i="6"/>
  <c r="BZ149" i="6"/>
  <c r="BZ148" i="6"/>
  <c r="BZ147" i="6"/>
  <c r="BZ154" i="6"/>
  <c r="BZ135" i="6"/>
  <c r="BZ133" i="6"/>
  <c r="BZ131" i="6"/>
  <c r="BZ125" i="6"/>
  <c r="BZ119" i="6"/>
  <c r="BZ116" i="6"/>
  <c r="BZ144" i="6"/>
  <c r="BZ134" i="6"/>
  <c r="BZ124" i="6"/>
  <c r="BZ115" i="6"/>
  <c r="BZ123" i="6"/>
  <c r="BZ121" i="6"/>
  <c r="BZ128" i="6"/>
  <c r="BZ127" i="6"/>
  <c r="BZ136" i="6"/>
  <c r="BZ132" i="6"/>
  <c r="BZ126" i="6"/>
  <c r="BZ113" i="6"/>
  <c r="BZ110" i="6"/>
  <c r="BZ122" i="6"/>
  <c r="BZ117" i="6"/>
  <c r="BZ107" i="6"/>
  <c r="BZ97" i="6"/>
  <c r="BZ86" i="6"/>
  <c r="BZ118" i="6"/>
  <c r="BZ96" i="6"/>
  <c r="BZ94" i="6"/>
  <c r="BZ92" i="6"/>
  <c r="BZ106" i="6"/>
  <c r="BZ105" i="6"/>
  <c r="BZ102" i="6"/>
  <c r="BZ91" i="6"/>
  <c r="BZ83" i="6"/>
  <c r="BZ120" i="6"/>
  <c r="BZ112" i="6"/>
  <c r="BZ101" i="6"/>
  <c r="BZ95" i="6"/>
  <c r="BZ90" i="6"/>
  <c r="BZ81" i="6"/>
  <c r="BZ79" i="6"/>
  <c r="BZ100" i="6"/>
  <c r="BZ93" i="6"/>
  <c r="BZ89" i="6"/>
  <c r="BZ114" i="6"/>
  <c r="BZ72" i="6"/>
  <c r="BZ68" i="6"/>
  <c r="BZ62" i="6"/>
  <c r="BZ54" i="6"/>
  <c r="BZ71" i="6"/>
  <c r="BZ61" i="6"/>
  <c r="BZ109" i="6"/>
  <c r="BZ99" i="6"/>
  <c r="BZ88" i="6"/>
  <c r="BZ80" i="6"/>
  <c r="BZ70" i="6"/>
  <c r="BZ85" i="6"/>
  <c r="BZ69" i="6"/>
  <c r="BZ59" i="6"/>
  <c r="BZ84" i="6"/>
  <c r="BZ67" i="6"/>
  <c r="BZ57" i="6"/>
  <c r="BZ98" i="6"/>
  <c r="BZ77" i="6"/>
  <c r="BZ66" i="6"/>
  <c r="BZ55" i="6"/>
  <c r="BZ38" i="6"/>
  <c r="BZ58" i="6"/>
  <c r="BZ75" i="6"/>
  <c r="BZ74" i="6"/>
  <c r="BZ64" i="6"/>
  <c r="BZ52" i="6"/>
  <c r="BZ36" i="6"/>
  <c r="BZ28" i="6"/>
  <c r="BZ63" i="6"/>
  <c r="BZ60" i="6"/>
  <c r="BZ35" i="6"/>
  <c r="BZ27" i="6"/>
  <c r="BZ65" i="6"/>
  <c r="BY45" i="6"/>
  <c r="BZ108" i="6"/>
  <c r="BZ82" i="6"/>
  <c r="BZ78" i="6"/>
  <c r="BZ76" i="6"/>
  <c r="BZ32" i="6"/>
  <c r="BZ30" i="6"/>
  <c r="BZ53" i="6"/>
  <c r="BZ26" i="6"/>
  <c r="BZ40" i="6"/>
  <c r="BZ6" i="6"/>
  <c r="BZ39" i="6"/>
  <c r="BZ56" i="6"/>
  <c r="BZ31" i="6"/>
  <c r="BZ73" i="6"/>
  <c r="BZ34" i="6"/>
  <c r="BZ33" i="6"/>
  <c r="BZ24" i="6"/>
  <c r="BZ23" i="6"/>
  <c r="BZ87" i="6"/>
  <c r="BZ25" i="6"/>
  <c r="AG5" i="6"/>
  <c r="AE13" i="6"/>
  <c r="AH5" i="6"/>
  <c r="AX5" i="6"/>
  <c r="AV5" i="6"/>
  <c r="AU46" i="6"/>
  <c r="BM5" i="6"/>
  <c r="BK46" i="6"/>
  <c r="CA46" i="6"/>
  <c r="CD5" i="6"/>
  <c r="CA4" i="6"/>
  <c r="CB29" i="6" s="1"/>
  <c r="CB18" i="6"/>
  <c r="AE47" i="6"/>
  <c r="AG6" i="6"/>
  <c r="AE43" i="6"/>
  <c r="AU47" i="6"/>
  <c r="AX6" i="6"/>
  <c r="AW6" i="6"/>
  <c r="AU43" i="6"/>
  <c r="AE48" i="6"/>
  <c r="AG7" i="6"/>
  <c r="AE15" i="6"/>
  <c r="AE44" i="6"/>
  <c r="BK44" i="6"/>
  <c r="BM7" i="6"/>
  <c r="BK15" i="6"/>
  <c r="BK48" i="6"/>
  <c r="BZ7" i="6"/>
  <c r="CY7" i="6"/>
  <c r="AU13" i="6"/>
  <c r="CA13" i="6"/>
  <c r="J14" i="6"/>
  <c r="N16" i="6"/>
  <c r="AD16" i="6"/>
  <c r="AD17" i="6"/>
  <c r="AV18" i="6"/>
  <c r="BV19" i="6"/>
  <c r="BU19" i="6"/>
  <c r="U42" i="6"/>
  <c r="V21" i="6"/>
  <c r="L291" i="2"/>
  <c r="J291" i="2"/>
  <c r="S28" i="3"/>
  <c r="L195" i="3"/>
  <c r="G195" i="3"/>
  <c r="C55" i="4"/>
  <c r="K55" i="4"/>
  <c r="N25" i="5"/>
  <c r="AF232" i="6"/>
  <c r="AF217" i="6"/>
  <c r="AF198" i="6"/>
  <c r="AF207" i="6"/>
  <c r="AF189" i="6"/>
  <c r="AF202" i="6"/>
  <c r="AF203" i="6"/>
  <c r="AF199" i="6"/>
  <c r="AF187" i="6"/>
  <c r="AF179" i="6"/>
  <c r="AF190" i="6"/>
  <c r="AF191" i="6"/>
  <c r="AF185" i="6"/>
  <c r="AF184" i="6"/>
  <c r="AF167" i="6"/>
  <c r="AF164" i="6"/>
  <c r="AF201" i="6"/>
  <c r="AF182" i="6"/>
  <c r="AF177" i="6"/>
  <c r="AF168" i="6"/>
  <c r="AF166" i="6"/>
  <c r="AF161" i="6"/>
  <c r="AF165" i="6"/>
  <c r="AF148" i="6"/>
  <c r="AF181" i="6"/>
  <c r="AF180" i="6"/>
  <c r="AF158" i="6"/>
  <c r="AF156" i="6"/>
  <c r="AF142" i="6"/>
  <c r="AF173" i="6"/>
  <c r="AF153" i="6"/>
  <c r="AF194" i="6"/>
  <c r="AF162" i="6"/>
  <c r="AF138" i="6"/>
  <c r="AF141" i="6"/>
  <c r="AF134" i="6"/>
  <c r="AF150" i="6"/>
  <c r="AF176" i="6"/>
  <c r="AF130" i="6"/>
  <c r="AF133" i="6"/>
  <c r="AF127" i="6"/>
  <c r="AF120" i="6"/>
  <c r="AF124" i="6"/>
  <c r="AF115" i="6"/>
  <c r="AF116" i="6"/>
  <c r="AF107" i="6"/>
  <c r="AF106" i="6"/>
  <c r="AF105" i="6"/>
  <c r="AF97" i="6"/>
  <c r="AF74" i="6"/>
  <c r="AF86" i="6"/>
  <c r="AF101" i="6"/>
  <c r="AF72" i="6"/>
  <c r="AF100" i="6"/>
  <c r="AF83" i="6"/>
  <c r="AF81" i="6"/>
  <c r="AF77" i="6"/>
  <c r="AF89" i="6"/>
  <c r="AF75" i="6"/>
  <c r="AF76" i="6"/>
  <c r="AF62" i="6"/>
  <c r="AF60" i="6"/>
  <c r="AF57" i="6"/>
  <c r="AF67" i="6"/>
  <c r="AF30" i="6"/>
  <c r="AF79" i="6"/>
  <c r="AF87" i="6"/>
  <c r="AF70" i="6"/>
  <c r="AF39" i="6"/>
  <c r="AF31" i="6"/>
  <c r="AG4" i="6"/>
  <c r="AF33" i="6"/>
  <c r="AF119" i="6"/>
  <c r="AF23" i="6"/>
  <c r="AF34" i="6"/>
  <c r="AF58" i="6"/>
  <c r="AF25" i="6"/>
  <c r="AF26" i="6"/>
  <c r="BL232" i="6"/>
  <c r="BL217" i="6"/>
  <c r="BL207" i="6"/>
  <c r="BL198" i="6"/>
  <c r="BL202" i="6"/>
  <c r="BL189" i="6"/>
  <c r="BL191" i="6"/>
  <c r="BL199" i="6"/>
  <c r="BL195" i="6"/>
  <c r="BL193" i="6"/>
  <c r="BL179" i="6"/>
  <c r="BL190" i="6"/>
  <c r="BL185" i="6"/>
  <c r="BL184" i="6"/>
  <c r="BL196" i="6"/>
  <c r="BL192" i="6"/>
  <c r="BL180" i="6"/>
  <c r="BL168" i="6"/>
  <c r="BL164" i="6"/>
  <c r="BL177" i="6"/>
  <c r="BL173" i="6"/>
  <c r="BL161" i="6"/>
  <c r="BL176" i="6"/>
  <c r="BL182" i="6"/>
  <c r="BL167" i="6"/>
  <c r="BL162" i="6"/>
  <c r="BL158" i="6"/>
  <c r="BL144" i="6"/>
  <c r="BL181" i="6"/>
  <c r="BL156" i="6"/>
  <c r="BL153" i="6"/>
  <c r="BL169" i="6"/>
  <c r="BL165" i="6"/>
  <c r="BL206" i="6"/>
  <c r="BL159" i="6"/>
  <c r="BL145" i="6"/>
  <c r="BL141" i="6"/>
  <c r="BL151" i="6"/>
  <c r="BL148" i="6"/>
  <c r="BL142" i="6"/>
  <c r="BL138" i="6"/>
  <c r="BL135" i="6"/>
  <c r="BL134" i="6"/>
  <c r="BL146" i="6"/>
  <c r="BL130" i="6"/>
  <c r="BL203" i="6"/>
  <c r="BL136" i="6"/>
  <c r="BL129" i="6"/>
  <c r="BL120" i="6"/>
  <c r="BL127" i="6"/>
  <c r="BL124" i="6"/>
  <c r="BL115" i="6"/>
  <c r="BL133" i="6"/>
  <c r="BL107" i="6"/>
  <c r="BL97" i="6"/>
  <c r="BL110" i="6"/>
  <c r="BL116" i="6"/>
  <c r="BL100" i="6"/>
  <c r="BL86" i="6"/>
  <c r="BL74" i="6"/>
  <c r="BL56" i="6"/>
  <c r="BL105" i="6"/>
  <c r="BL106" i="6"/>
  <c r="BL90" i="6"/>
  <c r="BL72" i="6"/>
  <c r="BL79" i="6"/>
  <c r="BL114" i="6"/>
  <c r="BL75" i="6"/>
  <c r="BK45" i="6"/>
  <c r="BL87" i="6"/>
  <c r="BL62" i="6"/>
  <c r="BL60" i="6"/>
  <c r="BL78" i="6"/>
  <c r="BL30" i="6"/>
  <c r="BL101" i="6"/>
  <c r="BL89" i="6"/>
  <c r="BL82" i="6"/>
  <c r="BL76" i="6"/>
  <c r="BL57" i="6"/>
  <c r="BL67" i="6"/>
  <c r="BL70" i="6"/>
  <c r="BL58" i="6"/>
  <c r="BL33" i="6"/>
  <c r="BL27" i="6"/>
  <c r="BL77" i="6"/>
  <c r="BN4" i="6"/>
  <c r="BL23" i="6"/>
  <c r="BL39" i="6"/>
  <c r="BL31" i="6"/>
  <c r="BL25" i="6"/>
  <c r="CP232" i="6"/>
  <c r="CP227" i="6"/>
  <c r="CP229" i="6"/>
  <c r="CP223" i="6"/>
  <c r="CP218" i="6"/>
  <c r="CP224" i="6"/>
  <c r="CP228" i="6"/>
  <c r="CP225" i="6"/>
  <c r="CP220" i="6"/>
  <c r="CP217" i="6"/>
  <c r="CP222" i="6"/>
  <c r="CP226" i="6"/>
  <c r="CP219" i="6"/>
  <c r="CP200" i="6"/>
  <c r="CP199" i="6"/>
  <c r="CP203" i="6"/>
  <c r="CP205" i="6"/>
  <c r="CP202" i="6"/>
  <c r="CP201" i="6"/>
  <c r="CP198" i="6"/>
  <c r="CP195" i="6"/>
  <c r="CP191" i="6"/>
  <c r="CP190" i="6"/>
  <c r="CP221" i="6"/>
  <c r="CP194" i="6"/>
  <c r="CP207" i="6"/>
  <c r="CP197" i="6"/>
  <c r="CP181" i="6"/>
  <c r="CP196" i="6"/>
  <c r="CP187" i="6"/>
  <c r="CP180" i="6"/>
  <c r="CP172" i="6"/>
  <c r="CP189" i="6"/>
  <c r="CP193" i="6"/>
  <c r="CP186" i="6"/>
  <c r="CP178" i="6"/>
  <c r="CP185" i="6"/>
  <c r="CP177" i="6"/>
  <c r="CP171" i="6"/>
  <c r="CP166" i="6"/>
  <c r="CP183" i="6"/>
  <c r="CP182" i="6"/>
  <c r="CP175" i="6"/>
  <c r="CP174" i="6"/>
  <c r="CP165" i="6"/>
  <c r="CP157" i="6"/>
  <c r="CP149" i="6"/>
  <c r="CP141" i="6"/>
  <c r="CP173" i="6"/>
  <c r="CP179" i="6"/>
  <c r="CP169" i="6"/>
  <c r="CP163" i="6"/>
  <c r="CP170" i="6"/>
  <c r="CP162" i="6"/>
  <c r="CP154" i="6"/>
  <c r="CP192" i="6"/>
  <c r="CP156" i="6"/>
  <c r="CP155" i="6"/>
  <c r="CP153" i="6"/>
  <c r="CP160" i="6"/>
  <c r="CP152" i="6"/>
  <c r="CP151" i="6"/>
  <c r="CP146" i="6"/>
  <c r="CP188" i="6"/>
  <c r="CP161" i="6"/>
  <c r="CP145" i="6"/>
  <c r="CP206" i="6"/>
  <c r="CP184" i="6"/>
  <c r="CP167" i="6"/>
  <c r="CP164" i="6"/>
  <c r="CP136" i="6"/>
  <c r="CP168" i="6"/>
  <c r="CP159" i="6"/>
  <c r="CP135" i="6"/>
  <c r="CP158" i="6"/>
  <c r="CP134" i="6"/>
  <c r="CP133" i="6"/>
  <c r="CP143" i="6"/>
  <c r="CP140" i="6"/>
  <c r="CP176" i="6"/>
  <c r="CP148" i="6"/>
  <c r="CP147" i="6"/>
  <c r="CP144" i="6"/>
  <c r="CP139" i="6"/>
  <c r="CP131" i="6"/>
  <c r="CP142" i="6"/>
  <c r="CP121" i="6"/>
  <c r="CP150" i="6"/>
  <c r="CP120" i="6"/>
  <c r="CP129" i="6"/>
  <c r="CP119" i="6"/>
  <c r="CP118" i="6"/>
  <c r="CP128" i="6"/>
  <c r="CP125" i="6"/>
  <c r="CP116" i="6"/>
  <c r="CP137" i="6"/>
  <c r="CP130" i="6"/>
  <c r="CP127" i="6"/>
  <c r="CP138" i="6"/>
  <c r="CP122" i="6"/>
  <c r="CP126" i="6"/>
  <c r="CP123" i="6"/>
  <c r="CP132" i="6"/>
  <c r="CP124" i="6"/>
  <c r="CP101" i="6"/>
  <c r="CP90" i="6"/>
  <c r="CP82" i="6"/>
  <c r="CP81" i="6"/>
  <c r="CP110" i="6"/>
  <c r="CP100" i="6"/>
  <c r="CP117" i="6"/>
  <c r="CP109" i="6"/>
  <c r="CP99" i="6"/>
  <c r="CP112" i="6"/>
  <c r="CP108" i="6"/>
  <c r="CP98" i="6"/>
  <c r="CP87" i="6"/>
  <c r="CP76" i="6"/>
  <c r="CP107" i="6"/>
  <c r="CP97" i="6"/>
  <c r="CP86" i="6"/>
  <c r="CP106" i="6"/>
  <c r="CP105" i="6"/>
  <c r="CP96" i="6"/>
  <c r="CP115" i="6"/>
  <c r="CP80" i="6"/>
  <c r="CP68" i="6"/>
  <c r="CP58" i="6"/>
  <c r="CP89" i="6"/>
  <c r="CP67" i="6"/>
  <c r="CP57" i="6"/>
  <c r="CP113" i="6"/>
  <c r="CP85" i="6"/>
  <c r="CP84" i="6"/>
  <c r="CP114" i="6"/>
  <c r="CP79" i="6"/>
  <c r="CP75" i="6"/>
  <c r="CP73" i="6"/>
  <c r="CP65" i="6"/>
  <c r="CP63" i="6"/>
  <c r="CP102" i="6"/>
  <c r="CP94" i="6"/>
  <c r="CP88" i="6"/>
  <c r="CP83" i="6"/>
  <c r="CP95" i="6"/>
  <c r="CP78" i="6"/>
  <c r="CP71" i="6"/>
  <c r="CP61" i="6"/>
  <c r="CP69" i="6"/>
  <c r="CP66" i="6"/>
  <c r="CP34" i="6"/>
  <c r="CP70" i="6"/>
  <c r="CP64" i="6"/>
  <c r="CP40" i="6"/>
  <c r="CP32" i="6"/>
  <c r="CP77" i="6"/>
  <c r="CP62" i="6"/>
  <c r="CP60" i="6"/>
  <c r="CP39" i="6"/>
  <c r="CP31" i="6"/>
  <c r="CP74" i="6"/>
  <c r="CP59" i="6"/>
  <c r="CP55" i="6"/>
  <c r="CP38" i="6"/>
  <c r="CP35" i="6"/>
  <c r="CP33" i="6"/>
  <c r="CO12" i="6"/>
  <c r="CO45" i="6"/>
  <c r="CP24" i="6"/>
  <c r="CP91" i="6"/>
  <c r="CP26" i="6"/>
  <c r="CP23" i="6"/>
  <c r="CP7" i="6"/>
  <c r="CP6" i="6"/>
  <c r="CP5" i="6"/>
  <c r="CP93" i="6"/>
  <c r="CP92" i="6"/>
  <c r="CP36" i="6"/>
  <c r="CP72" i="6"/>
  <c r="CP27" i="6"/>
  <c r="CP53" i="6"/>
  <c r="CP56" i="6"/>
  <c r="CP54" i="6"/>
  <c r="CP28" i="6"/>
  <c r="CP37" i="6"/>
  <c r="CP30" i="6"/>
  <c r="CP25" i="6"/>
  <c r="AF5" i="6"/>
  <c r="BL5" i="6"/>
  <c r="CQ46" i="6"/>
  <c r="CS5" i="6"/>
  <c r="CQ13" i="6"/>
  <c r="AF6" i="6"/>
  <c r="AV6" i="6"/>
  <c r="CA47" i="6"/>
  <c r="CA43" i="6"/>
  <c r="CD6" i="6"/>
  <c r="CC6" i="6"/>
  <c r="CB19" i="6"/>
  <c r="AF7" i="6"/>
  <c r="AX7" i="6"/>
  <c r="AW7" i="6"/>
  <c r="AU44" i="6"/>
  <c r="AU48" i="6"/>
  <c r="BL7" i="6"/>
  <c r="CA48" i="6"/>
  <c r="CA44" i="6"/>
  <c r="CD7" i="6"/>
  <c r="CC7" i="6"/>
  <c r="CB20" i="6"/>
  <c r="M12" i="6"/>
  <c r="R13" i="6"/>
  <c r="Q13" i="6"/>
  <c r="CR17" i="6"/>
  <c r="CL18" i="6"/>
  <c r="BF19" i="6"/>
  <c r="BL20" i="6"/>
  <c r="CV40" i="6"/>
  <c r="O7" i="3"/>
  <c r="O56" i="3"/>
  <c r="N121" i="3"/>
  <c r="O121" i="3" s="1"/>
  <c r="O156" i="3"/>
  <c r="H15" i="4"/>
  <c r="H30" i="4" s="1"/>
  <c r="H50" i="4"/>
  <c r="H51" i="4" s="1"/>
  <c r="I30" i="5"/>
  <c r="AH4" i="6"/>
  <c r="AX4" i="6"/>
  <c r="BM4" i="6"/>
  <c r="CQ4" i="6"/>
  <c r="CR223" i="6" s="1"/>
  <c r="BN5" i="6"/>
  <c r="CC5" i="6"/>
  <c r="CR5" i="6"/>
  <c r="AH6" i="6"/>
  <c r="BL6" i="6"/>
  <c r="CB6" i="6"/>
  <c r="CS6" i="6"/>
  <c r="CQ47" i="6"/>
  <c r="CQ43" i="6"/>
  <c r="AH7" i="6"/>
  <c r="AV7" i="6"/>
  <c r="BN7" i="6"/>
  <c r="CB7" i="6"/>
  <c r="CQ48" i="6"/>
  <c r="CS7" i="6"/>
  <c r="CQ15" i="6"/>
  <c r="CQ44" i="6"/>
  <c r="AO8" i="6"/>
  <c r="CT8" i="6"/>
  <c r="R11" i="6"/>
  <c r="CQ14" i="6"/>
  <c r="BU15" i="6"/>
  <c r="CH17" i="6"/>
  <c r="G17" i="6"/>
  <c r="BL18" i="6"/>
  <c r="AF19" i="6"/>
  <c r="AV19" i="6"/>
  <c r="Z48" i="6"/>
  <c r="Y48" i="6"/>
  <c r="CS80" i="6"/>
  <c r="Z93" i="6"/>
  <c r="Y93" i="6"/>
  <c r="X93" i="6"/>
  <c r="CK93" i="6"/>
  <c r="CJ93" i="6"/>
  <c r="D53" i="2"/>
  <c r="W103" i="6" s="1"/>
  <c r="AW104" i="6"/>
  <c r="AV104" i="6"/>
  <c r="S54" i="2"/>
  <c r="BE111" i="6"/>
  <c r="BD111" i="6"/>
  <c r="Q117" i="6"/>
  <c r="R117" i="6"/>
  <c r="CC117" i="6"/>
  <c r="CB117" i="6"/>
  <c r="CD117" i="6"/>
  <c r="BE122" i="6"/>
  <c r="BF122" i="6"/>
  <c r="BD122" i="6"/>
  <c r="S72" i="2"/>
  <c r="AW171" i="6"/>
  <c r="AV171" i="6"/>
  <c r="AX171" i="6"/>
  <c r="BE197" i="6"/>
  <c r="BD197" i="6"/>
  <c r="BF197" i="6"/>
  <c r="S147" i="2"/>
  <c r="BD205" i="6"/>
  <c r="BF205" i="6"/>
  <c r="BE205" i="6"/>
  <c r="S155" i="2"/>
  <c r="BN219" i="6"/>
  <c r="BM219" i="6"/>
  <c r="BL219" i="6"/>
  <c r="AH22" i="6"/>
  <c r="AF22" i="6"/>
  <c r="AE21" i="6"/>
  <c r="AG22" i="6"/>
  <c r="CR22" i="6"/>
  <c r="AO29" i="6"/>
  <c r="AP29" i="6"/>
  <c r="N255" i="2"/>
  <c r="O255" i="2" s="1"/>
  <c r="AG37" i="6"/>
  <c r="AF37" i="6"/>
  <c r="AH37" i="6"/>
  <c r="CS37" i="6"/>
  <c r="CR37" i="6"/>
  <c r="CT37" i="6"/>
  <c r="B273" i="2"/>
  <c r="C275" i="2"/>
  <c r="H276" i="2"/>
  <c r="D277" i="2"/>
  <c r="I278" i="2"/>
  <c r="J195" i="3"/>
  <c r="AA195" i="3" s="1"/>
  <c r="C47" i="4"/>
  <c r="K47" i="4"/>
  <c r="E57" i="4"/>
  <c r="J31" i="5"/>
  <c r="AJ232" i="6"/>
  <c r="AJ221" i="6"/>
  <c r="AJ227" i="6"/>
  <c r="AJ226" i="6"/>
  <c r="AJ220" i="6"/>
  <c r="AJ219" i="6"/>
  <c r="AJ228" i="6"/>
  <c r="AJ225" i="6"/>
  <c r="AJ223" i="6"/>
  <c r="AJ222" i="6"/>
  <c r="AJ218" i="6"/>
  <c r="AJ224" i="6"/>
  <c r="AJ217" i="6"/>
  <c r="AJ207" i="6"/>
  <c r="AJ203" i="6"/>
  <c r="AJ202" i="6"/>
  <c r="AJ194" i="6"/>
  <c r="AJ206" i="6"/>
  <c r="AJ201" i="6"/>
  <c r="AJ196" i="6"/>
  <c r="AJ193" i="6"/>
  <c r="AJ229" i="6"/>
  <c r="AJ199" i="6"/>
  <c r="AJ197" i="6"/>
  <c r="AJ191" i="6"/>
  <c r="AJ200" i="6"/>
  <c r="AJ205" i="6"/>
  <c r="AJ195" i="6"/>
  <c r="AJ184" i="6"/>
  <c r="AJ176" i="6"/>
  <c r="AJ192" i="6"/>
  <c r="AJ183" i="6"/>
  <c r="AJ175" i="6"/>
  <c r="AJ167" i="6"/>
  <c r="AJ181" i="6"/>
  <c r="AJ198" i="6"/>
  <c r="AJ189" i="6"/>
  <c r="AJ180" i="6"/>
  <c r="AJ161" i="6"/>
  <c r="AJ160" i="6"/>
  <c r="AJ152" i="6"/>
  <c r="AJ144" i="6"/>
  <c r="AJ187" i="6"/>
  <c r="AJ182" i="6"/>
  <c r="AJ177" i="6"/>
  <c r="AJ185" i="6"/>
  <c r="AJ179" i="6"/>
  <c r="AJ178" i="6"/>
  <c r="AJ174" i="6"/>
  <c r="AJ171" i="6"/>
  <c r="AJ169" i="6"/>
  <c r="AJ168" i="6"/>
  <c r="AJ166" i="6"/>
  <c r="AJ188" i="6"/>
  <c r="AJ186" i="6"/>
  <c r="AJ173" i="6"/>
  <c r="AJ165" i="6"/>
  <c r="AJ157" i="6"/>
  <c r="AJ149" i="6"/>
  <c r="AJ159" i="6"/>
  <c r="AJ158" i="6"/>
  <c r="AJ147" i="6"/>
  <c r="AJ156" i="6"/>
  <c r="AJ146" i="6"/>
  <c r="AJ145" i="6"/>
  <c r="AJ190" i="6"/>
  <c r="AJ170" i="6"/>
  <c r="AJ155" i="6"/>
  <c r="AJ172" i="6"/>
  <c r="AJ151" i="6"/>
  <c r="AJ162" i="6"/>
  <c r="AJ153" i="6"/>
  <c r="AJ139" i="6"/>
  <c r="AJ138" i="6"/>
  <c r="AJ141" i="6"/>
  <c r="AJ137" i="6"/>
  <c r="AJ129" i="6"/>
  <c r="AJ136" i="6"/>
  <c r="AJ128" i="6"/>
  <c r="AJ154" i="6"/>
  <c r="AJ163" i="6"/>
  <c r="AJ150" i="6"/>
  <c r="AJ134" i="6"/>
  <c r="AJ127" i="6"/>
  <c r="AJ124" i="6"/>
  <c r="AJ115" i="6"/>
  <c r="AJ148" i="6"/>
  <c r="AJ142" i="6"/>
  <c r="AJ123" i="6"/>
  <c r="AJ164" i="6"/>
  <c r="AJ135" i="6"/>
  <c r="AJ140" i="6"/>
  <c r="AJ133" i="6"/>
  <c r="AJ131" i="6"/>
  <c r="AJ130" i="6"/>
  <c r="AJ120" i="6"/>
  <c r="AJ119" i="6"/>
  <c r="AJ132" i="6"/>
  <c r="AJ143" i="6"/>
  <c r="AJ125" i="6"/>
  <c r="AJ117" i="6"/>
  <c r="AJ126" i="6"/>
  <c r="AJ121" i="6"/>
  <c r="AJ96" i="6"/>
  <c r="AJ95" i="6"/>
  <c r="AJ85" i="6"/>
  <c r="AJ116" i="6"/>
  <c r="AJ113" i="6"/>
  <c r="AJ94" i="6"/>
  <c r="AJ93" i="6"/>
  <c r="AJ92" i="6"/>
  <c r="AJ112" i="6"/>
  <c r="AJ102" i="6"/>
  <c r="AJ91" i="6"/>
  <c r="AJ101" i="6"/>
  <c r="AJ90" i="6"/>
  <c r="AJ81" i="6"/>
  <c r="AJ79" i="6"/>
  <c r="AJ118" i="6"/>
  <c r="AJ114" i="6"/>
  <c r="AJ100" i="6"/>
  <c r="AJ89" i="6"/>
  <c r="AJ78" i="6"/>
  <c r="AJ109" i="6"/>
  <c r="AJ99" i="6"/>
  <c r="AJ88" i="6"/>
  <c r="AJ82" i="6"/>
  <c r="AJ71" i="6"/>
  <c r="AJ61" i="6"/>
  <c r="AJ104" i="6"/>
  <c r="AJ84" i="6"/>
  <c r="AJ77" i="6"/>
  <c r="AJ76" i="6"/>
  <c r="AJ70" i="6"/>
  <c r="AJ60" i="6"/>
  <c r="AJ75" i="6"/>
  <c r="AJ69" i="6"/>
  <c r="AJ110" i="6"/>
  <c r="AJ105" i="6"/>
  <c r="AJ83" i="6"/>
  <c r="AJ58" i="6"/>
  <c r="AJ106" i="6"/>
  <c r="AJ107" i="6"/>
  <c r="AJ97" i="6"/>
  <c r="AJ87" i="6"/>
  <c r="AJ74" i="6"/>
  <c r="AJ66" i="6"/>
  <c r="AJ56" i="6"/>
  <c r="AJ62" i="6"/>
  <c r="AJ59" i="6"/>
  <c r="AJ72" i="6"/>
  <c r="AJ108" i="6"/>
  <c r="AJ52" i="6"/>
  <c r="AJ35" i="6"/>
  <c r="AJ27" i="6"/>
  <c r="AJ34" i="6"/>
  <c r="AJ26" i="6"/>
  <c r="AJ73" i="6"/>
  <c r="AJ63" i="6"/>
  <c r="AJ65" i="6"/>
  <c r="AI45" i="6"/>
  <c r="AJ55" i="6"/>
  <c r="AJ54" i="6"/>
  <c r="AJ86" i="6"/>
  <c r="AJ37" i="6"/>
  <c r="AJ32" i="6"/>
  <c r="AJ28" i="6"/>
  <c r="AJ57" i="6"/>
  <c r="AJ36" i="6"/>
  <c r="AJ30" i="6"/>
  <c r="AJ98" i="6"/>
  <c r="AJ68" i="6"/>
  <c r="AJ67" i="6"/>
  <c r="AJ25" i="6"/>
  <c r="AI12" i="6"/>
  <c r="AJ39" i="6"/>
  <c r="AJ23" i="6"/>
  <c r="AJ6" i="6"/>
  <c r="AJ31" i="6"/>
  <c r="AJ53" i="6"/>
  <c r="AJ33" i="6"/>
  <c r="AJ24" i="6"/>
  <c r="AJ22" i="6"/>
  <c r="AJ64" i="6"/>
  <c r="AJ40" i="6"/>
  <c r="AJ38" i="6"/>
  <c r="AZ226" i="6"/>
  <c r="AZ232" i="6"/>
  <c r="AZ229" i="6"/>
  <c r="AZ228" i="6"/>
  <c r="AZ225" i="6"/>
  <c r="AZ227" i="6"/>
  <c r="AZ223" i="6"/>
  <c r="AZ222" i="6"/>
  <c r="AZ220" i="6"/>
  <c r="AZ218" i="6"/>
  <c r="AZ217" i="6"/>
  <c r="AZ219" i="6"/>
  <c r="AZ221" i="6"/>
  <c r="AZ199" i="6"/>
  <c r="AZ198" i="6"/>
  <c r="AZ202" i="6"/>
  <c r="AZ206" i="6"/>
  <c r="AZ201" i="6"/>
  <c r="AZ190" i="6"/>
  <c r="AZ200" i="6"/>
  <c r="AZ189" i="6"/>
  <c r="AZ195" i="6"/>
  <c r="AZ203" i="6"/>
  <c r="AZ194" i="6"/>
  <c r="AZ191" i="6"/>
  <c r="AZ180" i="6"/>
  <c r="AZ196" i="6"/>
  <c r="AZ192" i="6"/>
  <c r="AZ187" i="6"/>
  <c r="AZ179" i="6"/>
  <c r="AZ197" i="6"/>
  <c r="AZ186" i="6"/>
  <c r="AZ207" i="6"/>
  <c r="AZ185" i="6"/>
  <c r="AZ193" i="6"/>
  <c r="AZ184" i="6"/>
  <c r="AZ176" i="6"/>
  <c r="AZ169" i="6"/>
  <c r="AZ168" i="6"/>
  <c r="AZ165" i="6"/>
  <c r="AZ175" i="6"/>
  <c r="AZ164" i="6"/>
  <c r="AZ156" i="6"/>
  <c r="AZ148" i="6"/>
  <c r="AZ177" i="6"/>
  <c r="AZ174" i="6"/>
  <c r="AZ173" i="6"/>
  <c r="AZ224" i="6"/>
  <c r="AZ182" i="6"/>
  <c r="AZ162" i="6"/>
  <c r="AZ181" i="6"/>
  <c r="AZ178" i="6"/>
  <c r="AZ161" i="6"/>
  <c r="AZ153" i="6"/>
  <c r="AZ188" i="6"/>
  <c r="AZ157" i="6"/>
  <c r="AZ155" i="6"/>
  <c r="AZ144" i="6"/>
  <c r="AZ154" i="6"/>
  <c r="AZ152" i="6"/>
  <c r="AZ143" i="6"/>
  <c r="AZ205" i="6"/>
  <c r="AZ170" i="6"/>
  <c r="AZ183" i="6"/>
  <c r="AZ172" i="6"/>
  <c r="AZ135" i="6"/>
  <c r="AZ163" i="6"/>
  <c r="AZ151" i="6"/>
  <c r="AZ141" i="6"/>
  <c r="AZ134" i="6"/>
  <c r="AZ171" i="6"/>
  <c r="AZ166" i="6"/>
  <c r="AZ160" i="6"/>
  <c r="AZ133" i="6"/>
  <c r="AZ167" i="6"/>
  <c r="AZ142" i="6"/>
  <c r="AZ140" i="6"/>
  <c r="AZ132" i="6"/>
  <c r="AZ139" i="6"/>
  <c r="AZ138" i="6"/>
  <c r="AZ130" i="6"/>
  <c r="AZ158" i="6"/>
  <c r="AZ146" i="6"/>
  <c r="AZ136" i="6"/>
  <c r="AZ120" i="6"/>
  <c r="AZ118" i="6"/>
  <c r="AZ147" i="6"/>
  <c r="AZ137" i="6"/>
  <c r="AZ129" i="6"/>
  <c r="AZ126" i="6"/>
  <c r="AZ131" i="6"/>
  <c r="AZ128" i="6"/>
  <c r="AZ124" i="6"/>
  <c r="AZ115" i="6"/>
  <c r="AZ150" i="6"/>
  <c r="AZ149" i="6"/>
  <c r="AZ159" i="6"/>
  <c r="AZ145" i="6"/>
  <c r="AZ127" i="6"/>
  <c r="AZ125" i="6"/>
  <c r="AZ123" i="6"/>
  <c r="AZ121" i="6"/>
  <c r="AZ100" i="6"/>
  <c r="AZ89" i="6"/>
  <c r="AZ112" i="6"/>
  <c r="AZ109" i="6"/>
  <c r="AZ99" i="6"/>
  <c r="AZ108" i="6"/>
  <c r="AZ98" i="6"/>
  <c r="AZ116" i="6"/>
  <c r="AZ110" i="6"/>
  <c r="AZ107" i="6"/>
  <c r="AZ97" i="6"/>
  <c r="AZ86" i="6"/>
  <c r="AZ75" i="6"/>
  <c r="AZ114" i="6"/>
  <c r="AZ96" i="6"/>
  <c r="AZ85" i="6"/>
  <c r="AZ94" i="6"/>
  <c r="AZ92" i="6"/>
  <c r="AZ90" i="6"/>
  <c r="AZ67" i="6"/>
  <c r="AZ57" i="6"/>
  <c r="AZ91" i="6"/>
  <c r="AZ84" i="6"/>
  <c r="AZ81" i="6"/>
  <c r="AZ74" i="6"/>
  <c r="AZ66" i="6"/>
  <c r="AZ56" i="6"/>
  <c r="AZ83" i="6"/>
  <c r="AZ73" i="6"/>
  <c r="AZ68" i="6"/>
  <c r="AZ79" i="6"/>
  <c r="AZ72" i="6"/>
  <c r="AZ62" i="6"/>
  <c r="AZ117" i="6"/>
  <c r="AZ102" i="6"/>
  <c r="AZ101" i="6"/>
  <c r="AZ87" i="6"/>
  <c r="AZ78" i="6"/>
  <c r="AZ70" i="6"/>
  <c r="AZ60" i="6"/>
  <c r="AZ59" i="6"/>
  <c r="AZ33" i="6"/>
  <c r="AZ77" i="6"/>
  <c r="AZ76" i="6"/>
  <c r="AZ61" i="6"/>
  <c r="AZ39" i="6"/>
  <c r="AZ31" i="6"/>
  <c r="AZ38" i="6"/>
  <c r="AZ30" i="6"/>
  <c r="AZ28" i="6"/>
  <c r="AZ25" i="6"/>
  <c r="AZ71" i="6"/>
  <c r="AZ55" i="6"/>
  <c r="AZ54" i="6"/>
  <c r="AY45" i="6"/>
  <c r="AZ23" i="6"/>
  <c r="AZ69" i="6"/>
  <c r="AZ36" i="6"/>
  <c r="AZ34" i="6"/>
  <c r="AZ26" i="6"/>
  <c r="AZ63" i="6"/>
  <c r="AZ40" i="6"/>
  <c r="AZ35" i="6"/>
  <c r="AZ37" i="6"/>
  <c r="AZ32" i="6"/>
  <c r="AZ27" i="6"/>
  <c r="AZ88" i="6"/>
  <c r="AZ65" i="6"/>
  <c r="AZ22" i="6"/>
  <c r="AZ24" i="6"/>
  <c r="AZ58" i="6"/>
  <c r="BP232" i="6"/>
  <c r="BP229" i="6"/>
  <c r="BP221" i="6"/>
  <c r="BP225" i="6"/>
  <c r="BP223" i="6"/>
  <c r="BP220" i="6"/>
  <c r="BP228" i="6"/>
  <c r="BP226" i="6"/>
  <c r="BP224" i="6"/>
  <c r="BP219" i="6"/>
  <c r="BP227" i="6"/>
  <c r="BP218" i="6"/>
  <c r="BP217" i="6"/>
  <c r="BP206" i="6"/>
  <c r="BP203" i="6"/>
  <c r="BP202" i="6"/>
  <c r="BP194" i="6"/>
  <c r="BP195" i="6"/>
  <c r="BP193" i="6"/>
  <c r="BP222" i="6"/>
  <c r="BP205" i="6"/>
  <c r="BP200" i="6"/>
  <c r="BP198" i="6"/>
  <c r="BP192" i="6"/>
  <c r="BP199" i="6"/>
  <c r="BP191" i="6"/>
  <c r="BP184" i="6"/>
  <c r="BP176" i="6"/>
  <c r="BP183" i="6"/>
  <c r="BP175" i="6"/>
  <c r="BP167" i="6"/>
  <c r="BP196" i="6"/>
  <c r="BP181" i="6"/>
  <c r="BP180" i="6"/>
  <c r="BP172" i="6"/>
  <c r="BP188" i="6"/>
  <c r="BP185" i="6"/>
  <c r="BP174" i="6"/>
  <c r="BP161" i="6"/>
  <c r="BP190" i="6"/>
  <c r="BP173" i="6"/>
  <c r="BP160" i="6"/>
  <c r="BP152" i="6"/>
  <c r="BP144" i="6"/>
  <c r="BP207" i="6"/>
  <c r="BP177" i="6"/>
  <c r="BP201" i="6"/>
  <c r="BP166" i="6"/>
  <c r="BP189" i="6"/>
  <c r="BP182" i="6"/>
  <c r="BP165" i="6"/>
  <c r="BP157" i="6"/>
  <c r="BP149" i="6"/>
  <c r="BP179" i="6"/>
  <c r="BP164" i="6"/>
  <c r="BP163" i="6"/>
  <c r="BP155" i="6"/>
  <c r="BP154" i="6"/>
  <c r="BP186" i="6"/>
  <c r="BP171" i="6"/>
  <c r="BP169" i="6"/>
  <c r="BP151" i="6"/>
  <c r="BP187" i="6"/>
  <c r="BP168" i="6"/>
  <c r="BP150" i="6"/>
  <c r="BP178" i="6"/>
  <c r="BP147" i="6"/>
  <c r="BP146" i="6"/>
  <c r="BP170" i="6"/>
  <c r="BP159" i="6"/>
  <c r="BP148" i="6"/>
  <c r="BP143" i="6"/>
  <c r="BP139" i="6"/>
  <c r="BP138" i="6"/>
  <c r="BP162" i="6"/>
  <c r="BP158" i="6"/>
  <c r="BP137" i="6"/>
  <c r="BP129" i="6"/>
  <c r="BP153" i="6"/>
  <c r="BP142" i="6"/>
  <c r="BP136" i="6"/>
  <c r="BP128" i="6"/>
  <c r="BP134" i="6"/>
  <c r="BP124" i="6"/>
  <c r="BP119" i="6"/>
  <c r="BP115" i="6"/>
  <c r="BP140" i="6"/>
  <c r="BP123" i="6"/>
  <c r="BP114" i="6"/>
  <c r="BP145" i="6"/>
  <c r="BP141" i="6"/>
  <c r="BP156" i="6"/>
  <c r="BP133" i="6"/>
  <c r="BP132" i="6"/>
  <c r="BP131" i="6"/>
  <c r="BP120" i="6"/>
  <c r="BP135" i="6"/>
  <c r="BP121" i="6"/>
  <c r="BP127" i="6"/>
  <c r="BP125" i="6"/>
  <c r="BP118" i="6"/>
  <c r="BP126" i="6"/>
  <c r="BP96" i="6"/>
  <c r="BP85" i="6"/>
  <c r="BP112" i="6"/>
  <c r="BP110" i="6"/>
  <c r="BP94" i="6"/>
  <c r="BP92" i="6"/>
  <c r="BP102" i="6"/>
  <c r="BP91" i="6"/>
  <c r="BP101" i="6"/>
  <c r="BP90" i="6"/>
  <c r="BP81" i="6"/>
  <c r="BP79" i="6"/>
  <c r="BP116" i="6"/>
  <c r="BP100" i="6"/>
  <c r="BP89" i="6"/>
  <c r="BP78" i="6"/>
  <c r="BP117" i="6"/>
  <c r="BP109" i="6"/>
  <c r="BP99" i="6"/>
  <c r="BP88" i="6"/>
  <c r="BP84" i="6"/>
  <c r="BP71" i="6"/>
  <c r="BP61" i="6"/>
  <c r="BP70" i="6"/>
  <c r="BP60" i="6"/>
  <c r="BP107" i="6"/>
  <c r="BP97" i="6"/>
  <c r="BP83" i="6"/>
  <c r="BP69" i="6"/>
  <c r="BP68" i="6"/>
  <c r="BP130" i="6"/>
  <c r="BP108" i="6"/>
  <c r="BP98" i="6"/>
  <c r="BP58" i="6"/>
  <c r="BP87" i="6"/>
  <c r="BP77" i="6"/>
  <c r="BP86" i="6"/>
  <c r="BP74" i="6"/>
  <c r="BP66" i="6"/>
  <c r="BP56" i="6"/>
  <c r="BP76" i="6"/>
  <c r="BP73" i="6"/>
  <c r="BP62" i="6"/>
  <c r="BP57" i="6"/>
  <c r="BP67" i="6"/>
  <c r="BP59" i="6"/>
  <c r="BP35" i="6"/>
  <c r="BP27" i="6"/>
  <c r="BP72" i="6"/>
  <c r="BP34" i="6"/>
  <c r="BP26" i="6"/>
  <c r="BP63" i="6"/>
  <c r="BP30" i="6"/>
  <c r="BO12" i="6"/>
  <c r="BP54" i="6"/>
  <c r="BP37" i="6"/>
  <c r="BP36" i="6"/>
  <c r="BP55" i="6"/>
  <c r="BO45" i="6"/>
  <c r="BP31" i="6"/>
  <c r="BP25" i="6"/>
  <c r="BP65" i="6"/>
  <c r="BP64" i="6"/>
  <c r="BP28" i="6"/>
  <c r="BP23" i="6"/>
  <c r="BP75" i="6"/>
  <c r="BP53" i="6"/>
  <c r="BP32" i="6"/>
  <c r="BP39" i="6"/>
  <c r="BP40" i="6"/>
  <c r="BP38" i="6"/>
  <c r="BP22" i="6"/>
  <c r="BP33" i="6"/>
  <c r="BP24" i="6"/>
  <c r="Z46" i="6"/>
  <c r="Y46" i="6"/>
  <c r="AL5" i="6"/>
  <c r="BP5" i="6"/>
  <c r="CT5" i="6"/>
  <c r="G47" i="6"/>
  <c r="G43" i="6"/>
  <c r="CY6" i="6"/>
  <c r="I6" i="6"/>
  <c r="CR6" i="6"/>
  <c r="AJ7" i="6"/>
  <c r="AZ7" i="6"/>
  <c r="BP7" i="6"/>
  <c r="CR7" i="6"/>
  <c r="CU8" i="6"/>
  <c r="R9" i="6"/>
  <c r="CC9" i="6"/>
  <c r="CA8" i="6"/>
  <c r="R10" i="6"/>
  <c r="Q10" i="6"/>
  <c r="AX10" i="6"/>
  <c r="AX11" i="6"/>
  <c r="AW11" i="6"/>
  <c r="CK13" i="6"/>
  <c r="AE14" i="6"/>
  <c r="CA14" i="6"/>
  <c r="J15" i="6"/>
  <c r="AO15" i="6"/>
  <c r="U16" i="6"/>
  <c r="V16" i="6" s="1"/>
  <c r="AJ17" i="6"/>
  <c r="AV17" i="6"/>
  <c r="H18" i="6"/>
  <c r="CY20" i="6"/>
  <c r="G44" i="6"/>
  <c r="AH93" i="6"/>
  <c r="AG93" i="6"/>
  <c r="AF93" i="6"/>
  <c r="CS93" i="6"/>
  <c r="CR93" i="6"/>
  <c r="BE104" i="6"/>
  <c r="BD104" i="6"/>
  <c r="N54" i="2"/>
  <c r="BN111" i="6"/>
  <c r="BM111" i="6"/>
  <c r="BL111" i="6"/>
  <c r="Y117" i="6"/>
  <c r="X117" i="6"/>
  <c r="Z117" i="6"/>
  <c r="CK117" i="6"/>
  <c r="CJ117" i="6"/>
  <c r="CL117" i="6"/>
  <c r="BM122" i="6"/>
  <c r="BN122" i="6"/>
  <c r="BL122" i="6"/>
  <c r="BF171" i="6"/>
  <c r="BE171" i="6"/>
  <c r="BD171" i="6"/>
  <c r="S121" i="2"/>
  <c r="BM197" i="6"/>
  <c r="BL197" i="6"/>
  <c r="BN197" i="6"/>
  <c r="AW29" i="6"/>
  <c r="AV29" i="6"/>
  <c r="AX29" i="6"/>
  <c r="AO37" i="6"/>
  <c r="AP37" i="6"/>
  <c r="C273" i="2"/>
  <c r="I276" i="2"/>
  <c r="H281" i="2"/>
  <c r="E28" i="4"/>
  <c r="E30" i="4" s="1"/>
  <c r="F55" i="4"/>
  <c r="M31" i="5"/>
  <c r="D232" i="6"/>
  <c r="D226" i="6"/>
  <c r="D221" i="6"/>
  <c r="D220" i="6"/>
  <c r="D219" i="6"/>
  <c r="D229" i="6"/>
  <c r="D228" i="6"/>
  <c r="D225" i="6"/>
  <c r="D218" i="6"/>
  <c r="D223" i="6"/>
  <c r="D217" i="6"/>
  <c r="D203" i="6"/>
  <c r="D207" i="6"/>
  <c r="D202" i="6"/>
  <c r="D227" i="6"/>
  <c r="D222" i="6"/>
  <c r="D194" i="6"/>
  <c r="D206" i="6"/>
  <c r="D193" i="6"/>
  <c r="D200" i="6"/>
  <c r="D196" i="6"/>
  <c r="D201" i="6"/>
  <c r="D198" i="6"/>
  <c r="D190" i="6"/>
  <c r="D184" i="6"/>
  <c r="D191" i="6"/>
  <c r="D183" i="6"/>
  <c r="D175" i="6"/>
  <c r="D167" i="6"/>
  <c r="D205" i="6"/>
  <c r="D181" i="6"/>
  <c r="D180" i="6"/>
  <c r="D188" i="6"/>
  <c r="D182" i="6"/>
  <c r="D168" i="6"/>
  <c r="D161" i="6"/>
  <c r="D186" i="6"/>
  <c r="D179" i="6"/>
  <c r="D169" i="6"/>
  <c r="D160" i="6"/>
  <c r="D152" i="6"/>
  <c r="D144" i="6"/>
  <c r="D192" i="6"/>
  <c r="D177" i="6"/>
  <c r="D166" i="6"/>
  <c r="D224" i="6"/>
  <c r="D195" i="6"/>
  <c r="D178" i="6"/>
  <c r="D172" i="6"/>
  <c r="D165" i="6"/>
  <c r="D157" i="6"/>
  <c r="D149" i="6"/>
  <c r="D170" i="6"/>
  <c r="D171" i="6"/>
  <c r="D148" i="6"/>
  <c r="D143" i="6"/>
  <c r="D187" i="6"/>
  <c r="D173" i="6"/>
  <c r="D162" i="6"/>
  <c r="D159" i="6"/>
  <c r="D174" i="6"/>
  <c r="D164" i="6"/>
  <c r="D163" i="6"/>
  <c r="D158" i="6"/>
  <c r="D139" i="6"/>
  <c r="D138" i="6"/>
  <c r="D156" i="6"/>
  <c r="D154" i="6"/>
  <c r="D137" i="6"/>
  <c r="D129" i="6"/>
  <c r="D199" i="6"/>
  <c r="D189" i="6"/>
  <c r="D142" i="6"/>
  <c r="D136" i="6"/>
  <c r="D128" i="6"/>
  <c r="D176" i="6"/>
  <c r="D145" i="6"/>
  <c r="D185" i="6"/>
  <c r="D150" i="6"/>
  <c r="D146" i="6"/>
  <c r="D134" i="6"/>
  <c r="D124" i="6"/>
  <c r="D115" i="6"/>
  <c r="D123" i="6"/>
  <c r="D155" i="6"/>
  <c r="D147" i="6"/>
  <c r="D141" i="6"/>
  <c r="D151" i="6"/>
  <c r="D133" i="6"/>
  <c r="D131" i="6"/>
  <c r="D120" i="6"/>
  <c r="D119" i="6"/>
  <c r="D127" i="6"/>
  <c r="D153" i="6"/>
  <c r="D132" i="6"/>
  <c r="D126" i="6"/>
  <c r="D121" i="6"/>
  <c r="D140" i="6"/>
  <c r="D125" i="6"/>
  <c r="D135" i="6"/>
  <c r="D130" i="6"/>
  <c r="D96" i="6"/>
  <c r="D95" i="6"/>
  <c r="D85" i="6"/>
  <c r="D117" i="6"/>
  <c r="D113" i="6"/>
  <c r="D94" i="6"/>
  <c r="D92" i="6"/>
  <c r="D102" i="6"/>
  <c r="D91" i="6"/>
  <c r="D112" i="6"/>
  <c r="D101" i="6"/>
  <c r="D90" i="6"/>
  <c r="D81" i="6"/>
  <c r="D79" i="6"/>
  <c r="D114" i="6"/>
  <c r="D110" i="6"/>
  <c r="D100" i="6"/>
  <c r="D89" i="6"/>
  <c r="D78" i="6"/>
  <c r="D109" i="6"/>
  <c r="D99" i="6"/>
  <c r="D88" i="6"/>
  <c r="D107" i="6"/>
  <c r="D97" i="6"/>
  <c r="D75" i="6"/>
  <c r="D71" i="6"/>
  <c r="D61" i="6"/>
  <c r="D82" i="6"/>
  <c r="D70" i="6"/>
  <c r="D60" i="6"/>
  <c r="D116" i="6"/>
  <c r="D84" i="6"/>
  <c r="D69" i="6"/>
  <c r="D108" i="6"/>
  <c r="D98" i="6"/>
  <c r="D58" i="6"/>
  <c r="D83" i="6"/>
  <c r="D104" i="6"/>
  <c r="D74" i="6"/>
  <c r="D66" i="6"/>
  <c r="D56" i="6"/>
  <c r="D73" i="6"/>
  <c r="D62" i="6"/>
  <c r="D86" i="6"/>
  <c r="D76" i="6"/>
  <c r="D64" i="6"/>
  <c r="D63" i="6"/>
  <c r="D55" i="6"/>
  <c r="D54" i="6"/>
  <c r="D35" i="6"/>
  <c r="D27" i="6"/>
  <c r="D105" i="6"/>
  <c r="D65" i="6"/>
  <c r="D34" i="6"/>
  <c r="D106" i="6"/>
  <c r="D77" i="6"/>
  <c r="C12" i="6"/>
  <c r="D118" i="6"/>
  <c r="D72" i="6"/>
  <c r="D37" i="6"/>
  <c r="D68" i="6"/>
  <c r="D32" i="6"/>
  <c r="D26" i="6"/>
  <c r="D87" i="6"/>
  <c r="D59" i="6"/>
  <c r="C45" i="6"/>
  <c r="D36" i="6"/>
  <c r="D25" i="6"/>
  <c r="CU4" i="6"/>
  <c r="CV23" i="6" s="1"/>
  <c r="D33" i="6"/>
  <c r="D30" i="6"/>
  <c r="D28" i="6"/>
  <c r="D24" i="6"/>
  <c r="D23" i="6"/>
  <c r="D93" i="6"/>
  <c r="D40" i="6"/>
  <c r="D38" i="6"/>
  <c r="D67" i="6"/>
  <c r="D57" i="6"/>
  <c r="D39" i="6"/>
  <c r="D22" i="6"/>
  <c r="D31" i="6"/>
  <c r="V225" i="6"/>
  <c r="V232" i="6"/>
  <c r="V229" i="6"/>
  <c r="V228" i="6"/>
  <c r="V227" i="6"/>
  <c r="V224" i="6"/>
  <c r="V223" i="6"/>
  <c r="V222" i="6"/>
  <c r="V221" i="6"/>
  <c r="V217" i="6"/>
  <c r="V220" i="6"/>
  <c r="V219" i="6"/>
  <c r="V207" i="6"/>
  <c r="V198" i="6"/>
  <c r="V206" i="6"/>
  <c r="V205" i="6"/>
  <c r="V218" i="6"/>
  <c r="V189" i="6"/>
  <c r="V202" i="6"/>
  <c r="V196" i="6"/>
  <c r="V188" i="6"/>
  <c r="V200" i="6"/>
  <c r="V199" i="6"/>
  <c r="V192" i="6"/>
  <c r="V191" i="6"/>
  <c r="V226" i="6"/>
  <c r="V201" i="6"/>
  <c r="V195" i="6"/>
  <c r="V190" i="6"/>
  <c r="V187" i="6"/>
  <c r="V179" i="6"/>
  <c r="V203" i="6"/>
  <c r="V186" i="6"/>
  <c r="V178" i="6"/>
  <c r="V170" i="6"/>
  <c r="V194" i="6"/>
  <c r="V185" i="6"/>
  <c r="V184" i="6"/>
  <c r="V183" i="6"/>
  <c r="V175" i="6"/>
  <c r="V182" i="6"/>
  <c r="V164" i="6"/>
  <c r="V181" i="6"/>
  <c r="V177" i="6"/>
  <c r="V172" i="6"/>
  <c r="V163" i="6"/>
  <c r="V155" i="6"/>
  <c r="V147" i="6"/>
  <c r="V193" i="6"/>
  <c r="V180" i="6"/>
  <c r="V176" i="6"/>
  <c r="V174" i="6"/>
  <c r="V173" i="6"/>
  <c r="V168" i="6"/>
  <c r="V160" i="6"/>
  <c r="V152" i="6"/>
  <c r="V169" i="6"/>
  <c r="V159" i="6"/>
  <c r="V158" i="6"/>
  <c r="V157" i="6"/>
  <c r="V166" i="6"/>
  <c r="V162" i="6"/>
  <c r="V156" i="6"/>
  <c r="V154" i="6"/>
  <c r="V153" i="6"/>
  <c r="V146" i="6"/>
  <c r="V167" i="6"/>
  <c r="V142" i="6"/>
  <c r="V140" i="6"/>
  <c r="V132" i="6"/>
  <c r="V171" i="6"/>
  <c r="V165" i="6"/>
  <c r="V150" i="6"/>
  <c r="V149" i="6"/>
  <c r="V139" i="6"/>
  <c r="V131" i="6"/>
  <c r="V161" i="6"/>
  <c r="V145" i="6"/>
  <c r="V141" i="6"/>
  <c r="V138" i="6"/>
  <c r="V144" i="6"/>
  <c r="V137" i="6"/>
  <c r="V135" i="6"/>
  <c r="V118" i="6"/>
  <c r="V126" i="6"/>
  <c r="V127" i="6"/>
  <c r="V125" i="6"/>
  <c r="V143" i="6"/>
  <c r="V130" i="6"/>
  <c r="V129" i="6"/>
  <c r="V123" i="6"/>
  <c r="V151" i="6"/>
  <c r="V136" i="6"/>
  <c r="V133" i="6"/>
  <c r="V148" i="6"/>
  <c r="V134" i="6"/>
  <c r="V128" i="6"/>
  <c r="V120" i="6"/>
  <c r="V119" i="6"/>
  <c r="V117" i="6"/>
  <c r="V121" i="6"/>
  <c r="V114" i="6"/>
  <c r="V113" i="6"/>
  <c r="V124" i="6"/>
  <c r="V116" i="6"/>
  <c r="V112" i="6"/>
  <c r="V109" i="6"/>
  <c r="V99" i="6"/>
  <c r="V88" i="6"/>
  <c r="V122" i="6"/>
  <c r="V108" i="6"/>
  <c r="V98" i="6"/>
  <c r="V107" i="6"/>
  <c r="V106" i="6"/>
  <c r="V105" i="6"/>
  <c r="V97" i="6"/>
  <c r="V96" i="6"/>
  <c r="V95" i="6"/>
  <c r="V85" i="6"/>
  <c r="V115" i="6"/>
  <c r="V94" i="6"/>
  <c r="V92" i="6"/>
  <c r="V84" i="6"/>
  <c r="V102" i="6"/>
  <c r="V91" i="6"/>
  <c r="V93" i="6"/>
  <c r="V74" i="6"/>
  <c r="V66" i="6"/>
  <c r="V56" i="6"/>
  <c r="V81" i="6"/>
  <c r="V80" i="6"/>
  <c r="V73" i="6"/>
  <c r="V65" i="6"/>
  <c r="V63" i="6"/>
  <c r="V55" i="6"/>
  <c r="V89" i="6"/>
  <c r="V83" i="6"/>
  <c r="V72" i="6"/>
  <c r="V77" i="6"/>
  <c r="V76" i="6"/>
  <c r="V71" i="6"/>
  <c r="V64" i="6"/>
  <c r="V61" i="6"/>
  <c r="V90" i="6"/>
  <c r="V87" i="6"/>
  <c r="V79" i="6"/>
  <c r="V75" i="6"/>
  <c r="V69" i="6"/>
  <c r="V59" i="6"/>
  <c r="V110" i="6"/>
  <c r="V40" i="6"/>
  <c r="V32" i="6"/>
  <c r="V70" i="6"/>
  <c r="V82" i="6"/>
  <c r="U45" i="6"/>
  <c r="V38" i="6"/>
  <c r="V30" i="6"/>
  <c r="V100" i="6"/>
  <c r="V86" i="6"/>
  <c r="V78" i="6"/>
  <c r="V33" i="6"/>
  <c r="V24" i="6"/>
  <c r="V57" i="6"/>
  <c r="V67" i="6"/>
  <c r="V28" i="6"/>
  <c r="V58" i="6"/>
  <c r="V36" i="6"/>
  <c r="V34" i="6"/>
  <c r="V27" i="6"/>
  <c r="V60" i="6"/>
  <c r="V53" i="6"/>
  <c r="V23" i="6"/>
  <c r="V5" i="6"/>
  <c r="V101" i="6"/>
  <c r="V62" i="6"/>
  <c r="V54" i="6"/>
  <c r="V31" i="6"/>
  <c r="V26" i="6"/>
  <c r="V25" i="6"/>
  <c r="V35" i="6"/>
  <c r="V39" i="6"/>
  <c r="AL229" i="6"/>
  <c r="AL232" i="6"/>
  <c r="AL227" i="6"/>
  <c r="AL226" i="6"/>
  <c r="AL220" i="6"/>
  <c r="AL219" i="6"/>
  <c r="AL228" i="6"/>
  <c r="AL225" i="6"/>
  <c r="AL223" i="6"/>
  <c r="AL222" i="6"/>
  <c r="AL218" i="6"/>
  <c r="AL224" i="6"/>
  <c r="AL221" i="6"/>
  <c r="AL217" i="6"/>
  <c r="AL203" i="6"/>
  <c r="AL202" i="6"/>
  <c r="AL201" i="6"/>
  <c r="AL206" i="6"/>
  <c r="AL196" i="6"/>
  <c r="AL193" i="6"/>
  <c r="AL200" i="6"/>
  <c r="AL199" i="6"/>
  <c r="AL198" i="6"/>
  <c r="AL192" i="6"/>
  <c r="AL207" i="6"/>
  <c r="AL205" i="6"/>
  <c r="AL195" i="6"/>
  <c r="AL183" i="6"/>
  <c r="AL182" i="6"/>
  <c r="AL174" i="6"/>
  <c r="AL194" i="6"/>
  <c r="AL189" i="6"/>
  <c r="AL180" i="6"/>
  <c r="AL187" i="6"/>
  <c r="AL179" i="6"/>
  <c r="AL191" i="6"/>
  <c r="AL177" i="6"/>
  <c r="AL170" i="6"/>
  <c r="AL159" i="6"/>
  <c r="AL151" i="6"/>
  <c r="AL143" i="6"/>
  <c r="AL185" i="6"/>
  <c r="AL178" i="6"/>
  <c r="AL188" i="6"/>
  <c r="AL186" i="6"/>
  <c r="AL181" i="6"/>
  <c r="AL176" i="6"/>
  <c r="AL175" i="6"/>
  <c r="AL173" i="6"/>
  <c r="AL165" i="6"/>
  <c r="AL190" i="6"/>
  <c r="AL164" i="6"/>
  <c r="AL156" i="6"/>
  <c r="AL148" i="6"/>
  <c r="AL160" i="6"/>
  <c r="AL158" i="6"/>
  <c r="AL169" i="6"/>
  <c r="AL146" i="6"/>
  <c r="AL145" i="6"/>
  <c r="AL157" i="6"/>
  <c r="AL155" i="6"/>
  <c r="AL154" i="6"/>
  <c r="AL153" i="6"/>
  <c r="AL172" i="6"/>
  <c r="AL162" i="6"/>
  <c r="AL152" i="6"/>
  <c r="AL150" i="6"/>
  <c r="AL163" i="6"/>
  <c r="AL161" i="6"/>
  <c r="AL138" i="6"/>
  <c r="AL167" i="6"/>
  <c r="AL141" i="6"/>
  <c r="AL137" i="6"/>
  <c r="AL184" i="6"/>
  <c r="AL168" i="6"/>
  <c r="AL136" i="6"/>
  <c r="AL128" i="6"/>
  <c r="AL135" i="6"/>
  <c r="AL127" i="6"/>
  <c r="AL149" i="6"/>
  <c r="AL144" i="6"/>
  <c r="AL142" i="6"/>
  <c r="AL133" i="6"/>
  <c r="AL123" i="6"/>
  <c r="AL121" i="6"/>
  <c r="AL140" i="6"/>
  <c r="AL132" i="6"/>
  <c r="AL129" i="6"/>
  <c r="AL118" i="6"/>
  <c r="AL126" i="6"/>
  <c r="AL134" i="6"/>
  <c r="AL120" i="6"/>
  <c r="AL131" i="6"/>
  <c r="AL130" i="6"/>
  <c r="AL119" i="6"/>
  <c r="AL166" i="6"/>
  <c r="AL124" i="6"/>
  <c r="AL122" i="6"/>
  <c r="AL116" i="6"/>
  <c r="AL147" i="6"/>
  <c r="AL139" i="6"/>
  <c r="AL114" i="6"/>
  <c r="AL113" i="6"/>
  <c r="AL94" i="6"/>
  <c r="AL93" i="6"/>
  <c r="AL92" i="6"/>
  <c r="AL84" i="6"/>
  <c r="AL112" i="6"/>
  <c r="AL102" i="6"/>
  <c r="AL125" i="6"/>
  <c r="AL111" i="6"/>
  <c r="AL101" i="6"/>
  <c r="AL117" i="6"/>
  <c r="AL100" i="6"/>
  <c r="AL89" i="6"/>
  <c r="AL78" i="6"/>
  <c r="AL109" i="6"/>
  <c r="AL99" i="6"/>
  <c r="AL88" i="6"/>
  <c r="AL110" i="6"/>
  <c r="AL108" i="6"/>
  <c r="AL98" i="6"/>
  <c r="AL85" i="6"/>
  <c r="AL77" i="6"/>
  <c r="AL76" i="6"/>
  <c r="AL70" i="6"/>
  <c r="AL60" i="6"/>
  <c r="AL115" i="6"/>
  <c r="AL95" i="6"/>
  <c r="AL91" i="6"/>
  <c r="AL75" i="6"/>
  <c r="AL69" i="6"/>
  <c r="AL59" i="6"/>
  <c r="AL105" i="6"/>
  <c r="AL83" i="6"/>
  <c r="AL81" i="6"/>
  <c r="AL106" i="6"/>
  <c r="AL67" i="6"/>
  <c r="AL57" i="6"/>
  <c r="AL107" i="6"/>
  <c r="AL97" i="6"/>
  <c r="AL96" i="6"/>
  <c r="AL87" i="6"/>
  <c r="AL86" i="6"/>
  <c r="AL80" i="6"/>
  <c r="AL79" i="6"/>
  <c r="AL73" i="6"/>
  <c r="AL65" i="6"/>
  <c r="AL64" i="6"/>
  <c r="AL63" i="6"/>
  <c r="AL72" i="6"/>
  <c r="AK45" i="6"/>
  <c r="AL36" i="6"/>
  <c r="AL90" i="6"/>
  <c r="AL74" i="6"/>
  <c r="AL61" i="6"/>
  <c r="AL34" i="6"/>
  <c r="AL26" i="6"/>
  <c r="AL53" i="6"/>
  <c r="AL33" i="6"/>
  <c r="AL71" i="6"/>
  <c r="AL66" i="6"/>
  <c r="AL82" i="6"/>
  <c r="AL55" i="6"/>
  <c r="AL54" i="6"/>
  <c r="AL35" i="6"/>
  <c r="AL62" i="6"/>
  <c r="AL30" i="6"/>
  <c r="AL29" i="6"/>
  <c r="AL27" i="6"/>
  <c r="AL25" i="6"/>
  <c r="AK12" i="6"/>
  <c r="AL58" i="6"/>
  <c r="AL56" i="6"/>
  <c r="AL38" i="6"/>
  <c r="AL31" i="6"/>
  <c r="AL24" i="6"/>
  <c r="AL32" i="6"/>
  <c r="AL28" i="6"/>
  <c r="AL40" i="6"/>
  <c r="AL39" i="6"/>
  <c r="AL23" i="6"/>
  <c r="AM46" i="6"/>
  <c r="AM4" i="6"/>
  <c r="AN218" i="6" s="1"/>
  <c r="BE46" i="6"/>
  <c r="BF46" i="6"/>
  <c r="CV5" i="6"/>
  <c r="AN19" i="6"/>
  <c r="AM47" i="6"/>
  <c r="AM43" i="6"/>
  <c r="BD43" i="6"/>
  <c r="BF43" i="6"/>
  <c r="BE43" i="6"/>
  <c r="BP6" i="6"/>
  <c r="CT6" i="6"/>
  <c r="I48" i="6"/>
  <c r="J48" i="6"/>
  <c r="AL7" i="6"/>
  <c r="CT7" i="6"/>
  <c r="J8" i="6"/>
  <c r="I8" i="6"/>
  <c r="Z9" i="6"/>
  <c r="W8" i="6"/>
  <c r="AX9" i="6"/>
  <c r="AW9" i="6"/>
  <c r="Z10" i="6"/>
  <c r="W14" i="6"/>
  <c r="CD10" i="6"/>
  <c r="CC10" i="6"/>
  <c r="BF11" i="6"/>
  <c r="BC15" i="6"/>
  <c r="U12" i="6"/>
  <c r="CU13" i="6"/>
  <c r="CV13" i="6" s="1"/>
  <c r="AM13" i="6"/>
  <c r="AU14" i="6"/>
  <c r="AZ16" i="6"/>
  <c r="D17" i="6"/>
  <c r="N17" i="6"/>
  <c r="BP17" i="6"/>
  <c r="CB17" i="6"/>
  <c r="X17" i="6"/>
  <c r="AM17" i="6"/>
  <c r="AN18" i="6"/>
  <c r="CR18" i="6"/>
  <c r="DA19" i="6"/>
  <c r="DB19" i="6"/>
  <c r="BM19" i="6"/>
  <c r="BN19" i="6"/>
  <c r="J20" i="6"/>
  <c r="I20" i="6"/>
  <c r="CC53" i="6"/>
  <c r="CB53" i="6"/>
  <c r="CD53" i="6"/>
  <c r="L30" i="5"/>
  <c r="E36" i="5"/>
  <c r="M36" i="5"/>
  <c r="F229" i="6"/>
  <c r="F232" i="6"/>
  <c r="F220" i="6"/>
  <c r="F219" i="6"/>
  <c r="F228" i="6"/>
  <c r="F224" i="6"/>
  <c r="F221" i="6"/>
  <c r="F225" i="6"/>
  <c r="F226" i="6"/>
  <c r="F218" i="6"/>
  <c r="F223" i="6"/>
  <c r="F217" i="6"/>
  <c r="F222" i="6"/>
  <c r="F203" i="6"/>
  <c r="F207" i="6"/>
  <c r="F202" i="6"/>
  <c r="F201" i="6"/>
  <c r="F206" i="6"/>
  <c r="F193" i="6"/>
  <c r="F192" i="6"/>
  <c r="F200" i="6"/>
  <c r="F194" i="6"/>
  <c r="F196" i="6"/>
  <c r="F198" i="6"/>
  <c r="F227" i="6"/>
  <c r="F205" i="6"/>
  <c r="F191" i="6"/>
  <c r="F183" i="6"/>
  <c r="F182" i="6"/>
  <c r="F174" i="6"/>
  <c r="F180" i="6"/>
  <c r="F199" i="6"/>
  <c r="F195" i="6"/>
  <c r="F189" i="6"/>
  <c r="F187" i="6"/>
  <c r="F179" i="6"/>
  <c r="F190" i="6"/>
  <c r="F186" i="6"/>
  <c r="F169" i="6"/>
  <c r="F181" i="6"/>
  <c r="F177" i="6"/>
  <c r="F159" i="6"/>
  <c r="F151" i="6"/>
  <c r="F143" i="6"/>
  <c r="F184" i="6"/>
  <c r="F178" i="6"/>
  <c r="F172" i="6"/>
  <c r="F167" i="6"/>
  <c r="F165" i="6"/>
  <c r="F176" i="6"/>
  <c r="F164" i="6"/>
  <c r="F156" i="6"/>
  <c r="F148" i="6"/>
  <c r="F173" i="6"/>
  <c r="F149" i="6"/>
  <c r="F175" i="6"/>
  <c r="F162" i="6"/>
  <c r="F144" i="6"/>
  <c r="F163" i="6"/>
  <c r="F160" i="6"/>
  <c r="F158" i="6"/>
  <c r="F168" i="6"/>
  <c r="F166" i="6"/>
  <c r="F157" i="6"/>
  <c r="F170" i="6"/>
  <c r="F138" i="6"/>
  <c r="F188" i="6"/>
  <c r="F171" i="6"/>
  <c r="F161" i="6"/>
  <c r="F154" i="6"/>
  <c r="F137" i="6"/>
  <c r="F142" i="6"/>
  <c r="F136" i="6"/>
  <c r="F128" i="6"/>
  <c r="F145" i="6"/>
  <c r="F135" i="6"/>
  <c r="F127" i="6"/>
  <c r="F185" i="6"/>
  <c r="F150" i="6"/>
  <c r="F146" i="6"/>
  <c r="F153" i="6"/>
  <c r="F133" i="6"/>
  <c r="F123" i="6"/>
  <c r="F155" i="6"/>
  <c r="F147" i="6"/>
  <c r="F141" i="6"/>
  <c r="F139" i="6"/>
  <c r="F121" i="6"/>
  <c r="F118" i="6"/>
  <c r="F132" i="6"/>
  <c r="F130" i="6"/>
  <c r="F126" i="6"/>
  <c r="F152" i="6"/>
  <c r="F140" i="6"/>
  <c r="F134" i="6"/>
  <c r="F120" i="6"/>
  <c r="F131" i="6"/>
  <c r="F119" i="6"/>
  <c r="F129" i="6"/>
  <c r="F124" i="6"/>
  <c r="F122" i="6"/>
  <c r="F117" i="6"/>
  <c r="F116" i="6"/>
  <c r="F125" i="6"/>
  <c r="F114" i="6"/>
  <c r="F113" i="6"/>
  <c r="F94" i="6"/>
  <c r="F92" i="6"/>
  <c r="F84" i="6"/>
  <c r="F102" i="6"/>
  <c r="F112" i="6"/>
  <c r="F111" i="6"/>
  <c r="F101" i="6"/>
  <c r="F110" i="6"/>
  <c r="F100" i="6"/>
  <c r="F89" i="6"/>
  <c r="F78" i="6"/>
  <c r="F109" i="6"/>
  <c r="F99" i="6"/>
  <c r="F88" i="6"/>
  <c r="F115" i="6"/>
  <c r="F108" i="6"/>
  <c r="F98" i="6"/>
  <c r="F96" i="6"/>
  <c r="F82" i="6"/>
  <c r="F79" i="6"/>
  <c r="F70" i="6"/>
  <c r="F60" i="6"/>
  <c r="F85" i="6"/>
  <c r="F69" i="6"/>
  <c r="F59" i="6"/>
  <c r="F83" i="6"/>
  <c r="F67" i="6"/>
  <c r="F57" i="6"/>
  <c r="F81" i="6"/>
  <c r="F80" i="6"/>
  <c r="F105" i="6"/>
  <c r="F95" i="6"/>
  <c r="F87" i="6"/>
  <c r="F76" i="6"/>
  <c r="F73" i="6"/>
  <c r="F65" i="6"/>
  <c r="F63" i="6"/>
  <c r="F86" i="6"/>
  <c r="F74" i="6"/>
  <c r="F71" i="6"/>
  <c r="F64" i="6"/>
  <c r="F61" i="6"/>
  <c r="F36" i="6"/>
  <c r="F107" i="6"/>
  <c r="F34" i="6"/>
  <c r="F33" i="6"/>
  <c r="F97" i="6"/>
  <c r="F91" i="6"/>
  <c r="F90" i="6"/>
  <c r="F75" i="6"/>
  <c r="F66" i="6"/>
  <c r="F56" i="6"/>
  <c r="F72" i="6"/>
  <c r="F58" i="6"/>
  <c r="F35" i="6"/>
  <c r="F32" i="6"/>
  <c r="F29" i="6"/>
  <c r="F26" i="6"/>
  <c r="E45" i="6"/>
  <c r="F25" i="6"/>
  <c r="F38" i="6"/>
  <c r="F28" i="6"/>
  <c r="F24" i="6"/>
  <c r="F62" i="6"/>
  <c r="F54" i="6"/>
  <c r="F30" i="6"/>
  <c r="F23" i="6"/>
  <c r="F40" i="6"/>
  <c r="F39" i="6"/>
  <c r="F106" i="6"/>
  <c r="F53" i="6"/>
  <c r="F77" i="6"/>
  <c r="F55" i="6"/>
  <c r="F31" i="6"/>
  <c r="F27" i="6"/>
  <c r="X232" i="6"/>
  <c r="X217" i="6"/>
  <c r="X207" i="6"/>
  <c r="X206" i="6"/>
  <c r="X196" i="6"/>
  <c r="X202" i="6"/>
  <c r="X201" i="6"/>
  <c r="X195" i="6"/>
  <c r="X198" i="6"/>
  <c r="X199" i="6"/>
  <c r="X185" i="6"/>
  <c r="X177" i="6"/>
  <c r="X183" i="6"/>
  <c r="X189" i="6"/>
  <c r="X182" i="6"/>
  <c r="X188" i="6"/>
  <c r="X162" i="6"/>
  <c r="X186" i="6"/>
  <c r="X178" i="6"/>
  <c r="X174" i="6"/>
  <c r="X192" i="6"/>
  <c r="X190" i="6"/>
  <c r="X169" i="6"/>
  <c r="X191" i="6"/>
  <c r="X172" i="6"/>
  <c r="X147" i="6"/>
  <c r="X154" i="6"/>
  <c r="X146" i="6"/>
  <c r="X167" i="6"/>
  <c r="X163" i="6"/>
  <c r="X149" i="6"/>
  <c r="X139" i="6"/>
  <c r="X170" i="6"/>
  <c r="X160" i="6"/>
  <c r="X151" i="6"/>
  <c r="X148" i="6"/>
  <c r="X187" i="6"/>
  <c r="X159" i="6"/>
  <c r="X152" i="6"/>
  <c r="X131" i="6"/>
  <c r="X126" i="6"/>
  <c r="X133" i="6"/>
  <c r="X136" i="6"/>
  <c r="X112" i="6"/>
  <c r="X96" i="6"/>
  <c r="X95" i="6"/>
  <c r="X94" i="6"/>
  <c r="X92" i="6"/>
  <c r="X84" i="6"/>
  <c r="X72" i="6"/>
  <c r="X70" i="6"/>
  <c r="X87" i="6"/>
  <c r="X109" i="6"/>
  <c r="X108" i="6"/>
  <c r="X99" i="6"/>
  <c r="X98" i="6"/>
  <c r="X73" i="6"/>
  <c r="X66" i="6"/>
  <c r="X63" i="6"/>
  <c r="X28" i="6"/>
  <c r="X65" i="6"/>
  <c r="X58" i="6"/>
  <c r="X85" i="6"/>
  <c r="X60" i="6"/>
  <c r="X74" i="6"/>
  <c r="W12" i="6"/>
  <c r="X55" i="6"/>
  <c r="X31" i="6"/>
  <c r="Y4" i="6"/>
  <c r="X33" i="6"/>
  <c r="X24" i="6"/>
  <c r="W45" i="6"/>
  <c r="X39" i="6"/>
  <c r="X34" i="6"/>
  <c r="X23" i="6"/>
  <c r="BD232" i="6"/>
  <c r="BD206" i="6"/>
  <c r="BD196" i="6"/>
  <c r="BD217" i="6"/>
  <c r="BD200" i="6"/>
  <c r="BD207" i="6"/>
  <c r="BD201" i="6"/>
  <c r="BD192" i="6"/>
  <c r="BD198" i="6"/>
  <c r="BD188" i="6"/>
  <c r="BD185" i="6"/>
  <c r="BD177" i="6"/>
  <c r="BD193" i="6"/>
  <c r="BD183" i="6"/>
  <c r="BD189" i="6"/>
  <c r="BD182" i="6"/>
  <c r="BD162" i="6"/>
  <c r="BD199" i="6"/>
  <c r="BD178" i="6"/>
  <c r="BD180" i="6"/>
  <c r="BD179" i="6"/>
  <c r="BD186" i="6"/>
  <c r="BD169" i="6"/>
  <c r="BD175" i="6"/>
  <c r="BD174" i="6"/>
  <c r="BD167" i="6"/>
  <c r="BD159" i="6"/>
  <c r="BD146" i="6"/>
  <c r="BD163" i="6"/>
  <c r="BD152" i="6"/>
  <c r="BD164" i="6"/>
  <c r="BD142" i="6"/>
  <c r="BD139" i="6"/>
  <c r="BD156" i="6"/>
  <c r="BD154" i="6"/>
  <c r="BD155" i="6"/>
  <c r="BD157" i="6"/>
  <c r="BD131" i="6"/>
  <c r="BD148" i="6"/>
  <c r="BD151" i="6"/>
  <c r="BD136" i="6"/>
  <c r="BD141" i="6"/>
  <c r="BD132" i="6"/>
  <c r="BD118" i="6"/>
  <c r="BD133" i="6"/>
  <c r="BD126" i="6"/>
  <c r="BD96" i="6"/>
  <c r="BD114" i="6"/>
  <c r="BD94" i="6"/>
  <c r="BD92" i="6"/>
  <c r="BD127" i="6"/>
  <c r="BD108" i="6"/>
  <c r="BD98" i="6"/>
  <c r="BD72" i="6"/>
  <c r="BD62" i="6"/>
  <c r="BD87" i="6"/>
  <c r="BD78" i="6"/>
  <c r="BD70" i="6"/>
  <c r="BD112" i="6"/>
  <c r="BD105" i="6"/>
  <c r="BD95" i="6"/>
  <c r="BD88" i="6"/>
  <c r="BD82" i="6"/>
  <c r="BD119" i="6"/>
  <c r="BD85" i="6"/>
  <c r="BD74" i="6"/>
  <c r="BD66" i="6"/>
  <c r="BD56" i="6"/>
  <c r="BD28" i="6"/>
  <c r="BD58" i="6"/>
  <c r="BD55" i="6"/>
  <c r="BD84" i="6"/>
  <c r="BD63" i="6"/>
  <c r="BF4" i="6"/>
  <c r="BD76" i="6"/>
  <c r="BD65" i="6"/>
  <c r="BD31" i="6"/>
  <c r="BD73" i="6"/>
  <c r="BD39" i="6"/>
  <c r="BD32" i="6"/>
  <c r="BD7" i="6"/>
  <c r="BD25" i="6"/>
  <c r="BD60" i="6"/>
  <c r="BD23" i="6"/>
  <c r="CJ232" i="6"/>
  <c r="CJ196" i="6"/>
  <c r="CJ187" i="6"/>
  <c r="CJ200" i="6"/>
  <c r="CJ192" i="6"/>
  <c r="CJ198" i="6"/>
  <c r="CJ207" i="6"/>
  <c r="CJ185" i="6"/>
  <c r="CJ177" i="6"/>
  <c r="CJ183" i="6"/>
  <c r="CJ188" i="6"/>
  <c r="CJ182" i="6"/>
  <c r="CJ193" i="6"/>
  <c r="CJ170" i="6"/>
  <c r="CJ162" i="6"/>
  <c r="CJ178" i="6"/>
  <c r="CJ174" i="6"/>
  <c r="CJ165" i="6"/>
  <c r="CJ164" i="6"/>
  <c r="CJ169" i="6"/>
  <c r="CJ159" i="6"/>
  <c r="CJ189" i="6"/>
  <c r="CJ186" i="6"/>
  <c r="CJ180" i="6"/>
  <c r="CJ179" i="6"/>
  <c r="CJ157" i="6"/>
  <c r="CJ154" i="6"/>
  <c r="CJ148" i="6"/>
  <c r="CJ147" i="6"/>
  <c r="CJ144" i="6"/>
  <c r="CJ152" i="6"/>
  <c r="CJ151" i="6"/>
  <c r="CJ139" i="6"/>
  <c r="CJ146" i="6"/>
  <c r="CJ163" i="6"/>
  <c r="CJ131" i="6"/>
  <c r="CJ136" i="6"/>
  <c r="CJ133" i="6"/>
  <c r="CJ128" i="6"/>
  <c r="CJ127" i="6"/>
  <c r="CJ126" i="6"/>
  <c r="CJ119" i="6"/>
  <c r="CJ96" i="6"/>
  <c r="CJ106" i="6"/>
  <c r="CJ105" i="6"/>
  <c r="CJ94" i="6"/>
  <c r="CJ92" i="6"/>
  <c r="CJ82" i="6"/>
  <c r="CJ77" i="6"/>
  <c r="CJ74" i="6"/>
  <c r="CJ72" i="6"/>
  <c r="CJ62" i="6"/>
  <c r="CJ54" i="6"/>
  <c r="CJ112" i="6"/>
  <c r="CJ87" i="6"/>
  <c r="CJ70" i="6"/>
  <c r="CJ108" i="6"/>
  <c r="CJ98" i="6"/>
  <c r="CJ76" i="6"/>
  <c r="CJ56" i="6"/>
  <c r="CJ78" i="6"/>
  <c r="CJ73" i="6"/>
  <c r="CJ66" i="6"/>
  <c r="CJ55" i="6"/>
  <c r="CJ28" i="6"/>
  <c r="CJ84" i="6"/>
  <c r="CJ58" i="6"/>
  <c r="CJ75" i="6"/>
  <c r="CJ60" i="6"/>
  <c r="CJ65" i="6"/>
  <c r="CJ63" i="6"/>
  <c r="CJ39" i="6"/>
  <c r="CJ5" i="6"/>
  <c r="CJ25" i="6"/>
  <c r="CJ32" i="6"/>
  <c r="CJ34" i="6"/>
  <c r="CJ23" i="6"/>
  <c r="CJ31" i="6"/>
  <c r="CJ26" i="6"/>
  <c r="CJ24" i="6"/>
  <c r="CW4" i="6"/>
  <c r="CX78" i="6" s="1"/>
  <c r="AO5" i="6"/>
  <c r="BD5" i="6"/>
  <c r="BS4" i="6"/>
  <c r="BT228" i="6" s="1"/>
  <c r="BS46" i="6"/>
  <c r="BT5" i="6"/>
  <c r="BV5" i="6"/>
  <c r="N6" i="6"/>
  <c r="AO6" i="6"/>
  <c r="BD6" i="6"/>
  <c r="CI213" i="6"/>
  <c r="CJ43" i="6"/>
  <c r="CL43" i="6"/>
  <c r="CK43" i="6"/>
  <c r="AU8" i="6"/>
  <c r="Y9" i="6"/>
  <c r="BF9" i="6"/>
  <c r="BC8" i="6"/>
  <c r="BC13" i="6"/>
  <c r="CL9" i="6"/>
  <c r="CI8" i="6"/>
  <c r="CI12" i="6" s="1"/>
  <c r="Y10" i="6"/>
  <c r="BE10" i="6"/>
  <c r="CL10" i="6"/>
  <c r="CI14" i="6"/>
  <c r="BE11" i="6"/>
  <c r="CL11" i="6"/>
  <c r="CK11" i="6"/>
  <c r="CA15" i="6"/>
  <c r="BP16" i="6"/>
  <c r="CW17" i="6"/>
  <c r="X18" i="6"/>
  <c r="BC17" i="6"/>
  <c r="H19" i="6"/>
  <c r="L29" i="6"/>
  <c r="AR29" i="6"/>
  <c r="BX29" i="6"/>
  <c r="Q53" i="6"/>
  <c r="R53" i="6"/>
  <c r="BE68" i="6"/>
  <c r="BD68" i="6"/>
  <c r="BF68" i="6"/>
  <c r="N11" i="1"/>
  <c r="CA216" i="6"/>
  <c r="AO219" i="6"/>
  <c r="AN219" i="6"/>
  <c r="AP219" i="6"/>
  <c r="BN220" i="6"/>
  <c r="BM220" i="6"/>
  <c r="BL220" i="6"/>
  <c r="R221" i="6"/>
  <c r="Q221" i="6"/>
  <c r="CD221" i="6"/>
  <c r="CC221" i="6"/>
  <c r="CB221" i="6"/>
  <c r="AH222" i="6"/>
  <c r="AG222" i="6"/>
  <c r="AF222" i="6"/>
  <c r="CT222" i="6"/>
  <c r="CS222" i="6"/>
  <c r="CR222" i="6"/>
  <c r="BD223" i="6"/>
  <c r="BE223" i="6"/>
  <c r="BF223" i="6"/>
  <c r="I224" i="6"/>
  <c r="CY224" i="6"/>
  <c r="J224" i="6"/>
  <c r="BU224" i="6"/>
  <c r="BT224" i="6"/>
  <c r="BV224" i="6"/>
  <c r="X225" i="6"/>
  <c r="Z225" i="6"/>
  <c r="Y225" i="6"/>
  <c r="CJ225" i="6"/>
  <c r="CL225" i="6"/>
  <c r="CK225" i="6"/>
  <c r="AO226" i="6"/>
  <c r="AP226" i="6"/>
  <c r="AN226" i="6"/>
  <c r="D2" i="2"/>
  <c r="W53" i="6"/>
  <c r="CI53" i="6"/>
  <c r="L2" i="2"/>
  <c r="N5" i="2"/>
  <c r="O5" i="2" s="1"/>
  <c r="AM55" i="6"/>
  <c r="CY55" i="6" s="1"/>
  <c r="BF64" i="6"/>
  <c r="BD64" i="6"/>
  <c r="BE64" i="6"/>
  <c r="BM68" i="6"/>
  <c r="BN68" i="6"/>
  <c r="BL68" i="6"/>
  <c r="O3" i="1"/>
  <c r="N26" i="1"/>
  <c r="R218" i="6"/>
  <c r="Q218" i="6"/>
  <c r="O216" i="6"/>
  <c r="CL218" i="6"/>
  <c r="CK218" i="6"/>
  <c r="CJ218" i="6"/>
  <c r="CI216" i="6"/>
  <c r="I220" i="6"/>
  <c r="CY220" i="6"/>
  <c r="J220" i="6"/>
  <c r="BU220" i="6"/>
  <c r="BT220" i="6"/>
  <c r="BV220" i="6"/>
  <c r="Y221" i="6"/>
  <c r="X221" i="6"/>
  <c r="Z221" i="6"/>
  <c r="CK221" i="6"/>
  <c r="CJ221" i="6"/>
  <c r="CL221" i="6"/>
  <c r="AP222" i="6"/>
  <c r="AO222" i="6"/>
  <c r="AN222" i="6"/>
  <c r="J227" i="6"/>
  <c r="I227" i="6"/>
  <c r="CY227" i="6"/>
  <c r="BT227" i="6"/>
  <c r="BV227" i="6"/>
  <c r="BU227" i="6"/>
  <c r="X228" i="6"/>
  <c r="Z228" i="6"/>
  <c r="Y228" i="6"/>
  <c r="CJ228" i="6"/>
  <c r="CL228" i="6"/>
  <c r="CK228" i="6"/>
  <c r="AP229" i="6"/>
  <c r="AO229" i="6"/>
  <c r="AN229" i="6"/>
  <c r="K2" i="2"/>
  <c r="BM64" i="6"/>
  <c r="BN64" i="6"/>
  <c r="BL64" i="6"/>
  <c r="I68" i="6"/>
  <c r="J68" i="6"/>
  <c r="CY68" i="6"/>
  <c r="BU68" i="6"/>
  <c r="BV68" i="6"/>
  <c r="BT68" i="6"/>
  <c r="AW80" i="6"/>
  <c r="AV80" i="6"/>
  <c r="AP93" i="6"/>
  <c r="AO93" i="6"/>
  <c r="AN93" i="6"/>
  <c r="BN104" i="6"/>
  <c r="BM104" i="6"/>
  <c r="BL104" i="6"/>
  <c r="J111" i="6"/>
  <c r="I111" i="6"/>
  <c r="BU111" i="6"/>
  <c r="BT111" i="6"/>
  <c r="AG117" i="6"/>
  <c r="AF117" i="6"/>
  <c r="AH117" i="6"/>
  <c r="CS117" i="6"/>
  <c r="CR117" i="6"/>
  <c r="CT117" i="6"/>
  <c r="I122" i="6"/>
  <c r="J122" i="6"/>
  <c r="CY122" i="6"/>
  <c r="BU122" i="6"/>
  <c r="BV122" i="6"/>
  <c r="BT122" i="6"/>
  <c r="BN171" i="6"/>
  <c r="BM171" i="6"/>
  <c r="BL171" i="6"/>
  <c r="J205" i="6"/>
  <c r="I205" i="6"/>
  <c r="CY205" i="6"/>
  <c r="BV205" i="6"/>
  <c r="BU205" i="6"/>
  <c r="BT205" i="6"/>
  <c r="AX22" i="6"/>
  <c r="AV22" i="6"/>
  <c r="AU21" i="6"/>
  <c r="AW22" i="6"/>
  <c r="BE29" i="6"/>
  <c r="BD29" i="6"/>
  <c r="BF29" i="6"/>
  <c r="S255" i="2"/>
  <c r="AW37" i="6"/>
  <c r="AV37" i="6"/>
  <c r="AX37" i="6"/>
  <c r="I281" i="2"/>
  <c r="F291" i="2"/>
  <c r="G15" i="4"/>
  <c r="G30" i="4" s="1"/>
  <c r="H24" i="1"/>
  <c r="AG208" i="6"/>
  <c r="AF208" i="6"/>
  <c r="AH208" i="6"/>
  <c r="Z218" i="6"/>
  <c r="M40" i="1"/>
  <c r="BF219" i="6"/>
  <c r="BD219" i="6"/>
  <c r="CY223" i="6"/>
  <c r="J223" i="6"/>
  <c r="I223" i="6"/>
  <c r="BV223" i="6"/>
  <c r="BU223" i="6"/>
  <c r="BT223" i="6"/>
  <c r="Y224" i="6"/>
  <c r="X224" i="6"/>
  <c r="Z224" i="6"/>
  <c r="CL224" i="6"/>
  <c r="CK224" i="6"/>
  <c r="CJ224" i="6"/>
  <c r="AP225" i="6"/>
  <c r="AN225" i="6"/>
  <c r="AO225" i="6"/>
  <c r="BD226" i="6"/>
  <c r="BF226" i="6"/>
  <c r="BE226" i="6"/>
  <c r="R227" i="6"/>
  <c r="Q227" i="6"/>
  <c r="CD227" i="6"/>
  <c r="CB227" i="6"/>
  <c r="CC227" i="6"/>
  <c r="AH228" i="6"/>
  <c r="AG228" i="6"/>
  <c r="AF228" i="6"/>
  <c r="CT228" i="6"/>
  <c r="CS228" i="6"/>
  <c r="CR228" i="6"/>
  <c r="AW229" i="6"/>
  <c r="AV229" i="6"/>
  <c r="AX229" i="6"/>
  <c r="I54" i="4"/>
  <c r="I55" i="4" s="1"/>
  <c r="C2" i="2"/>
  <c r="F3" i="2"/>
  <c r="J64" i="6"/>
  <c r="I64" i="6"/>
  <c r="BV64" i="6"/>
  <c r="BU64" i="6"/>
  <c r="BT64" i="6"/>
  <c r="Q68" i="6"/>
  <c r="R68" i="6"/>
  <c r="CC68" i="6"/>
  <c r="CD68" i="6"/>
  <c r="CB68" i="6"/>
  <c r="BE80" i="6"/>
  <c r="BD80" i="6"/>
  <c r="S30" i="2"/>
  <c r="H53" i="2"/>
  <c r="J104" i="6"/>
  <c r="I104" i="6"/>
  <c r="BU104" i="6"/>
  <c r="BT104" i="6"/>
  <c r="R111" i="6"/>
  <c r="Q111" i="6"/>
  <c r="CD111" i="6"/>
  <c r="CC111" i="6"/>
  <c r="CB111" i="6"/>
  <c r="CY171" i="6"/>
  <c r="I171" i="6"/>
  <c r="J171" i="6"/>
  <c r="BV171" i="6"/>
  <c r="BU171" i="6"/>
  <c r="BT171" i="6"/>
  <c r="Q197" i="6"/>
  <c r="R197" i="6"/>
  <c r="CC197" i="6"/>
  <c r="CB197" i="6"/>
  <c r="CD197" i="6"/>
  <c r="R205" i="6"/>
  <c r="Q205" i="6"/>
  <c r="CB205" i="6"/>
  <c r="CD205" i="6"/>
  <c r="CC205" i="6"/>
  <c r="AP206" i="6"/>
  <c r="AO206" i="6"/>
  <c r="AN206" i="6"/>
  <c r="BC22" i="6"/>
  <c r="H269" i="2"/>
  <c r="N248" i="2"/>
  <c r="BM29" i="6"/>
  <c r="BL29" i="6"/>
  <c r="BN29" i="6"/>
  <c r="BE37" i="6"/>
  <c r="BD37" i="6"/>
  <c r="BF37" i="6"/>
  <c r="S263" i="2"/>
  <c r="F269" i="2"/>
  <c r="F19" i="1" s="1"/>
  <c r="F21" i="1" s="1"/>
  <c r="F275" i="2"/>
  <c r="B276" i="2"/>
  <c r="I279" i="2"/>
  <c r="J281" i="2"/>
  <c r="I195" i="3"/>
  <c r="G51" i="4"/>
  <c r="Q40" i="5"/>
  <c r="G31" i="5"/>
  <c r="Z4" i="6"/>
  <c r="AR224" i="6"/>
  <c r="AR229" i="6"/>
  <c r="AR228" i="6"/>
  <c r="AR227" i="6"/>
  <c r="AR232" i="6"/>
  <c r="AR226" i="6"/>
  <c r="AR223" i="6"/>
  <c r="AR222" i="6"/>
  <c r="AR221" i="6"/>
  <c r="AR220" i="6"/>
  <c r="AR206" i="6"/>
  <c r="AR205" i="6"/>
  <c r="AR196" i="6"/>
  <c r="AR203" i="6"/>
  <c r="AR207" i="6"/>
  <c r="AR188" i="6"/>
  <c r="AR195" i="6"/>
  <c r="AR219" i="6"/>
  <c r="AR217" i="6"/>
  <c r="AR218" i="6"/>
  <c r="AR194" i="6"/>
  <c r="AR198" i="6"/>
  <c r="AR202" i="6"/>
  <c r="AR190" i="6"/>
  <c r="AR189" i="6"/>
  <c r="AR193" i="6"/>
  <c r="AR186" i="6"/>
  <c r="AR178" i="6"/>
  <c r="AR225" i="6"/>
  <c r="AR199" i="6"/>
  <c r="AR185" i="6"/>
  <c r="AR177" i="6"/>
  <c r="AR169" i="6"/>
  <c r="AR184" i="6"/>
  <c r="AR201" i="6"/>
  <c r="AR191" i="6"/>
  <c r="AR183" i="6"/>
  <c r="AR192" i="6"/>
  <c r="AR182" i="6"/>
  <c r="AR174" i="6"/>
  <c r="AR187" i="6"/>
  <c r="AR179" i="6"/>
  <c r="AR167" i="6"/>
  <c r="AR163" i="6"/>
  <c r="AR180" i="6"/>
  <c r="AR162" i="6"/>
  <c r="AR154" i="6"/>
  <c r="AR146" i="6"/>
  <c r="AR172" i="6"/>
  <c r="AR159" i="6"/>
  <c r="AR151" i="6"/>
  <c r="AR173" i="6"/>
  <c r="AR166" i="6"/>
  <c r="AR161" i="6"/>
  <c r="AR149" i="6"/>
  <c r="AR148" i="6"/>
  <c r="AR176" i="6"/>
  <c r="AR168" i="6"/>
  <c r="AR164" i="6"/>
  <c r="AR158" i="6"/>
  <c r="AR200" i="6"/>
  <c r="AR165" i="6"/>
  <c r="AR160" i="6"/>
  <c r="AR147" i="6"/>
  <c r="AR145" i="6"/>
  <c r="AR142" i="6"/>
  <c r="AR181" i="6"/>
  <c r="AR175" i="6"/>
  <c r="AR155" i="6"/>
  <c r="AR150" i="6"/>
  <c r="AR140" i="6"/>
  <c r="AR144" i="6"/>
  <c r="AR139" i="6"/>
  <c r="AR131" i="6"/>
  <c r="AR157" i="6"/>
  <c r="AR138" i="6"/>
  <c r="AR130" i="6"/>
  <c r="AR153" i="6"/>
  <c r="AR143" i="6"/>
  <c r="AR170" i="6"/>
  <c r="AR136" i="6"/>
  <c r="AR126" i="6"/>
  <c r="AR133" i="6"/>
  <c r="AR132" i="6"/>
  <c r="AR128" i="6"/>
  <c r="AR125" i="6"/>
  <c r="AR116" i="6"/>
  <c r="AR141" i="6"/>
  <c r="AR134" i="6"/>
  <c r="AR124" i="6"/>
  <c r="AR156" i="6"/>
  <c r="AR152" i="6"/>
  <c r="AR137" i="6"/>
  <c r="AR135" i="6"/>
  <c r="AR123" i="6"/>
  <c r="AR129" i="6"/>
  <c r="AR121" i="6"/>
  <c r="AR112" i="6"/>
  <c r="AR127" i="6"/>
  <c r="AR120" i="6"/>
  <c r="AR119" i="6"/>
  <c r="AR118" i="6"/>
  <c r="AR110" i="6"/>
  <c r="AR108" i="6"/>
  <c r="AR98" i="6"/>
  <c r="AR87" i="6"/>
  <c r="AR114" i="6"/>
  <c r="AR107" i="6"/>
  <c r="AR97" i="6"/>
  <c r="AR96" i="6"/>
  <c r="AR94" i="6"/>
  <c r="AR92" i="6"/>
  <c r="AR84" i="6"/>
  <c r="AR115" i="6"/>
  <c r="AR102" i="6"/>
  <c r="AR91" i="6"/>
  <c r="AR83" i="6"/>
  <c r="AR101" i="6"/>
  <c r="AR90" i="6"/>
  <c r="AR79" i="6"/>
  <c r="AR73" i="6"/>
  <c r="AR65" i="6"/>
  <c r="AR63" i="6"/>
  <c r="AR55" i="6"/>
  <c r="AR72" i="6"/>
  <c r="AR62" i="6"/>
  <c r="AR54" i="6"/>
  <c r="AR88" i="6"/>
  <c r="AR86" i="6"/>
  <c r="AR78" i="6"/>
  <c r="AR71" i="6"/>
  <c r="AR68" i="6"/>
  <c r="AR77" i="6"/>
  <c r="AR70" i="6"/>
  <c r="AR60" i="6"/>
  <c r="AR85" i="6"/>
  <c r="AR75" i="6"/>
  <c r="AR58" i="6"/>
  <c r="AR74" i="6"/>
  <c r="AR39" i="6"/>
  <c r="AR31" i="6"/>
  <c r="AR109" i="6"/>
  <c r="AR89" i="6"/>
  <c r="AR69" i="6"/>
  <c r="AR66" i="6"/>
  <c r="AR81" i="6"/>
  <c r="AR64" i="6"/>
  <c r="AR59" i="6"/>
  <c r="AR57" i="6"/>
  <c r="AR36" i="6"/>
  <c r="AR28" i="6"/>
  <c r="AR100" i="6"/>
  <c r="AR99" i="6"/>
  <c r="AR76" i="6"/>
  <c r="AR67" i="6"/>
  <c r="AR34" i="6"/>
  <c r="AR26" i="6"/>
  <c r="AR23" i="6"/>
  <c r="AR7" i="6"/>
  <c r="AR6" i="6"/>
  <c r="AR5" i="6"/>
  <c r="AR52" i="6"/>
  <c r="AR56" i="6"/>
  <c r="AR40" i="6"/>
  <c r="AR33" i="6"/>
  <c r="AR35" i="6"/>
  <c r="AR61" i="6"/>
  <c r="AQ45" i="6"/>
  <c r="AR37" i="6"/>
  <c r="AR27" i="6"/>
  <c r="AR25" i="6"/>
  <c r="AR17" i="6"/>
  <c r="AR30" i="6"/>
  <c r="AR24" i="6"/>
  <c r="AR22" i="6"/>
  <c r="AR32" i="6"/>
  <c r="AR38" i="6"/>
  <c r="BE4" i="6"/>
  <c r="CK4" i="6"/>
  <c r="N5" i="6"/>
  <c r="AP5" i="6"/>
  <c r="BU5" i="6"/>
  <c r="O47" i="6"/>
  <c r="O43" i="6"/>
  <c r="R6" i="6"/>
  <c r="P19" i="6"/>
  <c r="AP6" i="6"/>
  <c r="BS47" i="6"/>
  <c r="BS43" i="6"/>
  <c r="BT6" i="6"/>
  <c r="CJ6" i="6"/>
  <c r="CJ7" i="6"/>
  <c r="O8" i="6"/>
  <c r="BE9" i="6"/>
  <c r="CK9" i="6"/>
  <c r="AH10" i="6"/>
  <c r="AE8" i="6"/>
  <c r="CK10" i="6"/>
  <c r="E12" i="6"/>
  <c r="AY12" i="6"/>
  <c r="J13" i="6"/>
  <c r="I13" i="6"/>
  <c r="AU15" i="6"/>
  <c r="F17" i="6"/>
  <c r="BR17" i="6"/>
  <c r="BD18" i="6"/>
  <c r="BS17" i="6"/>
  <c r="BY42" i="6"/>
  <c r="BZ21" i="6"/>
  <c r="AK42" i="6"/>
  <c r="AL21" i="6"/>
  <c r="L15" i="4"/>
  <c r="L30" i="4" s="1"/>
  <c r="N6" i="1"/>
  <c r="O6" i="1" s="1"/>
  <c r="D273" i="2"/>
  <c r="D34" i="1"/>
  <c r="L273" i="2"/>
  <c r="L34" i="1"/>
  <c r="F35" i="1"/>
  <c r="I24" i="1"/>
  <c r="E40" i="1"/>
  <c r="BV219" i="6"/>
  <c r="BU219" i="6"/>
  <c r="BT219" i="6"/>
  <c r="Z220" i="6"/>
  <c r="Y220" i="6"/>
  <c r="X220" i="6"/>
  <c r="CL220" i="6"/>
  <c r="CK220" i="6"/>
  <c r="CJ220" i="6"/>
  <c r="AP221" i="6"/>
  <c r="AO221" i="6"/>
  <c r="AN221" i="6"/>
  <c r="BD222" i="6"/>
  <c r="BF222" i="6"/>
  <c r="BE222" i="6"/>
  <c r="R223" i="6"/>
  <c r="Q223" i="6"/>
  <c r="CC223" i="6"/>
  <c r="CB223" i="6"/>
  <c r="CD223" i="6"/>
  <c r="AG224" i="6"/>
  <c r="AH224" i="6"/>
  <c r="AF224" i="6"/>
  <c r="CS224" i="6"/>
  <c r="CT224" i="6"/>
  <c r="CR224" i="6"/>
  <c r="AX225" i="6"/>
  <c r="AW225" i="6"/>
  <c r="AV225" i="6"/>
  <c r="BN226" i="6"/>
  <c r="BM226" i="6"/>
  <c r="BL226" i="6"/>
  <c r="X227" i="6"/>
  <c r="Z227" i="6"/>
  <c r="Y227" i="6"/>
  <c r="CJ227" i="6"/>
  <c r="CL227" i="6"/>
  <c r="CK227" i="6"/>
  <c r="AP228" i="6"/>
  <c r="AO228" i="6"/>
  <c r="AN228" i="6"/>
  <c r="BF229" i="6"/>
  <c r="BE229" i="6"/>
  <c r="BD229" i="6"/>
  <c r="AW53" i="6"/>
  <c r="AV53" i="6"/>
  <c r="AX53" i="6"/>
  <c r="R64" i="6"/>
  <c r="Q64" i="6"/>
  <c r="CB64" i="6"/>
  <c r="CD64" i="6"/>
  <c r="CC64" i="6"/>
  <c r="Y68" i="6"/>
  <c r="Z68" i="6"/>
  <c r="X68" i="6"/>
  <c r="CK68" i="6"/>
  <c r="CL68" i="6"/>
  <c r="CJ68" i="6"/>
  <c r="BL80" i="6"/>
  <c r="BM80" i="6"/>
  <c r="BD93" i="6"/>
  <c r="BE93" i="6"/>
  <c r="I53" i="2"/>
  <c r="BK103" i="6" s="1"/>
  <c r="R104" i="6"/>
  <c r="Q104" i="6"/>
  <c r="CC104" i="6"/>
  <c r="CB104" i="6"/>
  <c r="Z111" i="6"/>
  <c r="Y111" i="6"/>
  <c r="X111" i="6"/>
  <c r="CK111" i="6"/>
  <c r="CJ111" i="6"/>
  <c r="S67" i="2"/>
  <c r="Y122" i="6"/>
  <c r="Z122" i="6"/>
  <c r="X122" i="6"/>
  <c r="CK122" i="6"/>
  <c r="CL122" i="6"/>
  <c r="CJ122" i="6"/>
  <c r="R171" i="6"/>
  <c r="Q171" i="6"/>
  <c r="CD171" i="6"/>
  <c r="CC171" i="6"/>
  <c r="CB171" i="6"/>
  <c r="Y197" i="6"/>
  <c r="X197" i="6"/>
  <c r="Z197" i="6"/>
  <c r="CK197" i="6"/>
  <c r="CJ197" i="6"/>
  <c r="CL197" i="6"/>
  <c r="X205" i="6"/>
  <c r="Z205" i="6"/>
  <c r="Y205" i="6"/>
  <c r="CJ205" i="6"/>
  <c r="CL205" i="6"/>
  <c r="CK205" i="6"/>
  <c r="N176" i="2"/>
  <c r="AX218" i="6"/>
  <c r="AW218" i="6"/>
  <c r="AV218" i="6"/>
  <c r="BN22" i="6"/>
  <c r="BL22" i="6"/>
  <c r="BK21" i="6"/>
  <c r="BK42" i="6" s="1"/>
  <c r="BM22" i="6"/>
  <c r="O249" i="2"/>
  <c r="I29" i="6"/>
  <c r="J29" i="6"/>
  <c r="CY29" i="6"/>
  <c r="BU29" i="6"/>
  <c r="BT29" i="6"/>
  <c r="BV29" i="6"/>
  <c r="BM37" i="6"/>
  <c r="BL37" i="6"/>
  <c r="BN37" i="6"/>
  <c r="G269" i="2"/>
  <c r="G19" i="1" s="1"/>
  <c r="G21" i="1" s="1"/>
  <c r="B272" i="2"/>
  <c r="L276" i="2"/>
  <c r="I277" i="2"/>
  <c r="S3" i="3"/>
  <c r="N28" i="3"/>
  <c r="O28" i="3" s="1"/>
  <c r="H51" i="3"/>
  <c r="S51" i="3" s="1"/>
  <c r="S52" i="3"/>
  <c r="F10" i="4"/>
  <c r="D15" i="4"/>
  <c r="D30" i="4" s="1"/>
  <c r="P31" i="5"/>
  <c r="N30" i="5"/>
  <c r="O36" i="5"/>
  <c r="L224" i="6"/>
  <c r="L232" i="6"/>
  <c r="L229" i="6"/>
  <c r="L228" i="6"/>
  <c r="L227" i="6"/>
  <c r="L226" i="6"/>
  <c r="L225" i="6"/>
  <c r="L223" i="6"/>
  <c r="L222" i="6"/>
  <c r="L221" i="6"/>
  <c r="L220" i="6"/>
  <c r="L219" i="6"/>
  <c r="L206" i="6"/>
  <c r="L205" i="6"/>
  <c r="L196" i="6"/>
  <c r="L203" i="6"/>
  <c r="L202" i="6"/>
  <c r="L218" i="6"/>
  <c r="L207" i="6"/>
  <c r="L200" i="6"/>
  <c r="L188" i="6"/>
  <c r="L199" i="6"/>
  <c r="L198" i="6"/>
  <c r="L195" i="6"/>
  <c r="L217" i="6"/>
  <c r="L197" i="6"/>
  <c r="L194" i="6"/>
  <c r="L186" i="6"/>
  <c r="L178" i="6"/>
  <c r="L192" i="6"/>
  <c r="L189" i="6"/>
  <c r="L185" i="6"/>
  <c r="L177" i="6"/>
  <c r="L169" i="6"/>
  <c r="L184" i="6"/>
  <c r="L193" i="6"/>
  <c r="L183" i="6"/>
  <c r="L191" i="6"/>
  <c r="L190" i="6"/>
  <c r="L182" i="6"/>
  <c r="L174" i="6"/>
  <c r="L176" i="6"/>
  <c r="L171" i="6"/>
  <c r="L163" i="6"/>
  <c r="L201" i="6"/>
  <c r="L173" i="6"/>
  <c r="L162" i="6"/>
  <c r="L154" i="6"/>
  <c r="L146" i="6"/>
  <c r="L175" i="6"/>
  <c r="L187" i="6"/>
  <c r="L159" i="6"/>
  <c r="L151" i="6"/>
  <c r="L181" i="6"/>
  <c r="L166" i="6"/>
  <c r="L180" i="6"/>
  <c r="L168" i="6"/>
  <c r="L164" i="6"/>
  <c r="L157" i="6"/>
  <c r="L156" i="6"/>
  <c r="L155" i="6"/>
  <c r="L153" i="6"/>
  <c r="L147" i="6"/>
  <c r="L145" i="6"/>
  <c r="L179" i="6"/>
  <c r="L167" i="6"/>
  <c r="L165" i="6"/>
  <c r="L150" i="6"/>
  <c r="L161" i="6"/>
  <c r="L172" i="6"/>
  <c r="L170" i="6"/>
  <c r="L160" i="6"/>
  <c r="L148" i="6"/>
  <c r="L140" i="6"/>
  <c r="L141" i="6"/>
  <c r="L139" i="6"/>
  <c r="L131" i="6"/>
  <c r="L158" i="6"/>
  <c r="L144" i="6"/>
  <c r="L138" i="6"/>
  <c r="L130" i="6"/>
  <c r="L152" i="6"/>
  <c r="L143" i="6"/>
  <c r="L142" i="6"/>
  <c r="L136" i="6"/>
  <c r="L127" i="6"/>
  <c r="L126" i="6"/>
  <c r="L133" i="6"/>
  <c r="L125" i="6"/>
  <c r="L116" i="6"/>
  <c r="L137" i="6"/>
  <c r="L134" i="6"/>
  <c r="L132" i="6"/>
  <c r="L129" i="6"/>
  <c r="L124" i="6"/>
  <c r="L128" i="6"/>
  <c r="L135" i="6"/>
  <c r="L115" i="6"/>
  <c r="L112" i="6"/>
  <c r="L149" i="6"/>
  <c r="L118" i="6"/>
  <c r="L123" i="6"/>
  <c r="L121" i="6"/>
  <c r="L120" i="6"/>
  <c r="L119" i="6"/>
  <c r="L108" i="6"/>
  <c r="L98" i="6"/>
  <c r="L87" i="6"/>
  <c r="L114" i="6"/>
  <c r="L107" i="6"/>
  <c r="L106" i="6"/>
  <c r="L105" i="6"/>
  <c r="L97" i="6"/>
  <c r="L96" i="6"/>
  <c r="L95" i="6"/>
  <c r="L94" i="6"/>
  <c r="L92" i="6"/>
  <c r="L84" i="6"/>
  <c r="L102" i="6"/>
  <c r="L91" i="6"/>
  <c r="L83" i="6"/>
  <c r="L82" i="6"/>
  <c r="L101" i="6"/>
  <c r="L90" i="6"/>
  <c r="L117" i="6"/>
  <c r="L80" i="6"/>
  <c r="L73" i="6"/>
  <c r="L65" i="6"/>
  <c r="L63" i="6"/>
  <c r="L55" i="6"/>
  <c r="L109" i="6"/>
  <c r="L99" i="6"/>
  <c r="L88" i="6"/>
  <c r="L77" i="6"/>
  <c r="L76" i="6"/>
  <c r="L72" i="6"/>
  <c r="L62" i="6"/>
  <c r="L54" i="6"/>
  <c r="L104" i="6"/>
  <c r="L71" i="6"/>
  <c r="L110" i="6"/>
  <c r="L100" i="6"/>
  <c r="L86" i="6"/>
  <c r="L79" i="6"/>
  <c r="L75" i="6"/>
  <c r="L70" i="6"/>
  <c r="L60" i="6"/>
  <c r="L93" i="6"/>
  <c r="L78" i="6"/>
  <c r="L58" i="6"/>
  <c r="K45" i="6"/>
  <c r="L39" i="6"/>
  <c r="L31" i="6"/>
  <c r="L85" i="6"/>
  <c r="L66" i="6"/>
  <c r="L59" i="6"/>
  <c r="L57" i="6"/>
  <c r="L67" i="6"/>
  <c r="L56" i="6"/>
  <c r="L89" i="6"/>
  <c r="L36" i="6"/>
  <c r="L28" i="6"/>
  <c r="L113" i="6"/>
  <c r="L64" i="6"/>
  <c r="L68" i="6"/>
  <c r="L23" i="6"/>
  <c r="L7" i="6"/>
  <c r="L6" i="6"/>
  <c r="L5" i="6"/>
  <c r="L74" i="6"/>
  <c r="L40" i="6"/>
  <c r="L30" i="6"/>
  <c r="K12" i="6"/>
  <c r="L37" i="6"/>
  <c r="L33" i="6"/>
  <c r="L111" i="6"/>
  <c r="L81" i="6"/>
  <c r="L38" i="6"/>
  <c r="L26" i="6"/>
  <c r="L35" i="6"/>
  <c r="L25" i="6"/>
  <c r="L22" i="6"/>
  <c r="L61" i="6"/>
  <c r="L34" i="6"/>
  <c r="L69" i="6"/>
  <c r="L27" i="6"/>
  <c r="L24" i="6"/>
  <c r="L32" i="6"/>
  <c r="BH229" i="6"/>
  <c r="BH228" i="6"/>
  <c r="BH232" i="6"/>
  <c r="BH219" i="6"/>
  <c r="BH222" i="6"/>
  <c r="BH223" i="6"/>
  <c r="BH225" i="6"/>
  <c r="BH218" i="6"/>
  <c r="BH206" i="6"/>
  <c r="BH221" i="6"/>
  <c r="BH217" i="6"/>
  <c r="BH227" i="6"/>
  <c r="BH226" i="6"/>
  <c r="BH224" i="6"/>
  <c r="BH201" i="6"/>
  <c r="BH207" i="6"/>
  <c r="BH200" i="6"/>
  <c r="BH220" i="6"/>
  <c r="BH205" i="6"/>
  <c r="BH203" i="6"/>
  <c r="BH192" i="6"/>
  <c r="BH191" i="6"/>
  <c r="BH196" i="6"/>
  <c r="BH198" i="6"/>
  <c r="BH193" i="6"/>
  <c r="BH202" i="6"/>
  <c r="BH199" i="6"/>
  <c r="BH194" i="6"/>
  <c r="BH182" i="6"/>
  <c r="BH195" i="6"/>
  <c r="BH189" i="6"/>
  <c r="BH188" i="6"/>
  <c r="BH181" i="6"/>
  <c r="BH173" i="6"/>
  <c r="BH190" i="6"/>
  <c r="BH179" i="6"/>
  <c r="BH187" i="6"/>
  <c r="BH186" i="6"/>
  <c r="BH178" i="6"/>
  <c r="BH166" i="6"/>
  <c r="BH158" i="6"/>
  <c r="BH150" i="6"/>
  <c r="BH142" i="6"/>
  <c r="BH185" i="6"/>
  <c r="BH180" i="6"/>
  <c r="BH168" i="6"/>
  <c r="BH164" i="6"/>
  <c r="BH184" i="6"/>
  <c r="BH163" i="6"/>
  <c r="BH155" i="6"/>
  <c r="BH170" i="6"/>
  <c r="BH148" i="6"/>
  <c r="BH147" i="6"/>
  <c r="BH146" i="6"/>
  <c r="BH174" i="6"/>
  <c r="BH167" i="6"/>
  <c r="BH162" i="6"/>
  <c r="BH159" i="6"/>
  <c r="BH145" i="6"/>
  <c r="BH183" i="6"/>
  <c r="BH161" i="6"/>
  <c r="BH160" i="6"/>
  <c r="BH176" i="6"/>
  <c r="BH172" i="6"/>
  <c r="BH157" i="6"/>
  <c r="BH154" i="6"/>
  <c r="BH169" i="6"/>
  <c r="BH165" i="6"/>
  <c r="BH156" i="6"/>
  <c r="BH177" i="6"/>
  <c r="BH144" i="6"/>
  <c r="BH137" i="6"/>
  <c r="BH136" i="6"/>
  <c r="BH175" i="6"/>
  <c r="BH135" i="6"/>
  <c r="BH141" i="6"/>
  <c r="BH134" i="6"/>
  <c r="BH149" i="6"/>
  <c r="BH143" i="6"/>
  <c r="BH151" i="6"/>
  <c r="BH140" i="6"/>
  <c r="BH132" i="6"/>
  <c r="BH153" i="6"/>
  <c r="BH128" i="6"/>
  <c r="BH133" i="6"/>
  <c r="BH127" i="6"/>
  <c r="BH121" i="6"/>
  <c r="BH120" i="6"/>
  <c r="BH138" i="6"/>
  <c r="BH126" i="6"/>
  <c r="BH152" i="6"/>
  <c r="BH124" i="6"/>
  <c r="BH130" i="6"/>
  <c r="BH123" i="6"/>
  <c r="BH131" i="6"/>
  <c r="BH129" i="6"/>
  <c r="BH125" i="6"/>
  <c r="BH139" i="6"/>
  <c r="BH112" i="6"/>
  <c r="BH102" i="6"/>
  <c r="BH91" i="6"/>
  <c r="BH83" i="6"/>
  <c r="BH114" i="6"/>
  <c r="BH101" i="6"/>
  <c r="BH111" i="6"/>
  <c r="BH106" i="6"/>
  <c r="BH105" i="6"/>
  <c r="BH100" i="6"/>
  <c r="BH119" i="6"/>
  <c r="BH109" i="6"/>
  <c r="BH99" i="6"/>
  <c r="BH88" i="6"/>
  <c r="BH77" i="6"/>
  <c r="BH108" i="6"/>
  <c r="BH98" i="6"/>
  <c r="BH87" i="6"/>
  <c r="BH115" i="6"/>
  <c r="BH107" i="6"/>
  <c r="BH97" i="6"/>
  <c r="BH94" i="6"/>
  <c r="BH69" i="6"/>
  <c r="BH59" i="6"/>
  <c r="BH89" i="6"/>
  <c r="BH78" i="6"/>
  <c r="BH76" i="6"/>
  <c r="BH58" i="6"/>
  <c r="BH118" i="6"/>
  <c r="BH116" i="6"/>
  <c r="BH86" i="6"/>
  <c r="BH75" i="6"/>
  <c r="BH68" i="6"/>
  <c r="BH110" i="6"/>
  <c r="BH104" i="6"/>
  <c r="BH74" i="6"/>
  <c r="BH66" i="6"/>
  <c r="BH96" i="6"/>
  <c r="BH92" i="6"/>
  <c r="BH90" i="6"/>
  <c r="BH85" i="6"/>
  <c r="BH84" i="6"/>
  <c r="BH81" i="6"/>
  <c r="BH72" i="6"/>
  <c r="BH62" i="6"/>
  <c r="BH56" i="6"/>
  <c r="BH55" i="6"/>
  <c r="BH54" i="6"/>
  <c r="BH35" i="6"/>
  <c r="BH70" i="6"/>
  <c r="BH63" i="6"/>
  <c r="BH79" i="6"/>
  <c r="BH71" i="6"/>
  <c r="BH65" i="6"/>
  <c r="BH53" i="6"/>
  <c r="BG45" i="6"/>
  <c r="BH33" i="6"/>
  <c r="BH73" i="6"/>
  <c r="BH40" i="6"/>
  <c r="BH32" i="6"/>
  <c r="BH37" i="6"/>
  <c r="BH31" i="6"/>
  <c r="BH29" i="6"/>
  <c r="BH25" i="6"/>
  <c r="BH28" i="6"/>
  <c r="BH24" i="6"/>
  <c r="BH60" i="6"/>
  <c r="BH57" i="6"/>
  <c r="BH23" i="6"/>
  <c r="BH7" i="6"/>
  <c r="BG12" i="6"/>
  <c r="BH5" i="6"/>
  <c r="BH27" i="6"/>
  <c r="BH22" i="6"/>
  <c r="BH36" i="6"/>
  <c r="BH34" i="6"/>
  <c r="BH30" i="6"/>
  <c r="BH26" i="6"/>
  <c r="BH61" i="6"/>
  <c r="BH67" i="6"/>
  <c r="BH39" i="6"/>
  <c r="BH38" i="6"/>
  <c r="BH21" i="6"/>
  <c r="BX224" i="6"/>
  <c r="BX232" i="6"/>
  <c r="BX229" i="6"/>
  <c r="BX228" i="6"/>
  <c r="BX227" i="6"/>
  <c r="BX226" i="6"/>
  <c r="BX222" i="6"/>
  <c r="BX221" i="6"/>
  <c r="BX223" i="6"/>
  <c r="BX220" i="6"/>
  <c r="BX218" i="6"/>
  <c r="BX219" i="6"/>
  <c r="BX225" i="6"/>
  <c r="BX207" i="6"/>
  <c r="BX205" i="6"/>
  <c r="BX217" i="6"/>
  <c r="BX206" i="6"/>
  <c r="BX196" i="6"/>
  <c r="BX203" i="6"/>
  <c r="BX188" i="6"/>
  <c r="BX202" i="6"/>
  <c r="BX201" i="6"/>
  <c r="BX187" i="6"/>
  <c r="BX198" i="6"/>
  <c r="BX197" i="6"/>
  <c r="BX191" i="6"/>
  <c r="BX190" i="6"/>
  <c r="BX189" i="6"/>
  <c r="BX199" i="6"/>
  <c r="BX195" i="6"/>
  <c r="BX186" i="6"/>
  <c r="BX178" i="6"/>
  <c r="BX194" i="6"/>
  <c r="BX185" i="6"/>
  <c r="BX177" i="6"/>
  <c r="BX169" i="6"/>
  <c r="BX184" i="6"/>
  <c r="BX183" i="6"/>
  <c r="BX193" i="6"/>
  <c r="BX182" i="6"/>
  <c r="BX174" i="6"/>
  <c r="BX171" i="6"/>
  <c r="BX170" i="6"/>
  <c r="BX168" i="6"/>
  <c r="BX163" i="6"/>
  <c r="BX181" i="6"/>
  <c r="BX162" i="6"/>
  <c r="BX154" i="6"/>
  <c r="BX146" i="6"/>
  <c r="BX179" i="6"/>
  <c r="BX192" i="6"/>
  <c r="BX180" i="6"/>
  <c r="BX173" i="6"/>
  <c r="BX175" i="6"/>
  <c r="BX159" i="6"/>
  <c r="BX151" i="6"/>
  <c r="BX158" i="6"/>
  <c r="BX144" i="6"/>
  <c r="BX143" i="6"/>
  <c r="BX142" i="6"/>
  <c r="BX200" i="6"/>
  <c r="BX160" i="6"/>
  <c r="BX157" i="6"/>
  <c r="BX156" i="6"/>
  <c r="BX155" i="6"/>
  <c r="BX167" i="6"/>
  <c r="BX166" i="6"/>
  <c r="BX161" i="6"/>
  <c r="BX150" i="6"/>
  <c r="BX164" i="6"/>
  <c r="BX140" i="6"/>
  <c r="BX172" i="6"/>
  <c r="BX141" i="6"/>
  <c r="BX139" i="6"/>
  <c r="BX131" i="6"/>
  <c r="BX176" i="6"/>
  <c r="BX138" i="6"/>
  <c r="BX130" i="6"/>
  <c r="BX165" i="6"/>
  <c r="BX145" i="6"/>
  <c r="BX137" i="6"/>
  <c r="BX149" i="6"/>
  <c r="BX148" i="6"/>
  <c r="BX147" i="6"/>
  <c r="BX136" i="6"/>
  <c r="BX132" i="6"/>
  <c r="BX126" i="6"/>
  <c r="BX152" i="6"/>
  <c r="BX133" i="6"/>
  <c r="BX125" i="6"/>
  <c r="BX116" i="6"/>
  <c r="BX135" i="6"/>
  <c r="BX134" i="6"/>
  <c r="BX124" i="6"/>
  <c r="BX153" i="6"/>
  <c r="BX129" i="6"/>
  <c r="BX118" i="6"/>
  <c r="BX112" i="6"/>
  <c r="BX123" i="6"/>
  <c r="BX121" i="6"/>
  <c r="BX120" i="6"/>
  <c r="BX128" i="6"/>
  <c r="BX114" i="6"/>
  <c r="BX108" i="6"/>
  <c r="BX98" i="6"/>
  <c r="BX87" i="6"/>
  <c r="BX107" i="6"/>
  <c r="BX97" i="6"/>
  <c r="BX117" i="6"/>
  <c r="BX96" i="6"/>
  <c r="BX110" i="6"/>
  <c r="BX94" i="6"/>
  <c r="BX92" i="6"/>
  <c r="BX84" i="6"/>
  <c r="BX102" i="6"/>
  <c r="BX91" i="6"/>
  <c r="BX83" i="6"/>
  <c r="BX101" i="6"/>
  <c r="BX90" i="6"/>
  <c r="BX89" i="6"/>
  <c r="BX74" i="6"/>
  <c r="BX73" i="6"/>
  <c r="BX65" i="6"/>
  <c r="BX63" i="6"/>
  <c r="BX55" i="6"/>
  <c r="BX86" i="6"/>
  <c r="BX72" i="6"/>
  <c r="BX62" i="6"/>
  <c r="BX54" i="6"/>
  <c r="BX111" i="6"/>
  <c r="BX71" i="6"/>
  <c r="BX68" i="6"/>
  <c r="BX127" i="6"/>
  <c r="BX109" i="6"/>
  <c r="BX100" i="6"/>
  <c r="BX99" i="6"/>
  <c r="BX88" i="6"/>
  <c r="BX70" i="6"/>
  <c r="BX60" i="6"/>
  <c r="BX85" i="6"/>
  <c r="BX81" i="6"/>
  <c r="BX79" i="6"/>
  <c r="BX58" i="6"/>
  <c r="BX78" i="6"/>
  <c r="BX56" i="6"/>
  <c r="BW45" i="6"/>
  <c r="BX39" i="6"/>
  <c r="BX31" i="6"/>
  <c r="BX77" i="6"/>
  <c r="BX66" i="6"/>
  <c r="BX61" i="6"/>
  <c r="BX75" i="6"/>
  <c r="BX36" i="6"/>
  <c r="BX28" i="6"/>
  <c r="BX33" i="6"/>
  <c r="BX23" i="6"/>
  <c r="BX7" i="6"/>
  <c r="BX6" i="6"/>
  <c r="BX5" i="6"/>
  <c r="BX115" i="6"/>
  <c r="BX40" i="6"/>
  <c r="BX59" i="6"/>
  <c r="BX27" i="6"/>
  <c r="BW12" i="6"/>
  <c r="BX76" i="6"/>
  <c r="BX69" i="6"/>
  <c r="BX37" i="6"/>
  <c r="BX32" i="6"/>
  <c r="BX30" i="6"/>
  <c r="BX57" i="6"/>
  <c r="BX25" i="6"/>
  <c r="BX67" i="6"/>
  <c r="BX22" i="6"/>
  <c r="BX38" i="6"/>
  <c r="BX34" i="6"/>
  <c r="BX24" i="6"/>
  <c r="BX26" i="6"/>
  <c r="BX35" i="6"/>
  <c r="O46" i="6"/>
  <c r="R5" i="6"/>
  <c r="O4" i="6"/>
  <c r="P80" i="6" s="1"/>
  <c r="BZ5" i="6"/>
  <c r="O48" i="6"/>
  <c r="O44" i="6"/>
  <c r="R7" i="6"/>
  <c r="Q7" i="6"/>
  <c r="P20" i="6"/>
  <c r="BK8" i="6"/>
  <c r="BK12" i="6" s="1"/>
  <c r="BN9" i="6"/>
  <c r="AE12" i="6"/>
  <c r="BY12" i="6"/>
  <c r="BK13" i="6"/>
  <c r="BS14" i="6"/>
  <c r="O15" i="6"/>
  <c r="AZ17" i="6"/>
  <c r="BJ17" i="6"/>
  <c r="P18" i="6"/>
  <c r="BT18" i="6"/>
  <c r="AF24" i="6"/>
  <c r="AX24" i="6"/>
  <c r="AW24" i="6"/>
  <c r="AV24" i="6"/>
  <c r="CP29" i="6"/>
  <c r="AX30" i="6"/>
  <c r="AW30" i="6"/>
  <c r="AV30" i="6"/>
  <c r="CV31" i="6"/>
  <c r="AV36" i="6"/>
  <c r="AX36" i="6"/>
  <c r="BT36" i="6"/>
  <c r="CV37" i="6"/>
  <c r="BF40" i="6"/>
  <c r="BE40" i="6"/>
  <c r="BD40" i="6"/>
  <c r="L213" i="6"/>
  <c r="BX213" i="6"/>
  <c r="C214" i="6"/>
  <c r="CU44" i="6"/>
  <c r="CV44" i="6" s="1"/>
  <c r="D44" i="6"/>
  <c r="BD44" i="6"/>
  <c r="BO214" i="6"/>
  <c r="BP214" i="6" s="1"/>
  <c r="BP44" i="6"/>
  <c r="BX53" i="6"/>
  <c r="BW52" i="6"/>
  <c r="AF56" i="6"/>
  <c r="BF57" i="6"/>
  <c r="BD57" i="6"/>
  <c r="CD57" i="6"/>
  <c r="CB57" i="6"/>
  <c r="CC57" i="6"/>
  <c r="DB65" i="6"/>
  <c r="BV65" i="6"/>
  <c r="BT65" i="6"/>
  <c r="CV69" i="6"/>
  <c r="BV71" i="6"/>
  <c r="BT71" i="6"/>
  <c r="CT71" i="6"/>
  <c r="CS71" i="6"/>
  <c r="CR71" i="6"/>
  <c r="CV232" i="6"/>
  <c r="N42" i="6"/>
  <c r="M41" i="6"/>
  <c r="N41" i="6" s="1"/>
  <c r="AC212" i="6"/>
  <c r="AD42" i="6"/>
  <c r="AC41" i="6"/>
  <c r="AD41" i="6" s="1"/>
  <c r="AS212" i="6"/>
  <c r="AT42" i="6"/>
  <c r="AS41" i="6"/>
  <c r="AT41" i="6" s="1"/>
  <c r="CO21" i="6"/>
  <c r="C16" i="6"/>
  <c r="AI16" i="6"/>
  <c r="AJ16" i="6" s="1"/>
  <c r="AI42" i="6"/>
  <c r="CU22" i="6"/>
  <c r="CV22" i="6" s="1"/>
  <c r="AG24" i="6"/>
  <c r="J27" i="6"/>
  <c r="I27" i="6"/>
  <c r="BV28" i="6"/>
  <c r="BU28" i="6"/>
  <c r="BT28" i="6"/>
  <c r="D29" i="6"/>
  <c r="V29" i="6"/>
  <c r="CS29" i="6"/>
  <c r="CR29" i="6"/>
  <c r="BD30" i="6"/>
  <c r="BV30" i="6"/>
  <c r="BU30" i="6"/>
  <c r="AW36" i="6"/>
  <c r="BU36" i="6"/>
  <c r="F37" i="6"/>
  <c r="CW37" i="6"/>
  <c r="V37" i="6"/>
  <c r="BZ37" i="6"/>
  <c r="CV39" i="6"/>
  <c r="BL40" i="6"/>
  <c r="BM40" i="6"/>
  <c r="AY42" i="6"/>
  <c r="L43" i="6"/>
  <c r="AA213" i="6"/>
  <c r="AB213" i="6" s="1"/>
  <c r="AB43" i="6"/>
  <c r="BL43" i="6"/>
  <c r="BM43" i="6"/>
  <c r="BX43" i="6"/>
  <c r="CM213" i="6"/>
  <c r="CN213" i="6" s="1"/>
  <c r="CN43" i="6"/>
  <c r="BE44" i="6"/>
  <c r="CF44" i="6"/>
  <c r="CF52" i="6"/>
  <c r="BE57" i="6"/>
  <c r="BU65" i="6"/>
  <c r="BU71" i="6"/>
  <c r="AH24" i="6"/>
  <c r="CR24" i="6"/>
  <c r="AH27" i="6"/>
  <c r="AG27" i="6"/>
  <c r="CB28" i="6"/>
  <c r="CT28" i="6"/>
  <c r="CS28" i="6"/>
  <c r="CW29" i="6"/>
  <c r="BJ29" i="6"/>
  <c r="BZ29" i="6"/>
  <c r="CY31" i="6"/>
  <c r="I31" i="6"/>
  <c r="J31" i="6"/>
  <c r="BN35" i="6"/>
  <c r="BL35" i="6"/>
  <c r="BD36" i="6"/>
  <c r="BV36" i="6"/>
  <c r="CV36" i="6"/>
  <c r="CC37" i="6"/>
  <c r="CB37" i="6"/>
  <c r="CD37" i="6"/>
  <c r="AX39" i="6"/>
  <c r="AV39" i="6"/>
  <c r="CY40" i="6"/>
  <c r="C41" i="6"/>
  <c r="BF44" i="6"/>
  <c r="CU47" i="6"/>
  <c r="CV47" i="6" s="1"/>
  <c r="BF47" i="6"/>
  <c r="BE47" i="6"/>
  <c r="AD51" i="6"/>
  <c r="AC49" i="6"/>
  <c r="AD49" i="6" s="1"/>
  <c r="F52" i="6"/>
  <c r="E51" i="6"/>
  <c r="AL52" i="6"/>
  <c r="AK51" i="6"/>
  <c r="BJ52" i="6"/>
  <c r="AP54" i="6"/>
  <c r="AO54" i="6"/>
  <c r="BM55" i="6"/>
  <c r="BL55" i="6"/>
  <c r="BN55" i="6"/>
  <c r="J56" i="6"/>
  <c r="CY56" i="6"/>
  <c r="I56" i="6"/>
  <c r="BN61" i="6"/>
  <c r="BL61" i="6"/>
  <c r="BM61" i="6"/>
  <c r="AX87" i="6"/>
  <c r="AW87" i="6"/>
  <c r="DB88" i="6"/>
  <c r="BD107" i="6"/>
  <c r="F22" i="6"/>
  <c r="V22" i="6"/>
  <c r="AL22" i="6"/>
  <c r="BR22" i="6"/>
  <c r="CH22" i="6"/>
  <c r="CW22" i="6"/>
  <c r="CX22" i="6" s="1"/>
  <c r="R24" i="6"/>
  <c r="Q24" i="6"/>
  <c r="BD24" i="6"/>
  <c r="CS24" i="6"/>
  <c r="CY25" i="6"/>
  <c r="BF26" i="6"/>
  <c r="BE26" i="6"/>
  <c r="BD26" i="6"/>
  <c r="AF27" i="6"/>
  <c r="BU27" i="6"/>
  <c r="CY27" i="6"/>
  <c r="Q28" i="6"/>
  <c r="CC28" i="6"/>
  <c r="CR28" i="6"/>
  <c r="CU29" i="6"/>
  <c r="CV29" i="6" s="1"/>
  <c r="BF30" i="6"/>
  <c r="X32" i="6"/>
  <c r="Y35" i="6"/>
  <c r="X35" i="6"/>
  <c r="CY35" i="6"/>
  <c r="BM35" i="6"/>
  <c r="AH36" i="6"/>
  <c r="AG36" i="6"/>
  <c r="AF36" i="6"/>
  <c r="CB36" i="6"/>
  <c r="CD36" i="6"/>
  <c r="CC36" i="6"/>
  <c r="AW39" i="6"/>
  <c r="CL40" i="6"/>
  <c r="CK40" i="6"/>
  <c r="CJ40" i="6"/>
  <c r="D42" i="6"/>
  <c r="C213" i="6"/>
  <c r="CU43" i="6"/>
  <c r="CV43" i="6" s="1"/>
  <c r="BP213" i="6"/>
  <c r="T44" i="6"/>
  <c r="AJ214" i="6"/>
  <c r="AJ49" i="6"/>
  <c r="CP52" i="6"/>
  <c r="CN53" i="6"/>
  <c r="AN54" i="6"/>
  <c r="AO60" i="6"/>
  <c r="AP60" i="6"/>
  <c r="AN60" i="6"/>
  <c r="J61" i="6"/>
  <c r="CY61" i="6"/>
  <c r="AH61" i="6"/>
  <c r="AF61" i="6"/>
  <c r="AG61" i="6"/>
  <c r="N68" i="6"/>
  <c r="BV73" i="6"/>
  <c r="BU73" i="6"/>
  <c r="BT73" i="6"/>
  <c r="AV87" i="6"/>
  <c r="AW105" i="6"/>
  <c r="AV105" i="6"/>
  <c r="BT106" i="6"/>
  <c r="AP20" i="6"/>
  <c r="AO20" i="6"/>
  <c r="D21" i="6"/>
  <c r="T21" i="6"/>
  <c r="AJ21" i="6"/>
  <c r="AZ21" i="6"/>
  <c r="BP21" i="6"/>
  <c r="CF21" i="6"/>
  <c r="CY23" i="6"/>
  <c r="R23" i="6"/>
  <c r="Q23" i="6"/>
  <c r="BE24" i="6"/>
  <c r="CT24" i="6"/>
  <c r="Z25" i="6"/>
  <c r="Y25" i="6"/>
  <c r="CY26" i="6"/>
  <c r="Y26" i="6"/>
  <c r="Z26" i="6"/>
  <c r="X26" i="6"/>
  <c r="CV26" i="6"/>
  <c r="BE27" i="6"/>
  <c r="BD27" i="6"/>
  <c r="CD28" i="6"/>
  <c r="AD29" i="6"/>
  <c r="CV30" i="6"/>
  <c r="BU31" i="6"/>
  <c r="BT31" i="6"/>
  <c r="BV31" i="6"/>
  <c r="BF33" i="6"/>
  <c r="BE33" i="6"/>
  <c r="BD33" i="6"/>
  <c r="BF34" i="6"/>
  <c r="BE34" i="6"/>
  <c r="BD34" i="6"/>
  <c r="CT34" i="6"/>
  <c r="CS34" i="6"/>
  <c r="CR34" i="6"/>
  <c r="BR35" i="6"/>
  <c r="CH36" i="6"/>
  <c r="CY39" i="6"/>
  <c r="I39" i="6"/>
  <c r="H39" i="6"/>
  <c r="J39" i="6"/>
  <c r="BR40" i="6"/>
  <c r="CR40" i="6"/>
  <c r="CS40" i="6"/>
  <c r="CE42" i="6"/>
  <c r="BX214" i="6"/>
  <c r="CK47" i="6"/>
  <c r="CL47" i="6"/>
  <c r="K52" i="6"/>
  <c r="L53" i="6"/>
  <c r="AV54" i="6"/>
  <c r="AX54" i="6"/>
  <c r="AW54" i="6"/>
  <c r="CH58" i="6"/>
  <c r="BR62" i="6"/>
  <c r="BL66" i="6"/>
  <c r="AJ80" i="6"/>
  <c r="BJ103" i="6"/>
  <c r="BE48" i="6"/>
  <c r="BF48" i="6"/>
  <c r="CR20" i="6"/>
  <c r="E21" i="6"/>
  <c r="BA21" i="6"/>
  <c r="BQ212" i="6"/>
  <c r="BR42" i="6"/>
  <c r="BQ41" i="6"/>
  <c r="BR41" i="6" s="1"/>
  <c r="CG21" i="6"/>
  <c r="CG16" i="6" s="1"/>
  <c r="CH16" i="6" s="1"/>
  <c r="K21" i="6"/>
  <c r="AA42" i="6"/>
  <c r="AA16" i="6"/>
  <c r="AB16" i="6" s="1"/>
  <c r="AQ21" i="6"/>
  <c r="BG16" i="6"/>
  <c r="BH16" i="6" s="1"/>
  <c r="BG42" i="6"/>
  <c r="BW21" i="6"/>
  <c r="CM42" i="6"/>
  <c r="CM16" i="6"/>
  <c r="CN16" i="6" s="1"/>
  <c r="AX23" i="6"/>
  <c r="AW23" i="6"/>
  <c r="CD23" i="6"/>
  <c r="CC23" i="6"/>
  <c r="BL24" i="6"/>
  <c r="CD24" i="6"/>
  <c r="CC24" i="6"/>
  <c r="CB24" i="6"/>
  <c r="CV24" i="6"/>
  <c r="X25" i="6"/>
  <c r="BF25" i="6"/>
  <c r="BE25" i="6"/>
  <c r="CL25" i="6"/>
  <c r="CK25" i="6"/>
  <c r="I26" i="6"/>
  <c r="BF27" i="6"/>
  <c r="AZ29" i="6"/>
  <c r="BP29" i="6"/>
  <c r="AP30" i="6"/>
  <c r="AO30" i="6"/>
  <c r="AN30" i="6"/>
  <c r="Z32" i="6"/>
  <c r="CK32" i="6"/>
  <c r="CC33" i="6"/>
  <c r="CB33" i="6"/>
  <c r="CY36" i="6"/>
  <c r="N37" i="6"/>
  <c r="BR37" i="6"/>
  <c r="CH37" i="6"/>
  <c r="Z40" i="6"/>
  <c r="Y40" i="6"/>
  <c r="X40" i="6"/>
  <c r="CT40" i="6"/>
  <c r="L214" i="6"/>
  <c r="BX44" i="6"/>
  <c r="CU48" i="6"/>
  <c r="CV48" i="6" s="1"/>
  <c r="U51" i="6"/>
  <c r="V52" i="6"/>
  <c r="BR52" i="6"/>
  <c r="BQ51" i="6"/>
  <c r="AV55" i="6"/>
  <c r="AX55" i="6"/>
  <c r="AW55" i="6"/>
  <c r="CS55" i="6"/>
  <c r="CR55" i="6"/>
  <c r="CT59" i="6"/>
  <c r="CR59" i="6"/>
  <c r="BV63" i="6"/>
  <c r="BT63" i="6"/>
  <c r="BU63" i="6"/>
  <c r="CD73" i="6"/>
  <c r="CB73" i="6"/>
  <c r="CC73" i="6"/>
  <c r="AN76" i="6"/>
  <c r="AP76" i="6"/>
  <c r="N103" i="6"/>
  <c r="BS214" i="6"/>
  <c r="BT44" i="6"/>
  <c r="BU44" i="6"/>
  <c r="J26" i="6"/>
  <c r="BN26" i="6"/>
  <c r="BM26" i="6"/>
  <c r="BL26" i="6"/>
  <c r="CH26" i="6"/>
  <c r="BN28" i="6"/>
  <c r="BM28" i="6"/>
  <c r="BL28" i="6"/>
  <c r="N29" i="6"/>
  <c r="X30" i="6"/>
  <c r="CL30" i="6"/>
  <c r="CK30" i="6"/>
  <c r="CD31" i="6"/>
  <c r="CC31" i="6"/>
  <c r="AF32" i="6"/>
  <c r="AH32" i="6"/>
  <c r="AG32" i="6"/>
  <c r="BN34" i="6"/>
  <c r="BM34" i="6"/>
  <c r="CV38" i="6"/>
  <c r="AF40" i="6"/>
  <c r="AG40" i="6"/>
  <c r="BO42" i="6"/>
  <c r="BG213" i="6"/>
  <c r="BH213" i="6" s="1"/>
  <c r="BH43" i="6"/>
  <c r="AM214" i="6"/>
  <c r="AN44" i="6"/>
  <c r="AP44" i="6"/>
  <c r="AO44" i="6"/>
  <c r="CU46" i="6"/>
  <c r="CV46" i="6" s="1"/>
  <c r="X54" i="6"/>
  <c r="CD54" i="6"/>
  <c r="CC54" i="6"/>
  <c r="CB54" i="6"/>
  <c r="X62" i="6"/>
  <c r="R73" i="6"/>
  <c r="Q73" i="6"/>
  <c r="AP85" i="6"/>
  <c r="AO85" i="6"/>
  <c r="BN102" i="6"/>
  <c r="BM102" i="6"/>
  <c r="BL102" i="6"/>
  <c r="CY102" i="6"/>
  <c r="AJ111" i="6"/>
  <c r="B10" i="1"/>
  <c r="J10" i="1"/>
  <c r="R220" i="6"/>
  <c r="Q220" i="6"/>
  <c r="CB220" i="6"/>
  <c r="CD220" i="6"/>
  <c r="CC220" i="6"/>
  <c r="AH221" i="6"/>
  <c r="AG221" i="6"/>
  <c r="AF221" i="6"/>
  <c r="CT221" i="6"/>
  <c r="CS221" i="6"/>
  <c r="CR221" i="6"/>
  <c r="AX222" i="6"/>
  <c r="AW222" i="6"/>
  <c r="AV222" i="6"/>
  <c r="BN223" i="6"/>
  <c r="BM223" i="6"/>
  <c r="BL223" i="6"/>
  <c r="R224" i="6"/>
  <c r="Q224" i="6"/>
  <c r="CD224" i="6"/>
  <c r="CC224" i="6"/>
  <c r="CB224" i="6"/>
  <c r="AF225" i="6"/>
  <c r="AH225" i="6"/>
  <c r="AG225" i="6"/>
  <c r="CR225" i="6"/>
  <c r="CT225" i="6"/>
  <c r="CS225" i="6"/>
  <c r="AX226" i="6"/>
  <c r="AW226" i="6"/>
  <c r="AV226" i="6"/>
  <c r="BN227" i="6"/>
  <c r="BM227" i="6"/>
  <c r="BL227" i="6"/>
  <c r="Q228" i="6"/>
  <c r="R228" i="6"/>
  <c r="CC228" i="6"/>
  <c r="CD228" i="6"/>
  <c r="CB228" i="6"/>
  <c r="AH229" i="6"/>
  <c r="AG229" i="6"/>
  <c r="AF229" i="6"/>
  <c r="CT229" i="6"/>
  <c r="CS229" i="6"/>
  <c r="CR229" i="6"/>
  <c r="G54" i="4"/>
  <c r="G55" i="4" s="1"/>
  <c r="AH53" i="6"/>
  <c r="AG53" i="6"/>
  <c r="AF53" i="6"/>
  <c r="CT53" i="6"/>
  <c r="CS53" i="6"/>
  <c r="CR53" i="6"/>
  <c r="AW64" i="6"/>
  <c r="AX64" i="6"/>
  <c r="AV64" i="6"/>
  <c r="AW68" i="6"/>
  <c r="AX68" i="6"/>
  <c r="J80" i="6"/>
  <c r="I80" i="6"/>
  <c r="CY80" i="6"/>
  <c r="BU80" i="6"/>
  <c r="BT80" i="6"/>
  <c r="AW93" i="6"/>
  <c r="AV93" i="6"/>
  <c r="AP104" i="6"/>
  <c r="AO104" i="6"/>
  <c r="AN104" i="6"/>
  <c r="AH111" i="6"/>
  <c r="AG111" i="6"/>
  <c r="CT111" i="6"/>
  <c r="CS111" i="6"/>
  <c r="CR111" i="6"/>
  <c r="AW117" i="6"/>
  <c r="AV117" i="6"/>
  <c r="AX117" i="6"/>
  <c r="Q122" i="6"/>
  <c r="R122" i="6"/>
  <c r="P122" i="6"/>
  <c r="CC122" i="6"/>
  <c r="CD122" i="6"/>
  <c r="CB122" i="6"/>
  <c r="Z171" i="6"/>
  <c r="Y171" i="6"/>
  <c r="X171" i="6"/>
  <c r="CL171" i="6"/>
  <c r="CK171" i="6"/>
  <c r="CJ171" i="6"/>
  <c r="I197" i="6"/>
  <c r="CY197" i="6"/>
  <c r="J197" i="6"/>
  <c r="BU197" i="6"/>
  <c r="BT197" i="6"/>
  <c r="BV197" i="6"/>
  <c r="BN205" i="6"/>
  <c r="BM205" i="6"/>
  <c r="BL205" i="6"/>
  <c r="AP22" i="6"/>
  <c r="AN22" i="6"/>
  <c r="AM21" i="6"/>
  <c r="AM42" i="6" s="1"/>
  <c r="H36" i="5"/>
  <c r="P36" i="5"/>
  <c r="BR229" i="6"/>
  <c r="BR232" i="6"/>
  <c r="BR225" i="6"/>
  <c r="BR223" i="6"/>
  <c r="BR220" i="6"/>
  <c r="BR228" i="6"/>
  <c r="BR226" i="6"/>
  <c r="BR224" i="6"/>
  <c r="BR219" i="6"/>
  <c r="BR218" i="6"/>
  <c r="BR221" i="6"/>
  <c r="BR227" i="6"/>
  <c r="BR217" i="6"/>
  <c r="BR222" i="6"/>
  <c r="BR203" i="6"/>
  <c r="BR202" i="6"/>
  <c r="BR201" i="6"/>
  <c r="BR195" i="6"/>
  <c r="BR193" i="6"/>
  <c r="BR206" i="6"/>
  <c r="BR192" i="6"/>
  <c r="BR205" i="6"/>
  <c r="BR200" i="6"/>
  <c r="BR198" i="6"/>
  <c r="BR196" i="6"/>
  <c r="BR191" i="6"/>
  <c r="BR190" i="6"/>
  <c r="BR189" i="6"/>
  <c r="BR188" i="6"/>
  <c r="BR187" i="6"/>
  <c r="BR183" i="6"/>
  <c r="BR182" i="6"/>
  <c r="BR174" i="6"/>
  <c r="BR180" i="6"/>
  <c r="BR179" i="6"/>
  <c r="BR184" i="6"/>
  <c r="BR175" i="6"/>
  <c r="BR173" i="6"/>
  <c r="BR160" i="6"/>
  <c r="BR207" i="6"/>
  <c r="BR177" i="6"/>
  <c r="BR159" i="6"/>
  <c r="BR151" i="6"/>
  <c r="BR143" i="6"/>
  <c r="BR194" i="6"/>
  <c r="BR176" i="6"/>
  <c r="BR172" i="6"/>
  <c r="BR199" i="6"/>
  <c r="BR165" i="6"/>
  <c r="BR178" i="6"/>
  <c r="BR170" i="6"/>
  <c r="BR169" i="6"/>
  <c r="BR164" i="6"/>
  <c r="BR156" i="6"/>
  <c r="BR148" i="6"/>
  <c r="BR186" i="6"/>
  <c r="BR181" i="6"/>
  <c r="BR166" i="6"/>
  <c r="BR168" i="6"/>
  <c r="BR152" i="6"/>
  <c r="BR150" i="6"/>
  <c r="BR145" i="6"/>
  <c r="BR158" i="6"/>
  <c r="BR161" i="6"/>
  <c r="BR154" i="6"/>
  <c r="BR149" i="6"/>
  <c r="BR147" i="6"/>
  <c r="BR138" i="6"/>
  <c r="BR162" i="6"/>
  <c r="BR155" i="6"/>
  <c r="BR137" i="6"/>
  <c r="BR153" i="6"/>
  <c r="BR142" i="6"/>
  <c r="BR136" i="6"/>
  <c r="BR128" i="6"/>
  <c r="BR144" i="6"/>
  <c r="BR135" i="6"/>
  <c r="BR127" i="6"/>
  <c r="BR171" i="6"/>
  <c r="BR163" i="6"/>
  <c r="BR157" i="6"/>
  <c r="BR146" i="6"/>
  <c r="BR133" i="6"/>
  <c r="BR185" i="6"/>
  <c r="BR140" i="6"/>
  <c r="BR123" i="6"/>
  <c r="BR114" i="6"/>
  <c r="BR141" i="6"/>
  <c r="BR129" i="6"/>
  <c r="BR130" i="6"/>
  <c r="BR121" i="6"/>
  <c r="BR118" i="6"/>
  <c r="BR167" i="6"/>
  <c r="BR139" i="6"/>
  <c r="BR126" i="6"/>
  <c r="BR134" i="6"/>
  <c r="BR120" i="6"/>
  <c r="BR131" i="6"/>
  <c r="BR125" i="6"/>
  <c r="BR113" i="6"/>
  <c r="BR132" i="6"/>
  <c r="BR124" i="6"/>
  <c r="BR122" i="6"/>
  <c r="BR117" i="6"/>
  <c r="BR116" i="6"/>
  <c r="BR112" i="6"/>
  <c r="BR110" i="6"/>
  <c r="BR94" i="6"/>
  <c r="BR92" i="6"/>
  <c r="BR84" i="6"/>
  <c r="BR115" i="6"/>
  <c r="BR102" i="6"/>
  <c r="BR106" i="6"/>
  <c r="BR105" i="6"/>
  <c r="BR101" i="6"/>
  <c r="BR90" i="6"/>
  <c r="BR100" i="6"/>
  <c r="BR95" i="6"/>
  <c r="BR89" i="6"/>
  <c r="BR78" i="6"/>
  <c r="BR109" i="6"/>
  <c r="BR99" i="6"/>
  <c r="BR93" i="6"/>
  <c r="BR88" i="6"/>
  <c r="BR77" i="6"/>
  <c r="BR108" i="6"/>
  <c r="BR98" i="6"/>
  <c r="BR96" i="6"/>
  <c r="BR70" i="6"/>
  <c r="BR60" i="6"/>
  <c r="BR107" i="6"/>
  <c r="BR97" i="6"/>
  <c r="BR83" i="6"/>
  <c r="BR81" i="6"/>
  <c r="BR69" i="6"/>
  <c r="BR64" i="6"/>
  <c r="BR59" i="6"/>
  <c r="BR79" i="6"/>
  <c r="BR91" i="6"/>
  <c r="BR87" i="6"/>
  <c r="BR82" i="6"/>
  <c r="BR76" i="6"/>
  <c r="BR75" i="6"/>
  <c r="BR67" i="6"/>
  <c r="BR57" i="6"/>
  <c r="BR86" i="6"/>
  <c r="BR73" i="6"/>
  <c r="BR65" i="6"/>
  <c r="BR63" i="6"/>
  <c r="BR55" i="6"/>
  <c r="BR71" i="6"/>
  <c r="BR36" i="6"/>
  <c r="BR119" i="6"/>
  <c r="BR80" i="6"/>
  <c r="BR72" i="6"/>
  <c r="BR34" i="6"/>
  <c r="BR26" i="6"/>
  <c r="BR56" i="6"/>
  <c r="BR54" i="6"/>
  <c r="BR33" i="6"/>
  <c r="BR74" i="6"/>
  <c r="BR66" i="6"/>
  <c r="BR61" i="6"/>
  <c r="BR32" i="6"/>
  <c r="BR27" i="6"/>
  <c r="BQ45" i="6"/>
  <c r="BR31" i="6"/>
  <c r="BR29" i="6"/>
  <c r="BR25" i="6"/>
  <c r="BR39" i="6"/>
  <c r="BR38" i="6"/>
  <c r="BR24" i="6"/>
  <c r="CH225" i="6"/>
  <c r="CH232" i="6"/>
  <c r="CH229" i="6"/>
  <c r="CH228" i="6"/>
  <c r="CH227" i="6"/>
  <c r="CH226" i="6"/>
  <c r="CH222" i="6"/>
  <c r="CH221" i="6"/>
  <c r="CH223" i="6"/>
  <c r="CH217" i="6"/>
  <c r="CH220" i="6"/>
  <c r="CH224" i="6"/>
  <c r="CH218" i="6"/>
  <c r="CH198" i="6"/>
  <c r="CH205" i="6"/>
  <c r="CH219" i="6"/>
  <c r="CH207" i="6"/>
  <c r="CH206" i="6"/>
  <c r="CH189" i="6"/>
  <c r="CH188" i="6"/>
  <c r="CH195" i="6"/>
  <c r="CH193" i="6"/>
  <c r="CH200" i="6"/>
  <c r="CH196" i="6"/>
  <c r="CH190" i="6"/>
  <c r="CH202" i="6"/>
  <c r="CH179" i="6"/>
  <c r="CH203" i="6"/>
  <c r="CH191" i="6"/>
  <c r="CH186" i="6"/>
  <c r="CH178" i="6"/>
  <c r="CH170" i="6"/>
  <c r="CH192" i="6"/>
  <c r="CH185" i="6"/>
  <c r="CH199" i="6"/>
  <c r="CH184" i="6"/>
  <c r="CH183" i="6"/>
  <c r="CH175" i="6"/>
  <c r="CH172" i="6"/>
  <c r="CH164" i="6"/>
  <c r="CH177" i="6"/>
  <c r="CH176" i="6"/>
  <c r="CH169" i="6"/>
  <c r="CH163" i="6"/>
  <c r="CH155" i="6"/>
  <c r="CH147" i="6"/>
  <c r="CH187" i="6"/>
  <c r="CH194" i="6"/>
  <c r="CH167" i="6"/>
  <c r="CH161" i="6"/>
  <c r="CH182" i="6"/>
  <c r="CH160" i="6"/>
  <c r="CH152" i="6"/>
  <c r="CH171" i="6"/>
  <c r="CH166" i="6"/>
  <c r="CH162" i="6"/>
  <c r="CH181" i="6"/>
  <c r="CH149" i="6"/>
  <c r="CH145" i="6"/>
  <c r="CH165" i="6"/>
  <c r="CH148" i="6"/>
  <c r="CH144" i="6"/>
  <c r="CH174" i="6"/>
  <c r="CH168" i="6"/>
  <c r="CH159" i="6"/>
  <c r="CH158" i="6"/>
  <c r="CH173" i="6"/>
  <c r="CH180" i="6"/>
  <c r="CH157" i="6"/>
  <c r="CH156" i="6"/>
  <c r="CH154" i="6"/>
  <c r="CH150" i="6"/>
  <c r="CH142" i="6"/>
  <c r="CH140" i="6"/>
  <c r="CH132" i="6"/>
  <c r="CH153" i="6"/>
  <c r="CH151" i="6"/>
  <c r="CH139" i="6"/>
  <c r="CH131" i="6"/>
  <c r="CH201" i="6"/>
  <c r="CH141" i="6"/>
  <c r="CH138" i="6"/>
  <c r="CH137" i="6"/>
  <c r="CH135" i="6"/>
  <c r="CH128" i="6"/>
  <c r="CH118" i="6"/>
  <c r="CH143" i="6"/>
  <c r="CH136" i="6"/>
  <c r="CH127" i="6"/>
  <c r="CH126" i="6"/>
  <c r="CH119" i="6"/>
  <c r="CH130" i="6"/>
  <c r="CH125" i="6"/>
  <c r="CH146" i="6"/>
  <c r="CH123" i="6"/>
  <c r="CH133" i="6"/>
  <c r="CH134" i="6"/>
  <c r="CH120" i="6"/>
  <c r="CH121" i="6"/>
  <c r="CH117" i="6"/>
  <c r="CH124" i="6"/>
  <c r="CH116" i="6"/>
  <c r="CH115" i="6"/>
  <c r="CH112" i="6"/>
  <c r="CH109" i="6"/>
  <c r="CH99" i="6"/>
  <c r="CH88" i="6"/>
  <c r="CH108" i="6"/>
  <c r="CH98" i="6"/>
  <c r="CH114" i="6"/>
  <c r="CH107" i="6"/>
  <c r="CH97" i="6"/>
  <c r="CH113" i="6"/>
  <c r="CH96" i="6"/>
  <c r="CH85" i="6"/>
  <c r="CH74" i="6"/>
  <c r="CH129" i="6"/>
  <c r="CH106" i="6"/>
  <c r="CH105" i="6"/>
  <c r="CH94" i="6"/>
  <c r="CH92" i="6"/>
  <c r="CH84" i="6"/>
  <c r="CH122" i="6"/>
  <c r="CH110" i="6"/>
  <c r="CH102" i="6"/>
  <c r="CH95" i="6"/>
  <c r="CH91" i="6"/>
  <c r="CH101" i="6"/>
  <c r="CH93" i="6"/>
  <c r="CH83" i="6"/>
  <c r="CH68" i="6"/>
  <c r="CH66" i="6"/>
  <c r="CH56" i="6"/>
  <c r="CH78" i="6"/>
  <c r="CH76" i="6"/>
  <c r="CH75" i="6"/>
  <c r="CH73" i="6"/>
  <c r="CH65" i="6"/>
  <c r="CH63" i="6"/>
  <c r="CH55" i="6"/>
  <c r="CH90" i="6"/>
  <c r="CH82" i="6"/>
  <c r="CH77" i="6"/>
  <c r="CH72" i="6"/>
  <c r="CH87" i="6"/>
  <c r="CH71" i="6"/>
  <c r="CH64" i="6"/>
  <c r="CH61" i="6"/>
  <c r="CH89" i="6"/>
  <c r="CH86" i="6"/>
  <c r="CH80" i="6"/>
  <c r="CH69" i="6"/>
  <c r="CH59" i="6"/>
  <c r="CH79" i="6"/>
  <c r="CH40" i="6"/>
  <c r="CH32" i="6"/>
  <c r="CH57" i="6"/>
  <c r="CH53" i="6"/>
  <c r="CG45" i="6"/>
  <c r="CH38" i="6"/>
  <c r="CH30" i="6"/>
  <c r="CH67" i="6"/>
  <c r="CH70" i="6"/>
  <c r="CH24" i="6"/>
  <c r="CH60" i="6"/>
  <c r="CH54" i="6"/>
  <c r="CH35" i="6"/>
  <c r="CH31" i="6"/>
  <c r="CH100" i="6"/>
  <c r="CH33" i="6"/>
  <c r="CH28" i="6"/>
  <c r="G46" i="6"/>
  <c r="G4" i="6"/>
  <c r="H68" i="6" s="1"/>
  <c r="H5" i="6"/>
  <c r="Y47" i="6"/>
  <c r="Z47" i="6"/>
  <c r="BK47" i="6"/>
  <c r="BM6" i="6"/>
  <c r="BK14" i="6"/>
  <c r="BV48" i="6"/>
  <c r="BU48" i="6"/>
  <c r="CI15" i="6"/>
  <c r="CY10" i="6"/>
  <c r="CU14" i="6"/>
  <c r="CV14" i="6" s="1"/>
  <c r="BL17" i="6"/>
  <c r="CR19" i="6"/>
  <c r="AF20" i="6"/>
  <c r="BF20" i="6"/>
  <c r="BT20" i="6"/>
  <c r="N22" i="6"/>
  <c r="AD22" i="6"/>
  <c r="BJ22" i="6"/>
  <c r="BZ22" i="6"/>
  <c r="CP22" i="6"/>
  <c r="CY24" i="6"/>
  <c r="AV26" i="6"/>
  <c r="BT26" i="6"/>
  <c r="CL26" i="6"/>
  <c r="CK26" i="6"/>
  <c r="CY28" i="6"/>
  <c r="AJ29" i="6"/>
  <c r="CJ30" i="6"/>
  <c r="CB31" i="6"/>
  <c r="BL34" i="6"/>
  <c r="CY34" i="6"/>
  <c r="AL37" i="6"/>
  <c r="AH40" i="6"/>
  <c r="BB51" i="6"/>
  <c r="BA49" i="6"/>
  <c r="BB49" i="6" s="1"/>
  <c r="AZ52" i="6"/>
  <c r="BR53" i="6"/>
  <c r="BR58" i="6"/>
  <c r="BN59" i="6"/>
  <c r="BL59" i="6"/>
  <c r="BM59" i="6"/>
  <c r="CV59" i="6"/>
  <c r="CD67" i="6"/>
  <c r="CB67" i="6"/>
  <c r="CC67" i="6"/>
  <c r="CK81" i="6"/>
  <c r="CJ81" i="6"/>
  <c r="CL81" i="6"/>
  <c r="BR85" i="6"/>
  <c r="CD98" i="6"/>
  <c r="CC98" i="6"/>
  <c r="CB98" i="6"/>
  <c r="V103" i="6"/>
  <c r="BZ104" i="6"/>
  <c r="BY103" i="6"/>
  <c r="CW103" i="6" s="1"/>
  <c r="CX103" i="6" s="1"/>
  <c r="X110" i="6"/>
  <c r="Z110" i="6"/>
  <c r="Y110" i="6"/>
  <c r="AM48" i="6"/>
  <c r="CY9" i="6"/>
  <c r="CY11" i="6"/>
  <c r="CI17" i="6"/>
  <c r="AB23" i="6"/>
  <c r="CN23" i="6"/>
  <c r="T27" i="6"/>
  <c r="CK27" i="6"/>
  <c r="CJ27" i="6"/>
  <c r="AH28" i="6"/>
  <c r="AG28" i="6"/>
  <c r="J30" i="6"/>
  <c r="CY30" i="6"/>
  <c r="I30" i="6"/>
  <c r="R32" i="6"/>
  <c r="Q32" i="6"/>
  <c r="AT32" i="6"/>
  <c r="BL32" i="6"/>
  <c r="H34" i="6"/>
  <c r="T34" i="6"/>
  <c r="BE35" i="6"/>
  <c r="BD35" i="6"/>
  <c r="CF35" i="6"/>
  <c r="T36" i="6"/>
  <c r="BN36" i="6"/>
  <c r="BM36" i="6"/>
  <c r="X38" i="6"/>
  <c r="BD38" i="6"/>
  <c r="CJ38" i="6"/>
  <c r="AO39" i="6"/>
  <c r="AN39" i="6"/>
  <c r="W43" i="6"/>
  <c r="AZ213" i="6"/>
  <c r="BH214" i="6"/>
  <c r="CO51" i="6"/>
  <c r="AR53" i="6"/>
  <c r="BN54" i="6"/>
  <c r="BM54" i="6"/>
  <c r="T58" i="6"/>
  <c r="Z59" i="6"/>
  <c r="X59" i="6"/>
  <c r="CY59" i="6"/>
  <c r="DB62" i="6"/>
  <c r="DA62" i="6"/>
  <c r="AG63" i="6"/>
  <c r="AF63" i="6"/>
  <c r="CY63" i="6"/>
  <c r="CR66" i="6"/>
  <c r="CV68" i="6"/>
  <c r="Z75" i="6"/>
  <c r="Y75" i="6"/>
  <c r="X75" i="6"/>
  <c r="T79" i="6"/>
  <c r="CB89" i="6"/>
  <c r="T90" i="6"/>
  <c r="CW93" i="6"/>
  <c r="F93" i="6"/>
  <c r="CH103" i="6"/>
  <c r="AB232" i="6"/>
  <c r="AB228" i="6"/>
  <c r="AB219" i="6"/>
  <c r="AB227" i="6"/>
  <c r="AB220" i="6"/>
  <c r="AB218" i="6"/>
  <c r="AB223" i="6"/>
  <c r="AB217" i="6"/>
  <c r="AB226" i="6"/>
  <c r="AB225" i="6"/>
  <c r="AB222" i="6"/>
  <c r="AB224" i="6"/>
  <c r="AB201" i="6"/>
  <c r="AB200" i="6"/>
  <c r="AB221" i="6"/>
  <c r="AB205" i="6"/>
  <c r="AB203" i="6"/>
  <c r="AB192" i="6"/>
  <c r="AB207" i="6"/>
  <c r="AB191" i="6"/>
  <c r="AB195" i="6"/>
  <c r="AB198" i="6"/>
  <c r="AB202" i="6"/>
  <c r="AB229" i="6"/>
  <c r="AB206" i="6"/>
  <c r="AB193" i="6"/>
  <c r="AB188" i="6"/>
  <c r="AB189" i="6"/>
  <c r="AB182" i="6"/>
  <c r="AB181" i="6"/>
  <c r="AB173" i="6"/>
  <c r="AB190" i="6"/>
  <c r="AB187" i="6"/>
  <c r="AB179" i="6"/>
  <c r="AB186" i="6"/>
  <c r="AB178" i="6"/>
  <c r="AB183" i="6"/>
  <c r="AB180" i="6"/>
  <c r="AB176" i="6"/>
  <c r="AB175" i="6"/>
  <c r="AB174" i="6"/>
  <c r="AB169" i="6"/>
  <c r="AB168" i="6"/>
  <c r="AB199" i="6"/>
  <c r="AB194" i="6"/>
  <c r="AB184" i="6"/>
  <c r="AB166" i="6"/>
  <c r="AB158" i="6"/>
  <c r="AB150" i="6"/>
  <c r="AB142" i="6"/>
  <c r="AB167" i="6"/>
  <c r="AB164" i="6"/>
  <c r="AB172" i="6"/>
  <c r="AB163" i="6"/>
  <c r="AB155" i="6"/>
  <c r="AB185" i="6"/>
  <c r="AB177" i="6"/>
  <c r="AB162" i="6"/>
  <c r="AB156" i="6"/>
  <c r="AB152" i="6"/>
  <c r="AB151" i="6"/>
  <c r="AB144" i="6"/>
  <c r="AB143" i="6"/>
  <c r="AB196" i="6"/>
  <c r="AB165" i="6"/>
  <c r="AB161" i="6"/>
  <c r="AB148" i="6"/>
  <c r="AB160" i="6"/>
  <c r="AB159" i="6"/>
  <c r="AB157" i="6"/>
  <c r="AB149" i="6"/>
  <c r="AB146" i="6"/>
  <c r="AB145" i="6"/>
  <c r="AB137" i="6"/>
  <c r="AB170" i="6"/>
  <c r="AB136" i="6"/>
  <c r="AB135" i="6"/>
  <c r="AB147" i="6"/>
  <c r="AB134" i="6"/>
  <c r="AB153" i="6"/>
  <c r="AB140" i="6"/>
  <c r="AB132" i="6"/>
  <c r="AB141" i="6"/>
  <c r="AB130" i="6"/>
  <c r="AB154" i="6"/>
  <c r="AB139" i="6"/>
  <c r="AB133" i="6"/>
  <c r="AB129" i="6"/>
  <c r="AB121" i="6"/>
  <c r="AB120" i="6"/>
  <c r="AB119" i="6"/>
  <c r="AB126" i="6"/>
  <c r="AB138" i="6"/>
  <c r="AB124" i="6"/>
  <c r="AB127" i="6"/>
  <c r="AB125" i="6"/>
  <c r="AB115" i="6"/>
  <c r="AB131" i="6"/>
  <c r="AB128" i="6"/>
  <c r="AB112" i="6"/>
  <c r="AB118" i="6"/>
  <c r="AB102" i="6"/>
  <c r="AB91" i="6"/>
  <c r="AB83" i="6"/>
  <c r="AB82" i="6"/>
  <c r="AB114" i="6"/>
  <c r="AB101" i="6"/>
  <c r="AB123" i="6"/>
  <c r="AB111" i="6"/>
  <c r="AB100" i="6"/>
  <c r="AB110" i="6"/>
  <c r="AB109" i="6"/>
  <c r="AB99" i="6"/>
  <c r="AB88" i="6"/>
  <c r="AB77" i="6"/>
  <c r="AB116" i="6"/>
  <c r="AB108" i="6"/>
  <c r="AB98" i="6"/>
  <c r="AB87" i="6"/>
  <c r="AB107" i="6"/>
  <c r="AB106" i="6"/>
  <c r="AB105" i="6"/>
  <c r="AB97" i="6"/>
  <c r="AB96" i="6"/>
  <c r="AB92" i="6"/>
  <c r="AB89" i="6"/>
  <c r="AB75" i="6"/>
  <c r="AB69" i="6"/>
  <c r="AB59" i="6"/>
  <c r="AB113" i="6"/>
  <c r="AB58" i="6"/>
  <c r="AB90" i="6"/>
  <c r="AB79" i="6"/>
  <c r="AB94" i="6"/>
  <c r="AB86" i="6"/>
  <c r="AB74" i="6"/>
  <c r="AB66" i="6"/>
  <c r="AB104" i="6"/>
  <c r="AB80" i="6"/>
  <c r="AB78" i="6"/>
  <c r="AB95" i="6"/>
  <c r="AB85" i="6"/>
  <c r="AB84" i="6"/>
  <c r="AB72" i="6"/>
  <c r="AB62" i="6"/>
  <c r="AB65" i="6"/>
  <c r="AB35" i="6"/>
  <c r="AB81" i="6"/>
  <c r="AB53" i="6"/>
  <c r="AB33" i="6"/>
  <c r="AB76" i="6"/>
  <c r="AB68" i="6"/>
  <c r="AB57" i="6"/>
  <c r="AB55" i="6"/>
  <c r="AB54" i="6"/>
  <c r="AB40" i="6"/>
  <c r="AB32" i="6"/>
  <c r="AB67" i="6"/>
  <c r="BB232" i="6"/>
  <c r="BB225" i="6"/>
  <c r="BB229" i="6"/>
  <c r="BB228" i="6"/>
  <c r="BB227" i="6"/>
  <c r="BB226" i="6"/>
  <c r="BB223" i="6"/>
  <c r="BB222" i="6"/>
  <c r="BB224" i="6"/>
  <c r="BB221" i="6"/>
  <c r="BB217" i="6"/>
  <c r="BB219" i="6"/>
  <c r="BB220" i="6"/>
  <c r="BB198" i="6"/>
  <c r="BB206" i="6"/>
  <c r="BB205" i="6"/>
  <c r="BB201" i="6"/>
  <c r="BB200" i="6"/>
  <c r="BB189" i="6"/>
  <c r="BB199" i="6"/>
  <c r="BB188" i="6"/>
  <c r="BB195" i="6"/>
  <c r="BB203" i="6"/>
  <c r="BB207" i="6"/>
  <c r="BB196" i="6"/>
  <c r="BB193" i="6"/>
  <c r="BB197" i="6"/>
  <c r="BB192" i="6"/>
  <c r="BB187" i="6"/>
  <c r="BB179" i="6"/>
  <c r="BB186" i="6"/>
  <c r="BB178" i="6"/>
  <c r="BB170" i="6"/>
  <c r="BB185" i="6"/>
  <c r="BB194" i="6"/>
  <c r="BB184" i="6"/>
  <c r="BB183" i="6"/>
  <c r="BB175" i="6"/>
  <c r="BB164" i="6"/>
  <c r="BB218" i="6"/>
  <c r="BB177" i="6"/>
  <c r="BB174" i="6"/>
  <c r="BB173" i="6"/>
  <c r="BB167" i="6"/>
  <c r="BB163" i="6"/>
  <c r="BB155" i="6"/>
  <c r="BB147" i="6"/>
  <c r="BB182" i="6"/>
  <c r="BB176" i="6"/>
  <c r="BB181" i="6"/>
  <c r="BB171" i="6"/>
  <c r="BB161" i="6"/>
  <c r="BB191" i="6"/>
  <c r="BB172" i="6"/>
  <c r="BB160" i="6"/>
  <c r="BB152" i="6"/>
  <c r="BB168" i="6"/>
  <c r="BB165" i="6"/>
  <c r="BB157" i="6"/>
  <c r="BB156" i="6"/>
  <c r="BB154" i="6"/>
  <c r="BB153" i="6"/>
  <c r="BB143" i="6"/>
  <c r="BB169" i="6"/>
  <c r="BB151" i="6"/>
  <c r="BB150" i="6"/>
  <c r="BB142" i="6"/>
  <c r="BB149" i="6"/>
  <c r="BB180" i="6"/>
  <c r="BB148" i="6"/>
  <c r="BB141" i="6"/>
  <c r="BB166" i="6"/>
  <c r="BB140" i="6"/>
  <c r="BB132" i="6"/>
  <c r="BB139" i="6"/>
  <c r="BB131" i="6"/>
  <c r="BB144" i="6"/>
  <c r="BB138" i="6"/>
  <c r="BB202" i="6"/>
  <c r="BB190" i="6"/>
  <c r="BB159" i="6"/>
  <c r="BB146" i="6"/>
  <c r="BB145" i="6"/>
  <c r="BB137" i="6"/>
  <c r="BB118" i="6"/>
  <c r="BB129" i="6"/>
  <c r="BB126" i="6"/>
  <c r="BB162" i="6"/>
  <c r="BB125" i="6"/>
  <c r="BB135" i="6"/>
  <c r="BB123" i="6"/>
  <c r="BB133" i="6"/>
  <c r="BB127" i="6"/>
  <c r="BB134" i="6"/>
  <c r="BB120" i="6"/>
  <c r="BB119" i="6"/>
  <c r="BB124" i="6"/>
  <c r="BB116" i="6"/>
  <c r="BB114" i="6"/>
  <c r="BB112" i="6"/>
  <c r="BB136" i="6"/>
  <c r="BB130" i="6"/>
  <c r="BB128" i="6"/>
  <c r="BB158" i="6"/>
  <c r="BB121" i="6"/>
  <c r="BB109" i="6"/>
  <c r="BB106" i="6"/>
  <c r="BB105" i="6"/>
  <c r="BB99" i="6"/>
  <c r="BB88" i="6"/>
  <c r="BB108" i="6"/>
  <c r="BB98" i="6"/>
  <c r="BB95" i="6"/>
  <c r="BB110" i="6"/>
  <c r="BB107" i="6"/>
  <c r="BB97" i="6"/>
  <c r="BB93" i="6"/>
  <c r="BB96" i="6"/>
  <c r="BB85" i="6"/>
  <c r="BB82" i="6"/>
  <c r="BB117" i="6"/>
  <c r="BB94" i="6"/>
  <c r="BB92" i="6"/>
  <c r="BB84" i="6"/>
  <c r="BB80" i="6"/>
  <c r="BB102" i="6"/>
  <c r="BB91" i="6"/>
  <c r="BB113" i="6"/>
  <c r="BB111" i="6"/>
  <c r="BB81" i="6"/>
  <c r="BB74" i="6"/>
  <c r="BB66" i="6"/>
  <c r="BB56" i="6"/>
  <c r="BB53" i="6"/>
  <c r="BB83" i="6"/>
  <c r="BB73" i="6"/>
  <c r="BB65" i="6"/>
  <c r="BB63" i="6"/>
  <c r="BB55" i="6"/>
  <c r="BB79" i="6"/>
  <c r="BB72" i="6"/>
  <c r="BB101" i="6"/>
  <c r="BB100" i="6"/>
  <c r="BB89" i="6"/>
  <c r="BB71" i="6"/>
  <c r="BB61" i="6"/>
  <c r="BB115" i="6"/>
  <c r="BB87" i="6"/>
  <c r="BB78" i="6"/>
  <c r="BB77" i="6"/>
  <c r="BB69" i="6"/>
  <c r="BB59" i="6"/>
  <c r="BB57" i="6"/>
  <c r="BB40" i="6"/>
  <c r="BB32" i="6"/>
  <c r="BB122" i="6"/>
  <c r="BB76" i="6"/>
  <c r="BB67" i="6"/>
  <c r="BB38" i="6"/>
  <c r="BB30" i="6"/>
  <c r="BB86" i="6"/>
  <c r="BB70" i="6"/>
  <c r="BB90" i="6"/>
  <c r="BB75" i="6"/>
  <c r="CN229" i="6"/>
  <c r="CN232" i="6"/>
  <c r="CN228" i="6"/>
  <c r="CN219" i="6"/>
  <c r="CN223" i="6"/>
  <c r="CN224" i="6"/>
  <c r="CN227" i="6"/>
  <c r="CN225" i="6"/>
  <c r="CN218" i="6"/>
  <c r="CN220" i="6"/>
  <c r="CN206" i="6"/>
  <c r="CN217" i="6"/>
  <c r="CN222" i="6"/>
  <c r="CN221" i="6"/>
  <c r="CN207" i="6"/>
  <c r="CN202" i="6"/>
  <c r="CN226" i="6"/>
  <c r="CN201" i="6"/>
  <c r="CN200" i="6"/>
  <c r="CN203" i="6"/>
  <c r="CN192" i="6"/>
  <c r="CN205" i="6"/>
  <c r="CN199" i="6"/>
  <c r="CN198" i="6"/>
  <c r="CN195" i="6"/>
  <c r="CN191" i="6"/>
  <c r="CN194" i="6"/>
  <c r="CN188" i="6"/>
  <c r="CN182" i="6"/>
  <c r="CN181" i="6"/>
  <c r="CN173" i="6"/>
  <c r="CN196" i="6"/>
  <c r="CN187" i="6"/>
  <c r="CN189" i="6"/>
  <c r="CN179" i="6"/>
  <c r="CN193" i="6"/>
  <c r="CN190" i="6"/>
  <c r="CN186" i="6"/>
  <c r="CN178" i="6"/>
  <c r="CN166" i="6"/>
  <c r="CN158" i="6"/>
  <c r="CN150" i="6"/>
  <c r="CN142" i="6"/>
  <c r="CN183" i="6"/>
  <c r="CN175" i="6"/>
  <c r="CN174" i="6"/>
  <c r="CN164" i="6"/>
  <c r="CN180" i="6"/>
  <c r="CN172" i="6"/>
  <c r="CN169" i="6"/>
  <c r="CN163" i="6"/>
  <c r="CN155" i="6"/>
  <c r="CN147" i="6"/>
  <c r="CN185" i="6"/>
  <c r="CN176" i="6"/>
  <c r="CN157" i="6"/>
  <c r="CN154" i="6"/>
  <c r="CN156" i="6"/>
  <c r="CN153" i="6"/>
  <c r="CN170" i="6"/>
  <c r="CN160" i="6"/>
  <c r="CN162" i="6"/>
  <c r="CN161" i="6"/>
  <c r="CN165" i="6"/>
  <c r="CN152" i="6"/>
  <c r="CN141" i="6"/>
  <c r="CN137" i="6"/>
  <c r="CN167" i="6"/>
  <c r="CN146" i="6"/>
  <c r="CN136" i="6"/>
  <c r="CN168" i="6"/>
  <c r="CN159" i="6"/>
  <c r="CN135" i="6"/>
  <c r="CN127" i="6"/>
  <c r="CN184" i="6"/>
  <c r="CN134" i="6"/>
  <c r="CN145" i="6"/>
  <c r="CN143" i="6"/>
  <c r="CN140" i="6"/>
  <c r="CN132" i="6"/>
  <c r="CN177" i="6"/>
  <c r="CN138" i="6"/>
  <c r="CN133" i="6"/>
  <c r="CN121" i="6"/>
  <c r="CN148" i="6"/>
  <c r="CN120" i="6"/>
  <c r="CN149" i="6"/>
  <c r="CN144" i="6"/>
  <c r="CN151" i="6"/>
  <c r="CN126" i="6"/>
  <c r="CN139" i="6"/>
  <c r="CN128" i="6"/>
  <c r="CN130" i="6"/>
  <c r="CN125" i="6"/>
  <c r="CN124" i="6"/>
  <c r="CN119" i="6"/>
  <c r="CN118" i="6"/>
  <c r="CN131" i="6"/>
  <c r="CN129" i="6"/>
  <c r="CN123" i="6"/>
  <c r="CN112" i="6"/>
  <c r="CN115" i="6"/>
  <c r="CN114" i="6"/>
  <c r="CN102" i="6"/>
  <c r="CN91" i="6"/>
  <c r="CN83" i="6"/>
  <c r="CN101" i="6"/>
  <c r="CN116" i="6"/>
  <c r="CN110" i="6"/>
  <c r="CN100" i="6"/>
  <c r="CN109" i="6"/>
  <c r="CN99" i="6"/>
  <c r="CN88" i="6"/>
  <c r="CN77" i="6"/>
  <c r="CN108" i="6"/>
  <c r="CN98" i="6"/>
  <c r="CN87" i="6"/>
  <c r="CN107" i="6"/>
  <c r="CN97" i="6"/>
  <c r="CN96" i="6"/>
  <c r="CN92" i="6"/>
  <c r="CN69" i="6"/>
  <c r="CN59" i="6"/>
  <c r="CN86" i="6"/>
  <c r="CN58" i="6"/>
  <c r="CN89" i="6"/>
  <c r="CN68" i="6"/>
  <c r="CN85" i="6"/>
  <c r="CN84" i="6"/>
  <c r="CN66" i="6"/>
  <c r="CN56" i="6"/>
  <c r="CN81" i="6"/>
  <c r="CN79" i="6"/>
  <c r="CN94" i="6"/>
  <c r="CN74" i="6"/>
  <c r="CN72" i="6"/>
  <c r="CN62" i="6"/>
  <c r="CN67" i="6"/>
  <c r="CN35" i="6"/>
  <c r="CN90" i="6"/>
  <c r="CN78" i="6"/>
  <c r="CN75" i="6"/>
  <c r="CN61" i="6"/>
  <c r="CN33" i="6"/>
  <c r="CN70" i="6"/>
  <c r="CN63" i="6"/>
  <c r="CN40" i="6"/>
  <c r="CN32" i="6"/>
  <c r="CN65" i="6"/>
  <c r="H7" i="6"/>
  <c r="AN7" i="6"/>
  <c r="BT7" i="6"/>
  <c r="AB24" i="6"/>
  <c r="CN24" i="6"/>
  <c r="CB26" i="6"/>
  <c r="T28" i="6"/>
  <c r="AF28" i="6"/>
  <c r="H30" i="6"/>
  <c r="AO31" i="6"/>
  <c r="AN31" i="6"/>
  <c r="AX32" i="6"/>
  <c r="AW32" i="6"/>
  <c r="CR32" i="6"/>
  <c r="CV33" i="6"/>
  <c r="AN34" i="6"/>
  <c r="BF35" i="6"/>
  <c r="BL36" i="6"/>
  <c r="CT36" i="6"/>
  <c r="CS36" i="6"/>
  <c r="J38" i="6"/>
  <c r="CY38" i="6"/>
  <c r="I38" i="6"/>
  <c r="Y38" i="6"/>
  <c r="AP38" i="6"/>
  <c r="AO38" i="6"/>
  <c r="BE38" i="6"/>
  <c r="BV38" i="6"/>
  <c r="BU38" i="6"/>
  <c r="CK38" i="6"/>
  <c r="AP39" i="6"/>
  <c r="BU39" i="6"/>
  <c r="BT39" i="6"/>
  <c r="AR213" i="6"/>
  <c r="AZ43" i="6"/>
  <c r="W44" i="6"/>
  <c r="AZ214" i="6"/>
  <c r="BH44" i="6"/>
  <c r="CI44" i="6"/>
  <c r="AA45" i="6"/>
  <c r="BI51" i="6"/>
  <c r="AB52" i="6"/>
  <c r="AA51" i="6"/>
  <c r="CH52" i="6"/>
  <c r="CW53" i="6"/>
  <c r="N53" i="6"/>
  <c r="M52" i="6"/>
  <c r="AT53" i="6"/>
  <c r="BL54" i="6"/>
  <c r="CV54" i="6"/>
  <c r="CN57" i="6"/>
  <c r="Y59" i="6"/>
  <c r="AH63" i="6"/>
  <c r="AO67" i="6"/>
  <c r="AN67" i="6"/>
  <c r="DB69" i="6"/>
  <c r="DA69" i="6"/>
  <c r="CY70" i="6"/>
  <c r="I70" i="6"/>
  <c r="CV72" i="6"/>
  <c r="CV75" i="6"/>
  <c r="CL100" i="6"/>
  <c r="CK100" i="6"/>
  <c r="CJ100" i="6"/>
  <c r="AL103" i="6"/>
  <c r="CL109" i="6"/>
  <c r="CK109" i="6"/>
  <c r="Y27" i="6"/>
  <c r="X27" i="6"/>
  <c r="AB29" i="6"/>
  <c r="CN29" i="6"/>
  <c r="CN30" i="6"/>
  <c r="AB31" i="6"/>
  <c r="T32" i="6"/>
  <c r="CD32" i="6"/>
  <c r="CC32" i="6"/>
  <c r="CY33" i="6"/>
  <c r="Q33" i="6"/>
  <c r="CJ33" i="6"/>
  <c r="J34" i="6"/>
  <c r="Z34" i="6"/>
  <c r="Y34" i="6"/>
  <c r="AO34" i="6"/>
  <c r="BB34" i="6"/>
  <c r="BT34" i="6"/>
  <c r="CF34" i="6"/>
  <c r="AF35" i="6"/>
  <c r="CK35" i="6"/>
  <c r="CJ35" i="6"/>
  <c r="X36" i="6"/>
  <c r="BB36" i="6"/>
  <c r="CF36" i="6"/>
  <c r="CR36" i="6"/>
  <c r="H38" i="6"/>
  <c r="Z38" i="6"/>
  <c r="AN38" i="6"/>
  <c r="BF38" i="6"/>
  <c r="BT38" i="6"/>
  <c r="CL38" i="6"/>
  <c r="AB39" i="6"/>
  <c r="BV39" i="6"/>
  <c r="AJ213" i="6"/>
  <c r="AR43" i="6"/>
  <c r="AR214" i="6"/>
  <c r="AZ44" i="6"/>
  <c r="CM45" i="6"/>
  <c r="CW48" i="6"/>
  <c r="CI48" i="6"/>
  <c r="BH52" i="6"/>
  <c r="AH54" i="6"/>
  <c r="AG54" i="6"/>
  <c r="AF54" i="6"/>
  <c r="AG55" i="6"/>
  <c r="AF55" i="6"/>
  <c r="AH55" i="6"/>
  <c r="AO57" i="6"/>
  <c r="AN57" i="6"/>
  <c r="BF59" i="6"/>
  <c r="BD59" i="6"/>
  <c r="CC59" i="6"/>
  <c r="CB59" i="6"/>
  <c r="CD59" i="6"/>
  <c r="CY60" i="6"/>
  <c r="I60" i="6"/>
  <c r="BB62" i="6"/>
  <c r="R63" i="6"/>
  <c r="T64" i="6"/>
  <c r="AZ64" i="6"/>
  <c r="AG65" i="6"/>
  <c r="AF65" i="6"/>
  <c r="AP67" i="6"/>
  <c r="BJ68" i="6"/>
  <c r="AH69" i="6"/>
  <c r="AF69" i="6"/>
  <c r="BF69" i="6"/>
  <c r="BE69" i="6"/>
  <c r="BD69" i="6"/>
  <c r="H70" i="6"/>
  <c r="AB73" i="6"/>
  <c r="CV84" i="6"/>
  <c r="CT91" i="6"/>
  <c r="CS91" i="6"/>
  <c r="CR91" i="6"/>
  <c r="CV108" i="6"/>
  <c r="CJ109" i="6"/>
  <c r="CW46" i="6"/>
  <c r="AJ51" i="6"/>
  <c r="CU53" i="6"/>
  <c r="CV53" i="6" s="1"/>
  <c r="D53" i="6"/>
  <c r="C52" i="6"/>
  <c r="Y56" i="6"/>
  <c r="Z56" i="6"/>
  <c r="X56" i="6"/>
  <c r="AB60" i="6"/>
  <c r="Y61" i="6"/>
  <c r="X61" i="6"/>
  <c r="BB64" i="6"/>
  <c r="Z67" i="6"/>
  <c r="X67" i="6"/>
  <c r="AT68" i="6"/>
  <c r="AG69" i="6"/>
  <c r="J70" i="6"/>
  <c r="AB71" i="6"/>
  <c r="CC72" i="6"/>
  <c r="CD72" i="6"/>
  <c r="CB72" i="6"/>
  <c r="CN73" i="6"/>
  <c r="T77" i="6"/>
  <c r="CK79" i="6"/>
  <c r="CJ79" i="6"/>
  <c r="CL79" i="6"/>
  <c r="CW80" i="6"/>
  <c r="N80" i="6"/>
  <c r="AT51" i="6"/>
  <c r="AS49" i="6"/>
  <c r="AT49" i="6" s="1"/>
  <c r="BD113" i="6"/>
  <c r="BF113" i="6"/>
  <c r="BE113" i="6"/>
  <c r="CY113" i="6"/>
  <c r="T226" i="6"/>
  <c r="T232" i="6"/>
  <c r="T229" i="6"/>
  <c r="T228" i="6"/>
  <c r="T224" i="6"/>
  <c r="T223" i="6"/>
  <c r="T225" i="6"/>
  <c r="T222" i="6"/>
  <c r="T219" i="6"/>
  <c r="T218" i="6"/>
  <c r="T221" i="6"/>
  <c r="T217" i="6"/>
  <c r="T207" i="6"/>
  <c r="T227" i="6"/>
  <c r="T220" i="6"/>
  <c r="T199" i="6"/>
  <c r="T198" i="6"/>
  <c r="T206" i="6"/>
  <c r="T190" i="6"/>
  <c r="T189" i="6"/>
  <c r="T193" i="6"/>
  <c r="T200" i="6"/>
  <c r="T192" i="6"/>
  <c r="T201" i="6"/>
  <c r="T197" i="6"/>
  <c r="T196" i="6"/>
  <c r="T191" i="6"/>
  <c r="T180" i="6"/>
  <c r="T205" i="6"/>
  <c r="T187" i="6"/>
  <c r="T179" i="6"/>
  <c r="T203" i="6"/>
  <c r="T186" i="6"/>
  <c r="T194" i="6"/>
  <c r="T185" i="6"/>
  <c r="T184" i="6"/>
  <c r="T176" i="6"/>
  <c r="T167" i="6"/>
  <c r="T165" i="6"/>
  <c r="T182" i="6"/>
  <c r="T164" i="6"/>
  <c r="T156" i="6"/>
  <c r="T148" i="6"/>
  <c r="T188" i="6"/>
  <c r="T183" i="6"/>
  <c r="T181" i="6"/>
  <c r="T177" i="6"/>
  <c r="T172" i="6"/>
  <c r="T178" i="6"/>
  <c r="T162" i="6"/>
  <c r="T175" i="6"/>
  <c r="T170" i="6"/>
  <c r="T161" i="6"/>
  <c r="T153" i="6"/>
  <c r="T202" i="6"/>
  <c r="T169" i="6"/>
  <c r="T160" i="6"/>
  <c r="T173" i="6"/>
  <c r="T159" i="6"/>
  <c r="T158" i="6"/>
  <c r="T195" i="6"/>
  <c r="T157" i="6"/>
  <c r="T155" i="6"/>
  <c r="T145" i="6"/>
  <c r="T168" i="6"/>
  <c r="T166" i="6"/>
  <c r="T163" i="6"/>
  <c r="T174" i="6"/>
  <c r="T143" i="6"/>
  <c r="T142" i="6"/>
  <c r="T134" i="6"/>
  <c r="T133" i="6"/>
  <c r="T154" i="6"/>
  <c r="T140" i="6"/>
  <c r="T132" i="6"/>
  <c r="T150" i="6"/>
  <c r="T149" i="6"/>
  <c r="T146" i="6"/>
  <c r="T139" i="6"/>
  <c r="T141" i="6"/>
  <c r="T138" i="6"/>
  <c r="T130" i="6"/>
  <c r="T120" i="6"/>
  <c r="T119" i="6"/>
  <c r="T152" i="6"/>
  <c r="T135" i="6"/>
  <c r="T118" i="6"/>
  <c r="T126" i="6"/>
  <c r="T144" i="6"/>
  <c r="T131" i="6"/>
  <c r="T124" i="6"/>
  <c r="T115" i="6"/>
  <c r="T147" i="6"/>
  <c r="T129" i="6"/>
  <c r="T151" i="6"/>
  <c r="T137" i="6"/>
  <c r="T136" i="6"/>
  <c r="T128" i="6"/>
  <c r="T123" i="6"/>
  <c r="T121" i="6"/>
  <c r="T114" i="6"/>
  <c r="T113" i="6"/>
  <c r="T127" i="6"/>
  <c r="T125" i="6"/>
  <c r="T116" i="6"/>
  <c r="T110" i="6"/>
  <c r="T100" i="6"/>
  <c r="T89" i="6"/>
  <c r="T109" i="6"/>
  <c r="T99" i="6"/>
  <c r="T112" i="6"/>
  <c r="T108" i="6"/>
  <c r="T98" i="6"/>
  <c r="T107" i="6"/>
  <c r="T106" i="6"/>
  <c r="T105" i="6"/>
  <c r="T97" i="6"/>
  <c r="T86" i="6"/>
  <c r="T75" i="6"/>
  <c r="T96" i="6"/>
  <c r="T95" i="6"/>
  <c r="T85" i="6"/>
  <c r="T94" i="6"/>
  <c r="T92" i="6"/>
  <c r="T102" i="6"/>
  <c r="T82" i="6"/>
  <c r="T78" i="6"/>
  <c r="T67" i="6"/>
  <c r="T57" i="6"/>
  <c r="T93" i="6"/>
  <c r="T74" i="6"/>
  <c r="T66" i="6"/>
  <c r="T56" i="6"/>
  <c r="T84" i="6"/>
  <c r="T81" i="6"/>
  <c r="T80" i="6"/>
  <c r="T73" i="6"/>
  <c r="T83" i="6"/>
  <c r="T72" i="6"/>
  <c r="T62" i="6"/>
  <c r="T88" i="6"/>
  <c r="T70" i="6"/>
  <c r="T60" i="6"/>
  <c r="T101" i="6"/>
  <c r="T61" i="6"/>
  <c r="T55" i="6"/>
  <c r="T54" i="6"/>
  <c r="T33" i="6"/>
  <c r="T87" i="6"/>
  <c r="T71" i="6"/>
  <c r="T68" i="6"/>
  <c r="T69" i="6"/>
  <c r="T39" i="6"/>
  <c r="T31" i="6"/>
  <c r="T104" i="6"/>
  <c r="S45" i="6"/>
  <c r="T38" i="6"/>
  <c r="T30" i="6"/>
  <c r="T63" i="6"/>
  <c r="AT223" i="6"/>
  <c r="AT229" i="6"/>
  <c r="AT228" i="6"/>
  <c r="AT227" i="6"/>
  <c r="AT232" i="6"/>
  <c r="AT226" i="6"/>
  <c r="AT225" i="6"/>
  <c r="AT222" i="6"/>
  <c r="AT224" i="6"/>
  <c r="AT221" i="6"/>
  <c r="AT220" i="6"/>
  <c r="AT219" i="6"/>
  <c r="AT207" i="6"/>
  <c r="AT218" i="6"/>
  <c r="AT206" i="6"/>
  <c r="AT205" i="6"/>
  <c r="AT196" i="6"/>
  <c r="AT217" i="6"/>
  <c r="AT203" i="6"/>
  <c r="AT195" i="6"/>
  <c r="AT194" i="6"/>
  <c r="AT198" i="6"/>
  <c r="AT193" i="6"/>
  <c r="AT192" i="6"/>
  <c r="AT202" i="6"/>
  <c r="AT197" i="6"/>
  <c r="AT200" i="6"/>
  <c r="AT199" i="6"/>
  <c r="AT189" i="6"/>
  <c r="AT185" i="6"/>
  <c r="AT177" i="6"/>
  <c r="AT184" i="6"/>
  <c r="AT176" i="6"/>
  <c r="AT168" i="6"/>
  <c r="AT201" i="6"/>
  <c r="AT191" i="6"/>
  <c r="AT190" i="6"/>
  <c r="AT188" i="6"/>
  <c r="AT183" i="6"/>
  <c r="AT182" i="6"/>
  <c r="AT181" i="6"/>
  <c r="AT173" i="6"/>
  <c r="AT186" i="6"/>
  <c r="AT180" i="6"/>
  <c r="AT162" i="6"/>
  <c r="AT172" i="6"/>
  <c r="AT161" i="6"/>
  <c r="AT153" i="6"/>
  <c r="AT145" i="6"/>
  <c r="AT170" i="6"/>
  <c r="AT166" i="6"/>
  <c r="AT158" i="6"/>
  <c r="AT150" i="6"/>
  <c r="AT187" i="6"/>
  <c r="AT179" i="6"/>
  <c r="AT149" i="6"/>
  <c r="AT148" i="6"/>
  <c r="AT164" i="6"/>
  <c r="AT163" i="6"/>
  <c r="AT178" i="6"/>
  <c r="AT167" i="6"/>
  <c r="AT165" i="6"/>
  <c r="AT160" i="6"/>
  <c r="AT159" i="6"/>
  <c r="AT146" i="6"/>
  <c r="AT169" i="6"/>
  <c r="AT157" i="6"/>
  <c r="AT156" i="6"/>
  <c r="AT175" i="6"/>
  <c r="AT155" i="6"/>
  <c r="AT154" i="6"/>
  <c r="AT140" i="6"/>
  <c r="AT144" i="6"/>
  <c r="AT139" i="6"/>
  <c r="AT174" i="6"/>
  <c r="AT138" i="6"/>
  <c r="AT130" i="6"/>
  <c r="AT147" i="6"/>
  <c r="AT143" i="6"/>
  <c r="AT137" i="6"/>
  <c r="AT129" i="6"/>
  <c r="AT151" i="6"/>
  <c r="AT141" i="6"/>
  <c r="AT135" i="6"/>
  <c r="AT133" i="6"/>
  <c r="AT132" i="6"/>
  <c r="AT131" i="6"/>
  <c r="AT128" i="6"/>
  <c r="AT125" i="6"/>
  <c r="AT116" i="6"/>
  <c r="AT134" i="6"/>
  <c r="AT124" i="6"/>
  <c r="AT115" i="6"/>
  <c r="AT127" i="6"/>
  <c r="AT123" i="6"/>
  <c r="AT152" i="6"/>
  <c r="AT136" i="6"/>
  <c r="AT121" i="6"/>
  <c r="AT119" i="6"/>
  <c r="AT142" i="6"/>
  <c r="AT117" i="6"/>
  <c r="AT110" i="6"/>
  <c r="AT122" i="6"/>
  <c r="AT114" i="6"/>
  <c r="AT107" i="6"/>
  <c r="AT97" i="6"/>
  <c r="AT95" i="6"/>
  <c r="AT86" i="6"/>
  <c r="AT96" i="6"/>
  <c r="AT93" i="6"/>
  <c r="AT118" i="6"/>
  <c r="AT94" i="6"/>
  <c r="AT92" i="6"/>
  <c r="AT102" i="6"/>
  <c r="AT91" i="6"/>
  <c r="AT83" i="6"/>
  <c r="AT80" i="6"/>
  <c r="AT113" i="6"/>
  <c r="AT101" i="6"/>
  <c r="AT90" i="6"/>
  <c r="AT81" i="6"/>
  <c r="AT79" i="6"/>
  <c r="AT126" i="6"/>
  <c r="AT120" i="6"/>
  <c r="AT112" i="6"/>
  <c r="AT100" i="6"/>
  <c r="AT89" i="6"/>
  <c r="AT106" i="6"/>
  <c r="AT87" i="6"/>
  <c r="AT72" i="6"/>
  <c r="AT62" i="6"/>
  <c r="AT54" i="6"/>
  <c r="AT88" i="6"/>
  <c r="AT78" i="6"/>
  <c r="AT71" i="6"/>
  <c r="AT61" i="6"/>
  <c r="AT82" i="6"/>
  <c r="AT77" i="6"/>
  <c r="AT70" i="6"/>
  <c r="AT108" i="6"/>
  <c r="AT98" i="6"/>
  <c r="AT76" i="6"/>
  <c r="AT69" i="6"/>
  <c r="AT59" i="6"/>
  <c r="AT85" i="6"/>
  <c r="AT109" i="6"/>
  <c r="AT99" i="6"/>
  <c r="AT84" i="6"/>
  <c r="AT67" i="6"/>
  <c r="AT57" i="6"/>
  <c r="AT105" i="6"/>
  <c r="AT66" i="6"/>
  <c r="AT56" i="6"/>
  <c r="AT38" i="6"/>
  <c r="AT63" i="6"/>
  <c r="AT58" i="6"/>
  <c r="AT73" i="6"/>
  <c r="AT65" i="6"/>
  <c r="AT64" i="6"/>
  <c r="AT55" i="6"/>
  <c r="AT52" i="6"/>
  <c r="AT36" i="6"/>
  <c r="AT28" i="6"/>
  <c r="AT60" i="6"/>
  <c r="AS45" i="6"/>
  <c r="AT35" i="6"/>
  <c r="AT27" i="6"/>
  <c r="CF226" i="6"/>
  <c r="CF232" i="6"/>
  <c r="CF229" i="6"/>
  <c r="CF228" i="6"/>
  <c r="CF222" i="6"/>
  <c r="CF227" i="6"/>
  <c r="CF219" i="6"/>
  <c r="CF223" i="6"/>
  <c r="CF221" i="6"/>
  <c r="CF217" i="6"/>
  <c r="CF207" i="6"/>
  <c r="CF225" i="6"/>
  <c r="CF220" i="6"/>
  <c r="CF224" i="6"/>
  <c r="CF218" i="6"/>
  <c r="CF199" i="6"/>
  <c r="CF198" i="6"/>
  <c r="CF190" i="6"/>
  <c r="CF206" i="6"/>
  <c r="CF189" i="6"/>
  <c r="CF203" i="6"/>
  <c r="CF201" i="6"/>
  <c r="CF194" i="6"/>
  <c r="CF195" i="6"/>
  <c r="CF200" i="6"/>
  <c r="CF197" i="6"/>
  <c r="CF192" i="6"/>
  <c r="CF196" i="6"/>
  <c r="CF191" i="6"/>
  <c r="CF180" i="6"/>
  <c r="CF205" i="6"/>
  <c r="CF202" i="6"/>
  <c r="CF179" i="6"/>
  <c r="CF186" i="6"/>
  <c r="CF185" i="6"/>
  <c r="CF184" i="6"/>
  <c r="CF176" i="6"/>
  <c r="CF165" i="6"/>
  <c r="CF172" i="6"/>
  <c r="CF164" i="6"/>
  <c r="CF156" i="6"/>
  <c r="CF148" i="6"/>
  <c r="CF193" i="6"/>
  <c r="CF188" i="6"/>
  <c r="CF177" i="6"/>
  <c r="CF187" i="6"/>
  <c r="CF168" i="6"/>
  <c r="CF162" i="6"/>
  <c r="CF183" i="6"/>
  <c r="CF167" i="6"/>
  <c r="CF161" i="6"/>
  <c r="CF153" i="6"/>
  <c r="CF166" i="6"/>
  <c r="CF163" i="6"/>
  <c r="CF146" i="6"/>
  <c r="CF182" i="6"/>
  <c r="CF181" i="6"/>
  <c r="CF149" i="6"/>
  <c r="CF147" i="6"/>
  <c r="CF145" i="6"/>
  <c r="CF169" i="6"/>
  <c r="CF174" i="6"/>
  <c r="CF159" i="6"/>
  <c r="CF158" i="6"/>
  <c r="CF173" i="6"/>
  <c r="CF143" i="6"/>
  <c r="CF135" i="6"/>
  <c r="CF160" i="6"/>
  <c r="CF157" i="6"/>
  <c r="CF134" i="6"/>
  <c r="CF154" i="6"/>
  <c r="CF150" i="6"/>
  <c r="CF144" i="6"/>
  <c r="CF142" i="6"/>
  <c r="CF133" i="6"/>
  <c r="CF155" i="6"/>
  <c r="CF152" i="6"/>
  <c r="CF140" i="6"/>
  <c r="CF132" i="6"/>
  <c r="CF175" i="6"/>
  <c r="CF151" i="6"/>
  <c r="CF139" i="6"/>
  <c r="CF170" i="6"/>
  <c r="CF141" i="6"/>
  <c r="CF138" i="6"/>
  <c r="CF130" i="6"/>
  <c r="CF137" i="6"/>
  <c r="CF120" i="6"/>
  <c r="CF128" i="6"/>
  <c r="CF118" i="6"/>
  <c r="CF178" i="6"/>
  <c r="CF136" i="6"/>
  <c r="CF127" i="6"/>
  <c r="CF126" i="6"/>
  <c r="CF131" i="6"/>
  <c r="CF124" i="6"/>
  <c r="CF115" i="6"/>
  <c r="CF129" i="6"/>
  <c r="CF121" i="6"/>
  <c r="CF125" i="6"/>
  <c r="CF112" i="6"/>
  <c r="CF100" i="6"/>
  <c r="CF89" i="6"/>
  <c r="CF109" i="6"/>
  <c r="CF99" i="6"/>
  <c r="CF123" i="6"/>
  <c r="CF108" i="6"/>
  <c r="CF98" i="6"/>
  <c r="CF114" i="6"/>
  <c r="CF107" i="6"/>
  <c r="CF97" i="6"/>
  <c r="CF86" i="6"/>
  <c r="CF75" i="6"/>
  <c r="CF96" i="6"/>
  <c r="CF85" i="6"/>
  <c r="CF94" i="6"/>
  <c r="CF92" i="6"/>
  <c r="CF102" i="6"/>
  <c r="CF84" i="6"/>
  <c r="CF81" i="6"/>
  <c r="CF79" i="6"/>
  <c r="CF67" i="6"/>
  <c r="CF57" i="6"/>
  <c r="CF101" i="6"/>
  <c r="CF83" i="6"/>
  <c r="CF66" i="6"/>
  <c r="CF56" i="6"/>
  <c r="CF78" i="6"/>
  <c r="CF76" i="6"/>
  <c r="CF74" i="6"/>
  <c r="CF73" i="6"/>
  <c r="CF68" i="6"/>
  <c r="CF116" i="6"/>
  <c r="CF91" i="6"/>
  <c r="CF90" i="6"/>
  <c r="CF77" i="6"/>
  <c r="CF72" i="6"/>
  <c r="CF62" i="6"/>
  <c r="CF110" i="6"/>
  <c r="CF87" i="6"/>
  <c r="CF70" i="6"/>
  <c r="CF60" i="6"/>
  <c r="CF63" i="6"/>
  <c r="CF33" i="6"/>
  <c r="CF71" i="6"/>
  <c r="CF65" i="6"/>
  <c r="CF69" i="6"/>
  <c r="CF59" i="6"/>
  <c r="CF54" i="6"/>
  <c r="CF39" i="6"/>
  <c r="CF31" i="6"/>
  <c r="CE45" i="6"/>
  <c r="CF38" i="6"/>
  <c r="CF30" i="6"/>
  <c r="CF61" i="6"/>
  <c r="W13" i="6"/>
  <c r="CY13" i="6" s="1"/>
  <c r="BC14" i="6"/>
  <c r="BB24" i="6"/>
  <c r="I25" i="6"/>
  <c r="T25" i="6"/>
  <c r="CF25" i="6"/>
  <c r="CF26" i="6"/>
  <c r="AB27" i="6"/>
  <c r="BB27" i="6"/>
  <c r="J28" i="6"/>
  <c r="CN28" i="6"/>
  <c r="AB30" i="6"/>
  <c r="Q31" i="6"/>
  <c r="CF32" i="6"/>
  <c r="AW33" i="6"/>
  <c r="AV33" i="6"/>
  <c r="AB34" i="6"/>
  <c r="CL34" i="6"/>
  <c r="CK34" i="6"/>
  <c r="T35" i="6"/>
  <c r="CJ36" i="6"/>
  <c r="AB37" i="6"/>
  <c r="CN37" i="6"/>
  <c r="CN39" i="6"/>
  <c r="R40" i="6"/>
  <c r="Q40" i="6"/>
  <c r="AX40" i="6"/>
  <c r="AW40" i="6"/>
  <c r="CD40" i="6"/>
  <c r="CC40" i="6"/>
  <c r="T213" i="6"/>
  <c r="CF213" i="6"/>
  <c r="AB214" i="6"/>
  <c r="AJ44" i="6"/>
  <c r="T53" i="6"/>
  <c r="BP52" i="6"/>
  <c r="Q54" i="6"/>
  <c r="CY54" i="6"/>
  <c r="Q55" i="6"/>
  <c r="CB55" i="6"/>
  <c r="AB56" i="6"/>
  <c r="Z57" i="6"/>
  <c r="X57" i="6"/>
  <c r="BU57" i="6"/>
  <c r="BT57" i="6"/>
  <c r="CF58" i="6"/>
  <c r="Z61" i="6"/>
  <c r="R65" i="6"/>
  <c r="AF66" i="6"/>
  <c r="Y67" i="6"/>
  <c r="CT69" i="6"/>
  <c r="CR69" i="6"/>
  <c r="J71" i="6"/>
  <c r="H71" i="6"/>
  <c r="CY71" i="6"/>
  <c r="AH71" i="6"/>
  <c r="AG71" i="6"/>
  <c r="AF71" i="6"/>
  <c r="J73" i="6"/>
  <c r="CY73" i="6"/>
  <c r="I73" i="6"/>
  <c r="H73" i="6"/>
  <c r="BE81" i="6"/>
  <c r="BD81" i="6"/>
  <c r="X91" i="6"/>
  <c r="AT103" i="6"/>
  <c r="CT106" i="6"/>
  <c r="CM105" i="6"/>
  <c r="CD107" i="6"/>
  <c r="CC107" i="6"/>
  <c r="CB107" i="6"/>
  <c r="AP65" i="6"/>
  <c r="AN65" i="6"/>
  <c r="CY67" i="6"/>
  <c r="I67" i="6"/>
  <c r="H67" i="6"/>
  <c r="F68" i="6"/>
  <c r="AL68" i="6"/>
  <c r="CV73" i="6"/>
  <c r="CJ83" i="6"/>
  <c r="BV85" i="6"/>
  <c r="BU85" i="6"/>
  <c r="BT85" i="6"/>
  <c r="CD87" i="6"/>
  <c r="CC87" i="6"/>
  <c r="CB87" i="6"/>
  <c r="CL88" i="6"/>
  <c r="CK88" i="6"/>
  <c r="CJ88" i="6"/>
  <c r="CB92" i="6"/>
  <c r="AF96" i="6"/>
  <c r="AN98" i="6"/>
  <c r="AT104" i="6"/>
  <c r="CD108" i="6"/>
  <c r="CC108" i="6"/>
  <c r="CB108" i="6"/>
  <c r="N111" i="6"/>
  <c r="AR117" i="6"/>
  <c r="F213" i="6"/>
  <c r="N213" i="6"/>
  <c r="V213" i="6"/>
  <c r="AD213" i="6"/>
  <c r="AL213" i="6"/>
  <c r="AT213" i="6"/>
  <c r="BB213" i="6"/>
  <c r="BJ213" i="6"/>
  <c r="BZ213" i="6"/>
  <c r="CH213" i="6"/>
  <c r="CP213" i="6"/>
  <c r="CW43" i="6"/>
  <c r="N214" i="6"/>
  <c r="V214" i="6"/>
  <c r="AD214" i="6"/>
  <c r="AL214" i="6"/>
  <c r="AT214" i="6"/>
  <c r="BJ214" i="6"/>
  <c r="BR214" i="6"/>
  <c r="BZ214" i="6"/>
  <c r="CP214" i="6"/>
  <c r="CW44" i="6"/>
  <c r="BD54" i="6"/>
  <c r="CT54" i="6"/>
  <c r="CS54" i="6"/>
  <c r="CV55" i="6"/>
  <c r="AP56" i="6"/>
  <c r="AO56" i="6"/>
  <c r="CY57" i="6"/>
  <c r="I57" i="6"/>
  <c r="H57" i="6"/>
  <c r="BV61" i="6"/>
  <c r="BT61" i="6"/>
  <c r="CK61" i="6"/>
  <c r="CJ61" i="6"/>
  <c r="AP63" i="6"/>
  <c r="AN63" i="6"/>
  <c r="AB64" i="6"/>
  <c r="BH64" i="6"/>
  <c r="BX64" i="6"/>
  <c r="CN64" i="6"/>
  <c r="AO65" i="6"/>
  <c r="CD65" i="6"/>
  <c r="CB65" i="6"/>
  <c r="CS65" i="6"/>
  <c r="CR65" i="6"/>
  <c r="J67" i="6"/>
  <c r="AX67" i="6"/>
  <c r="AV67" i="6"/>
  <c r="CV67" i="6"/>
  <c r="BN69" i="6"/>
  <c r="BL69" i="6"/>
  <c r="AP71" i="6"/>
  <c r="AN71" i="6"/>
  <c r="AP73" i="6"/>
  <c r="AO73" i="6"/>
  <c r="AN73" i="6"/>
  <c r="CY75" i="6"/>
  <c r="I75" i="6"/>
  <c r="H75" i="6"/>
  <c r="BF75" i="6"/>
  <c r="BD75" i="6"/>
  <c r="Z78" i="6"/>
  <c r="Y78" i="6"/>
  <c r="X78" i="6"/>
  <c r="BN78" i="6"/>
  <c r="BM78" i="6"/>
  <c r="CY79" i="6"/>
  <c r="J79" i="6"/>
  <c r="I79" i="6"/>
  <c r="X86" i="6"/>
  <c r="Z86" i="6"/>
  <c r="Y86" i="6"/>
  <c r="CY87" i="6"/>
  <c r="CY97" i="6"/>
  <c r="CY98" i="6"/>
  <c r="R98" i="6"/>
  <c r="Q98" i="6"/>
  <c r="AV100" i="6"/>
  <c r="BB103" i="6"/>
  <c r="AX106" i="6"/>
  <c r="AW106" i="6"/>
  <c r="AV106" i="6"/>
  <c r="CN111" i="6"/>
  <c r="AF38" i="6"/>
  <c r="BL38" i="6"/>
  <c r="H40" i="6"/>
  <c r="AN40" i="6"/>
  <c r="BT40" i="6"/>
  <c r="AX57" i="6"/>
  <c r="AV57" i="6"/>
  <c r="CV57" i="6"/>
  <c r="CY58" i="6"/>
  <c r="AH59" i="6"/>
  <c r="AF59" i="6"/>
  <c r="AW59" i="6"/>
  <c r="AV59" i="6"/>
  <c r="CD63" i="6"/>
  <c r="CB63" i="6"/>
  <c r="CS63" i="6"/>
  <c r="CR63" i="6"/>
  <c r="J65" i="6"/>
  <c r="H65" i="6"/>
  <c r="CL67" i="6"/>
  <c r="CJ67" i="6"/>
  <c r="AD68" i="6"/>
  <c r="BB68" i="6"/>
  <c r="CX71" i="6"/>
  <c r="CY78" i="6"/>
  <c r="BE85" i="6"/>
  <c r="BF85" i="6"/>
  <c r="CV86" i="6"/>
  <c r="BM87" i="6"/>
  <c r="BN87" i="6"/>
  <c r="AB93" i="6"/>
  <c r="AP94" i="6"/>
  <c r="AO94" i="6"/>
  <c r="AW95" i="6"/>
  <c r="J96" i="6"/>
  <c r="CY96" i="6"/>
  <c r="I96" i="6"/>
  <c r="H96" i="6"/>
  <c r="CR96" i="6"/>
  <c r="Z100" i="6"/>
  <c r="Y100" i="6"/>
  <c r="X100" i="6"/>
  <c r="BT101" i="6"/>
  <c r="X102" i="6"/>
  <c r="CP103" i="6"/>
  <c r="V104" i="6"/>
  <c r="BE106" i="6"/>
  <c r="BD106" i="6"/>
  <c r="V111" i="6"/>
  <c r="CB114" i="6"/>
  <c r="CL57" i="6"/>
  <c r="CJ57" i="6"/>
  <c r="CL59" i="6"/>
  <c r="CJ59" i="6"/>
  <c r="AP61" i="6"/>
  <c r="AN61" i="6"/>
  <c r="BE61" i="6"/>
  <c r="BD61" i="6"/>
  <c r="J63" i="6"/>
  <c r="H63" i="6"/>
  <c r="AX65" i="6"/>
  <c r="AV65" i="6"/>
  <c r="BM65" i="6"/>
  <c r="BL65" i="6"/>
  <c r="CV65" i="6"/>
  <c r="R67" i="6"/>
  <c r="P67" i="6"/>
  <c r="Z69" i="6"/>
  <c r="Y69" i="6"/>
  <c r="X69" i="6"/>
  <c r="CL69" i="6"/>
  <c r="CK69" i="6"/>
  <c r="CJ69" i="6"/>
  <c r="BN71" i="6"/>
  <c r="BM71" i="6"/>
  <c r="BL71" i="6"/>
  <c r="CY72" i="6"/>
  <c r="Q72" i="6"/>
  <c r="AX73" i="6"/>
  <c r="AV73" i="6"/>
  <c r="CD74" i="6"/>
  <c r="CB74" i="6"/>
  <c r="H76" i="6"/>
  <c r="J76" i="6"/>
  <c r="I76" i="6"/>
  <c r="CX81" i="6"/>
  <c r="X82" i="6"/>
  <c r="CD97" i="6"/>
  <c r="CC97" i="6"/>
  <c r="CB97" i="6"/>
  <c r="CV98" i="6"/>
  <c r="CL99" i="6"/>
  <c r="CK99" i="6"/>
  <c r="AD103" i="6"/>
  <c r="BR103" i="6"/>
  <c r="BT105" i="6"/>
  <c r="AX110" i="6"/>
  <c r="AW110" i="6"/>
  <c r="AF114" i="6"/>
  <c r="CV116" i="6"/>
  <c r="AZ53" i="6"/>
  <c r="R57" i="6"/>
  <c r="CK57" i="6"/>
  <c r="Q59" i="6"/>
  <c r="CK59" i="6"/>
  <c r="AO61" i="6"/>
  <c r="BF61" i="6"/>
  <c r="CT61" i="6"/>
  <c r="CR61" i="6"/>
  <c r="I63" i="6"/>
  <c r="AX63" i="6"/>
  <c r="AV63" i="6"/>
  <c r="BM63" i="6"/>
  <c r="BL63" i="6"/>
  <c r="CV63" i="6"/>
  <c r="AW65" i="6"/>
  <c r="BN65" i="6"/>
  <c r="Q67" i="6"/>
  <c r="BF67" i="6"/>
  <c r="BD67" i="6"/>
  <c r="BU67" i="6"/>
  <c r="BT67" i="6"/>
  <c r="V68" i="6"/>
  <c r="BR68" i="6"/>
  <c r="AN70" i="6"/>
  <c r="P72" i="6"/>
  <c r="AW73" i="6"/>
  <c r="CC74" i="6"/>
  <c r="R76" i="6"/>
  <c r="Q76" i="6"/>
  <c r="CY76" i="6"/>
  <c r="Q77" i="6"/>
  <c r="R77" i="6"/>
  <c r="AP78" i="6"/>
  <c r="AO78" i="6"/>
  <c r="AN78" i="6"/>
  <c r="D80" i="6"/>
  <c r="Q83" i="6"/>
  <c r="R83" i="6"/>
  <c r="CY83" i="6"/>
  <c r="P83" i="6"/>
  <c r="BV84" i="6"/>
  <c r="BU84" i="6"/>
  <c r="CK85" i="6"/>
  <c r="CL85" i="6"/>
  <c r="CJ85" i="6"/>
  <c r="CS87" i="6"/>
  <c r="CT87" i="6"/>
  <c r="CR87" i="6"/>
  <c r="AV89" i="6"/>
  <c r="AN90" i="6"/>
  <c r="CY90" i="6"/>
  <c r="AP90" i="6"/>
  <c r="AO90" i="6"/>
  <c r="CT90" i="6"/>
  <c r="CS90" i="6"/>
  <c r="CR90" i="6"/>
  <c r="P92" i="6"/>
  <c r="BV96" i="6"/>
  <c r="BU96" i="6"/>
  <c r="BT96" i="6"/>
  <c r="BD97" i="6"/>
  <c r="CJ99" i="6"/>
  <c r="CJ102" i="6"/>
  <c r="CY107" i="6"/>
  <c r="CY108" i="6"/>
  <c r="R108" i="6"/>
  <c r="Q108" i="6"/>
  <c r="AV110" i="6"/>
  <c r="BJ111" i="6"/>
  <c r="CX76" i="6"/>
  <c r="CC77" i="6"/>
  <c r="CB77" i="6"/>
  <c r="CB78" i="6"/>
  <c r="CY81" i="6"/>
  <c r="CC82" i="6"/>
  <c r="CB82" i="6"/>
  <c r="AH83" i="6"/>
  <c r="AG83" i="6"/>
  <c r="CY86" i="6"/>
  <c r="I86" i="6"/>
  <c r="H86" i="6"/>
  <c r="BD86" i="6"/>
  <c r="BF88" i="6"/>
  <c r="BE88" i="6"/>
  <c r="H90" i="6"/>
  <c r="AV94" i="6"/>
  <c r="CY99" i="6"/>
  <c r="Z99" i="6"/>
  <c r="Y99" i="6"/>
  <c r="CR99" i="6"/>
  <c r="CY100" i="6"/>
  <c r="CT101" i="6"/>
  <c r="CS101" i="6"/>
  <c r="D103" i="6"/>
  <c r="AB103" i="6"/>
  <c r="BE105" i="6"/>
  <c r="Z109" i="6"/>
  <c r="Y109" i="6"/>
  <c r="CR109" i="6"/>
  <c r="T111" i="6"/>
  <c r="AZ113" i="6"/>
  <c r="AY111" i="6"/>
  <c r="Y79" i="6"/>
  <c r="X79" i="6"/>
  <c r="BN83" i="6"/>
  <c r="BM83" i="6"/>
  <c r="AV84" i="6"/>
  <c r="CY84" i="6"/>
  <c r="AO86" i="6"/>
  <c r="AN86" i="6"/>
  <c r="CJ86" i="6"/>
  <c r="H87" i="6"/>
  <c r="Z88" i="6"/>
  <c r="Y88" i="6"/>
  <c r="CV89" i="6"/>
  <c r="BN91" i="6"/>
  <c r="BM91" i="6"/>
  <c r="BL91" i="6"/>
  <c r="AP92" i="6"/>
  <c r="AO92" i="6"/>
  <c r="CV92" i="6"/>
  <c r="BV94" i="6"/>
  <c r="BU94" i="6"/>
  <c r="J95" i="6"/>
  <c r="I95" i="6"/>
  <c r="CY95" i="6"/>
  <c r="H95" i="6"/>
  <c r="AF95" i="6"/>
  <c r="R97" i="6"/>
  <c r="Q97" i="6"/>
  <c r="CJ97" i="6"/>
  <c r="H101" i="6"/>
  <c r="F104" i="6"/>
  <c r="BB104" i="6"/>
  <c r="CH104" i="6"/>
  <c r="R107" i="6"/>
  <c r="Q107" i="6"/>
  <c r="CJ107" i="6"/>
  <c r="AR106" i="6"/>
  <c r="AQ105" i="6"/>
  <c r="AX105" i="6" s="1"/>
  <c r="CW111" i="6"/>
  <c r="CL118" i="6"/>
  <c r="CK118" i="6"/>
  <c r="CR74" i="6"/>
  <c r="BD77" i="6"/>
  <c r="BF78" i="6"/>
  <c r="BE78" i="6"/>
  <c r="CR78" i="6"/>
  <c r="Z79" i="6"/>
  <c r="AN79" i="6"/>
  <c r="BL81" i="6"/>
  <c r="BL83" i="6"/>
  <c r="CB83" i="6"/>
  <c r="CT83" i="6"/>
  <c r="CS83" i="6"/>
  <c r="AG84" i="6"/>
  <c r="AF84" i="6"/>
  <c r="AW84" i="6"/>
  <c r="CB84" i="6"/>
  <c r="AF85" i="6"/>
  <c r="AP86" i="6"/>
  <c r="BU86" i="6"/>
  <c r="BT86" i="6"/>
  <c r="CK86" i="6"/>
  <c r="AN87" i="6"/>
  <c r="CV87" i="6"/>
  <c r="X88" i="6"/>
  <c r="CR88" i="6"/>
  <c r="CL89" i="6"/>
  <c r="CK89" i="6"/>
  <c r="CJ89" i="6"/>
  <c r="BN90" i="6"/>
  <c r="BM90" i="6"/>
  <c r="AN92" i="6"/>
  <c r="N93" i="6"/>
  <c r="BT94" i="6"/>
  <c r="AP96" i="6"/>
  <c r="AO96" i="6"/>
  <c r="AN96" i="6"/>
  <c r="BL96" i="6"/>
  <c r="AF99" i="6"/>
  <c r="AH101" i="6"/>
  <c r="AG101" i="6"/>
  <c r="AH102" i="6"/>
  <c r="AG102" i="6"/>
  <c r="AF102" i="6"/>
  <c r="BD102" i="6"/>
  <c r="CT102" i="6"/>
  <c r="CS102" i="6"/>
  <c r="CR102" i="6"/>
  <c r="F103" i="6"/>
  <c r="AD104" i="6"/>
  <c r="BH103" i="6"/>
  <c r="BG95" i="6"/>
  <c r="R106" i="6"/>
  <c r="Q106" i="6"/>
  <c r="AF109" i="6"/>
  <c r="AR111" i="6"/>
  <c r="AR113" i="6"/>
  <c r="BP113" i="6"/>
  <c r="BO111" i="6"/>
  <c r="BV111" i="6" s="1"/>
  <c r="CN113" i="6"/>
  <c r="R114" i="6"/>
  <c r="AV114" i="6"/>
  <c r="CF117" i="6"/>
  <c r="CE113" i="6"/>
  <c r="CU113" i="6" s="1"/>
  <c r="CV113" i="6" s="1"/>
  <c r="CJ118" i="6"/>
  <c r="BT76" i="6"/>
  <c r="BE77" i="6"/>
  <c r="CS78" i="6"/>
  <c r="AO79" i="6"/>
  <c r="BM81" i="6"/>
  <c r="AH82" i="6"/>
  <c r="AG82" i="6"/>
  <c r="BT82" i="6"/>
  <c r="CD83" i="6"/>
  <c r="AX84" i="6"/>
  <c r="BM84" i="6"/>
  <c r="BL84" i="6"/>
  <c r="BL85" i="6"/>
  <c r="CL86" i="6"/>
  <c r="BT87" i="6"/>
  <c r="BL88" i="6"/>
  <c r="BF89" i="6"/>
  <c r="BE89" i="6"/>
  <c r="BD89" i="6"/>
  <c r="AH91" i="6"/>
  <c r="AG91" i="6"/>
  <c r="AF91" i="6"/>
  <c r="CJ91" i="6"/>
  <c r="CY91" i="6"/>
  <c r="AV92" i="6"/>
  <c r="J94" i="6"/>
  <c r="CY94" i="6"/>
  <c r="I94" i="6"/>
  <c r="CB94" i="6"/>
  <c r="BL95" i="6"/>
  <c r="X97" i="6"/>
  <c r="H98" i="6"/>
  <c r="AX98" i="6"/>
  <c r="AW98" i="6"/>
  <c r="AV98" i="6"/>
  <c r="BT98" i="6"/>
  <c r="BF99" i="6"/>
  <c r="BE99" i="6"/>
  <c r="CV99" i="6"/>
  <c r="BF100" i="6"/>
  <c r="BE100" i="6"/>
  <c r="BD100" i="6"/>
  <c r="CB100" i="6"/>
  <c r="CV102" i="6"/>
  <c r="AJ103" i="6"/>
  <c r="BJ104" i="6"/>
  <c r="CP104" i="6"/>
  <c r="R105" i="6"/>
  <c r="Q105" i="6"/>
  <c r="X107" i="6"/>
  <c r="AX108" i="6"/>
  <c r="AW108" i="6"/>
  <c r="AV108" i="6"/>
  <c r="BF109" i="6"/>
  <c r="BE109" i="6"/>
  <c r="CV109" i="6"/>
  <c r="AT111" i="6"/>
  <c r="Q114" i="6"/>
  <c r="CR114" i="6"/>
  <c r="BU56" i="6"/>
  <c r="Q58" i="6"/>
  <c r="AW58" i="6"/>
  <c r="CC58" i="6"/>
  <c r="Y60" i="6"/>
  <c r="BE60" i="6"/>
  <c r="CK60" i="6"/>
  <c r="AG62" i="6"/>
  <c r="BM62" i="6"/>
  <c r="CS62" i="6"/>
  <c r="I66" i="6"/>
  <c r="AO66" i="6"/>
  <c r="BU66" i="6"/>
  <c r="CY66" i="6"/>
  <c r="CW68" i="6"/>
  <c r="AV69" i="6"/>
  <c r="CB69" i="6"/>
  <c r="Y70" i="6"/>
  <c r="BE70" i="6"/>
  <c r="CK70" i="6"/>
  <c r="X71" i="6"/>
  <c r="BD71" i="6"/>
  <c r="CJ71" i="6"/>
  <c r="AG72" i="6"/>
  <c r="BM72" i="6"/>
  <c r="CS72" i="6"/>
  <c r="AF73" i="6"/>
  <c r="BL73" i="6"/>
  <c r="CR73" i="6"/>
  <c r="I74" i="6"/>
  <c r="AO74" i="6"/>
  <c r="BU74" i="6"/>
  <c r="CT74" i="6"/>
  <c r="AW75" i="6"/>
  <c r="BT75" i="6"/>
  <c r="X76" i="6"/>
  <c r="AV76" i="6"/>
  <c r="BU76" i="6"/>
  <c r="CS76" i="6"/>
  <c r="X77" i="6"/>
  <c r="CV77" i="6"/>
  <c r="AF78" i="6"/>
  <c r="BU78" i="6"/>
  <c r="BE79" i="6"/>
  <c r="BD79" i="6"/>
  <c r="CR79" i="6"/>
  <c r="I81" i="6"/>
  <c r="AN81" i="6"/>
  <c r="CS81" i="6"/>
  <c r="R82" i="6"/>
  <c r="AF82" i="6"/>
  <c r="AV82" i="6"/>
  <c r="CK82" i="6"/>
  <c r="X83" i="6"/>
  <c r="BN84" i="6"/>
  <c r="CD84" i="6"/>
  <c r="CS84" i="6"/>
  <c r="CR84" i="6"/>
  <c r="CR85" i="6"/>
  <c r="AF88" i="6"/>
  <c r="BM88" i="6"/>
  <c r="CT88" i="6"/>
  <c r="CY89" i="6"/>
  <c r="I89" i="6"/>
  <c r="Z89" i="6"/>
  <c r="Y89" i="6"/>
  <c r="X89" i="6"/>
  <c r="AN89" i="6"/>
  <c r="BV89" i="6"/>
  <c r="AH90" i="6"/>
  <c r="AG90" i="6"/>
  <c r="BT90" i="6"/>
  <c r="H94" i="6"/>
  <c r="CV94" i="6"/>
  <c r="AX97" i="6"/>
  <c r="AW97" i="6"/>
  <c r="BD99" i="6"/>
  <c r="CV100" i="6"/>
  <c r="AN101" i="6"/>
  <c r="CY101" i="6"/>
  <c r="N104" i="6"/>
  <c r="X106" i="6"/>
  <c r="AX107" i="6"/>
  <c r="AW107" i="6"/>
  <c r="BD109" i="6"/>
  <c r="AD111" i="6"/>
  <c r="BZ111" i="6"/>
  <c r="BX106" i="6"/>
  <c r="BW105" i="6"/>
  <c r="BV75" i="6"/>
  <c r="AW76" i="6"/>
  <c r="BV76" i="6"/>
  <c r="AV77" i="6"/>
  <c r="AV78" i="6"/>
  <c r="CL78" i="6"/>
  <c r="CK78" i="6"/>
  <c r="CV78" i="6"/>
  <c r="CS79" i="6"/>
  <c r="Y81" i="6"/>
  <c r="X81" i="6"/>
  <c r="BT81" i="6"/>
  <c r="CY82" i="6"/>
  <c r="BD83" i="6"/>
  <c r="J85" i="6"/>
  <c r="CY85" i="6"/>
  <c r="I85" i="6"/>
  <c r="Q86" i="6"/>
  <c r="AV86" i="6"/>
  <c r="R87" i="6"/>
  <c r="Q87" i="6"/>
  <c r="AG88" i="6"/>
  <c r="BN88" i="6"/>
  <c r="CV88" i="6"/>
  <c r="H89" i="6"/>
  <c r="AP89" i="6"/>
  <c r="AF90" i="6"/>
  <c r="BU90" i="6"/>
  <c r="BD91" i="6"/>
  <c r="J92" i="6"/>
  <c r="CY92" i="6"/>
  <c r="I92" i="6"/>
  <c r="BV92" i="6"/>
  <c r="BU92" i="6"/>
  <c r="AP95" i="6"/>
  <c r="AO95" i="6"/>
  <c r="AN95" i="6"/>
  <c r="CJ95" i="6"/>
  <c r="AV97" i="6"/>
  <c r="BL99" i="6"/>
  <c r="BN101" i="6"/>
  <c r="BM101" i="6"/>
  <c r="AL104" i="6"/>
  <c r="BR104" i="6"/>
  <c r="CW104" i="6"/>
  <c r="CX104" i="6" s="1"/>
  <c r="X105" i="6"/>
  <c r="BL109" i="6"/>
  <c r="BV110" i="6"/>
  <c r="BU110" i="6"/>
  <c r="BV113" i="6"/>
  <c r="CD113" i="6"/>
  <c r="CS113" i="6"/>
  <c r="CR113" i="6"/>
  <c r="AO115" i="6"/>
  <c r="AP115" i="6"/>
  <c r="AN115" i="6"/>
  <c r="AX116" i="6"/>
  <c r="AV116" i="6"/>
  <c r="J118" i="6"/>
  <c r="CY118" i="6"/>
  <c r="I118" i="6"/>
  <c r="H118" i="6"/>
  <c r="L122" i="6"/>
  <c r="AV123" i="6"/>
  <c r="CD131" i="6"/>
  <c r="CC131" i="6"/>
  <c r="CB131" i="6"/>
  <c r="AV88" i="6"/>
  <c r="CB88" i="6"/>
  <c r="X90" i="6"/>
  <c r="BD90" i="6"/>
  <c r="CJ90" i="6"/>
  <c r="AF92" i="6"/>
  <c r="BL92" i="6"/>
  <c r="CR92" i="6"/>
  <c r="AF94" i="6"/>
  <c r="BL94" i="6"/>
  <c r="CR94" i="6"/>
  <c r="CR95" i="6"/>
  <c r="H97" i="6"/>
  <c r="AN97" i="6"/>
  <c r="BT97" i="6"/>
  <c r="AV99" i="6"/>
  <c r="CB99" i="6"/>
  <c r="X101" i="6"/>
  <c r="BD101" i="6"/>
  <c r="CJ101" i="6"/>
  <c r="H105" i="6"/>
  <c r="AN105" i="6"/>
  <c r="CY105" i="6"/>
  <c r="H106" i="6"/>
  <c r="AN106" i="6"/>
  <c r="CY106" i="6"/>
  <c r="H107" i="6"/>
  <c r="AN107" i="6"/>
  <c r="BT107" i="6"/>
  <c r="AV109" i="6"/>
  <c r="CB109" i="6"/>
  <c r="CK110" i="6"/>
  <c r="CJ110" i="6"/>
  <c r="D111" i="6"/>
  <c r="CP111" i="6"/>
  <c r="AG112" i="6"/>
  <c r="AF112" i="6"/>
  <c r="CY112" i="6"/>
  <c r="AF113" i="6"/>
  <c r="BT113" i="6"/>
  <c r="CT113" i="6"/>
  <c r="AW116" i="6"/>
  <c r="CN117" i="6"/>
  <c r="CT125" i="6"/>
  <c r="CS125" i="6"/>
  <c r="CR125" i="6"/>
  <c r="CV126" i="6"/>
  <c r="CV128" i="6"/>
  <c r="CL132" i="6"/>
  <c r="CK132" i="6"/>
  <c r="CJ132" i="6"/>
  <c r="BD140" i="6"/>
  <c r="I97" i="6"/>
  <c r="I107" i="6"/>
  <c r="BR111" i="6"/>
  <c r="R112" i="6"/>
  <c r="AH112" i="6"/>
  <c r="BM112" i="6"/>
  <c r="BL112" i="6"/>
  <c r="AX113" i="6"/>
  <c r="BH113" i="6"/>
  <c r="BU113" i="6"/>
  <c r="J114" i="6"/>
  <c r="I114" i="6"/>
  <c r="X114" i="6"/>
  <c r="AP114" i="6"/>
  <c r="AO114" i="6"/>
  <c r="Y115" i="6"/>
  <c r="X115" i="6"/>
  <c r="Z115" i="6"/>
  <c r="T117" i="6"/>
  <c r="AP118" i="6"/>
  <c r="AO118" i="6"/>
  <c r="AN118" i="6"/>
  <c r="Y120" i="6"/>
  <c r="Z120" i="6"/>
  <c r="X120" i="6"/>
  <c r="AR122" i="6"/>
  <c r="AX130" i="6"/>
  <c r="AW130" i="6"/>
  <c r="AV130" i="6"/>
  <c r="AX131" i="6"/>
  <c r="AW131" i="6"/>
  <c r="AV131" i="6"/>
  <c r="AV136" i="6"/>
  <c r="CS112" i="6"/>
  <c r="CR112" i="6"/>
  <c r="CJ113" i="6"/>
  <c r="R116" i="6"/>
  <c r="CU117" i="6"/>
  <c r="CV117" i="6" s="1"/>
  <c r="BH117" i="6"/>
  <c r="Z118" i="6"/>
  <c r="X118" i="6"/>
  <c r="Y119" i="6"/>
  <c r="Z119" i="6"/>
  <c r="BE120" i="6"/>
  <c r="BF120" i="6"/>
  <c r="BD120" i="6"/>
  <c r="AH121" i="6"/>
  <c r="AG121" i="6"/>
  <c r="AF121" i="6"/>
  <c r="AF98" i="6"/>
  <c r="BL98" i="6"/>
  <c r="CR98" i="6"/>
  <c r="H100" i="6"/>
  <c r="AN100" i="6"/>
  <c r="BT100" i="6"/>
  <c r="P102" i="6"/>
  <c r="AV102" i="6"/>
  <c r="CB102" i="6"/>
  <c r="CB105" i="6"/>
  <c r="CB106" i="6"/>
  <c r="AF108" i="6"/>
  <c r="BL108" i="6"/>
  <c r="CR108" i="6"/>
  <c r="CY109" i="6"/>
  <c r="H110" i="6"/>
  <c r="BD110" i="6"/>
  <c r="CB110" i="6"/>
  <c r="CY110" i="6"/>
  <c r="CH111" i="6"/>
  <c r="CD112" i="6"/>
  <c r="CT112" i="6"/>
  <c r="BX113" i="6"/>
  <c r="CL114" i="6"/>
  <c r="CK114" i="6"/>
  <c r="CJ114" i="6"/>
  <c r="Q116" i="6"/>
  <c r="Y118" i="6"/>
  <c r="AX118" i="6"/>
  <c r="AV118" i="6"/>
  <c r="AW118" i="6"/>
  <c r="X119" i="6"/>
  <c r="AX119" i="6"/>
  <c r="AW119" i="6"/>
  <c r="AV119" i="6"/>
  <c r="CF119" i="6"/>
  <c r="CL119" i="6"/>
  <c r="CU119" i="6"/>
  <c r="CV119" i="6" s="1"/>
  <c r="CK120" i="6"/>
  <c r="CL120" i="6"/>
  <c r="CJ120" i="6"/>
  <c r="BX122" i="6"/>
  <c r="R131" i="6"/>
  <c r="Q131" i="6"/>
  <c r="P131" i="6"/>
  <c r="I100" i="6"/>
  <c r="AF110" i="6"/>
  <c r="BE110" i="6"/>
  <c r="J113" i="6"/>
  <c r="I113" i="6"/>
  <c r="X113" i="6"/>
  <c r="AP113" i="6"/>
  <c r="AO113" i="6"/>
  <c r="BL113" i="6"/>
  <c r="CY114" i="6"/>
  <c r="CD116" i="6"/>
  <c r="CB116" i="6"/>
  <c r="AB117" i="6"/>
  <c r="CD118" i="6"/>
  <c r="CB118" i="6"/>
  <c r="CC118" i="6"/>
  <c r="AZ119" i="6"/>
  <c r="CY120" i="6"/>
  <c r="CD125" i="6"/>
  <c r="CC125" i="6"/>
  <c r="CB125" i="6"/>
  <c r="CY115" i="6"/>
  <c r="AH116" i="6"/>
  <c r="AG116" i="6"/>
  <c r="BN116" i="6"/>
  <c r="BM116" i="6"/>
  <c r="CT116" i="6"/>
  <c r="CS116" i="6"/>
  <c r="BL118" i="6"/>
  <c r="CV118" i="6"/>
  <c r="I123" i="6"/>
  <c r="CL123" i="6"/>
  <c r="CK123" i="6"/>
  <c r="CJ123" i="6"/>
  <c r="CY123" i="6"/>
  <c r="AP125" i="6"/>
  <c r="AN125" i="6"/>
  <c r="AW126" i="6"/>
  <c r="AV126" i="6"/>
  <c r="P127" i="6"/>
  <c r="R127" i="6"/>
  <c r="CY127" i="6"/>
  <c r="Q127" i="6"/>
  <c r="AP127" i="6"/>
  <c r="AO127" i="6"/>
  <c r="X130" i="6"/>
  <c r="BL132" i="6"/>
  <c r="CY133" i="6"/>
  <c r="I133" i="6"/>
  <c r="H133" i="6"/>
  <c r="J133" i="6"/>
  <c r="CV136" i="6"/>
  <c r="R148" i="6"/>
  <c r="Q148" i="6"/>
  <c r="BF121" i="6"/>
  <c r="BD121" i="6"/>
  <c r="D122" i="6"/>
  <c r="AJ122" i="6"/>
  <c r="BP122" i="6"/>
  <c r="AH123" i="6"/>
  <c r="AF123" i="6"/>
  <c r="X125" i="6"/>
  <c r="BN127" i="6"/>
  <c r="BM127" i="6"/>
  <c r="AF128" i="6"/>
  <c r="Y129" i="6"/>
  <c r="X129" i="6"/>
  <c r="Z129" i="6"/>
  <c r="CV130" i="6"/>
  <c r="R133" i="6"/>
  <c r="Q133" i="6"/>
  <c r="AO133" i="6"/>
  <c r="AN133" i="6"/>
  <c r="AP133" i="6"/>
  <c r="BN137" i="6"/>
  <c r="BM137" i="6"/>
  <c r="BL137" i="6"/>
  <c r="R121" i="6"/>
  <c r="Q121" i="6"/>
  <c r="BN125" i="6"/>
  <c r="BM125" i="6"/>
  <c r="BL125" i="6"/>
  <c r="CX125" i="6"/>
  <c r="CY126" i="6"/>
  <c r="Q126" i="6"/>
  <c r="AH129" i="6"/>
  <c r="AG129" i="6"/>
  <c r="AX133" i="6"/>
  <c r="AV133" i="6"/>
  <c r="AW133" i="6"/>
  <c r="BU133" i="6"/>
  <c r="BT133" i="6"/>
  <c r="BV133" i="6"/>
  <c r="AH137" i="6"/>
  <c r="AF137" i="6"/>
  <c r="AG137" i="6"/>
  <c r="AF140" i="6"/>
  <c r="CV141" i="6"/>
  <c r="J170" i="6"/>
  <c r="I170" i="6"/>
  <c r="CY170" i="6"/>
  <c r="H170" i="6"/>
  <c r="BE115" i="6"/>
  <c r="BD115" i="6"/>
  <c r="AF118" i="6"/>
  <c r="BX119" i="6"/>
  <c r="CD121" i="6"/>
  <c r="CC121" i="6"/>
  <c r="CB121" i="6"/>
  <c r="CV121" i="6"/>
  <c r="AB122" i="6"/>
  <c r="BH122" i="6"/>
  <c r="CN122" i="6"/>
  <c r="BF123" i="6"/>
  <c r="BE123" i="6"/>
  <c r="BD123" i="6"/>
  <c r="CT123" i="6"/>
  <c r="CR123" i="6"/>
  <c r="J125" i="6"/>
  <c r="H125" i="6"/>
  <c r="AV125" i="6"/>
  <c r="CJ125" i="6"/>
  <c r="CY125" i="6"/>
  <c r="R126" i="6"/>
  <c r="AF129" i="6"/>
  <c r="CD133" i="6"/>
  <c r="CB133" i="6"/>
  <c r="CC133" i="6"/>
  <c r="BF114" i="6"/>
  <c r="BE114" i="6"/>
  <c r="BF115" i="6"/>
  <c r="BT115" i="6"/>
  <c r="CK115" i="6"/>
  <c r="CJ115" i="6"/>
  <c r="H116" i="6"/>
  <c r="X116" i="6"/>
  <c r="AN116" i="6"/>
  <c r="BD116" i="6"/>
  <c r="BT116" i="6"/>
  <c r="CJ116" i="6"/>
  <c r="BV118" i="6"/>
  <c r="BU118" i="6"/>
  <c r="BT118" i="6"/>
  <c r="BN119" i="6"/>
  <c r="BL119" i="6"/>
  <c r="BL121" i="6"/>
  <c r="AN123" i="6"/>
  <c r="CB123" i="6"/>
  <c r="CS123" i="6"/>
  <c r="CY124" i="6"/>
  <c r="I124" i="6"/>
  <c r="I125" i="6"/>
  <c r="AW125" i="6"/>
  <c r="BM128" i="6"/>
  <c r="BL128" i="6"/>
  <c r="CL128" i="6"/>
  <c r="CK128" i="6"/>
  <c r="CY129" i="6"/>
  <c r="I129" i="6"/>
  <c r="H129" i="6"/>
  <c r="AP129" i="6"/>
  <c r="AO129" i="6"/>
  <c r="AN129" i="6"/>
  <c r="AW132" i="6"/>
  <c r="AX132" i="6"/>
  <c r="AV132" i="6"/>
  <c r="CV132" i="6"/>
  <c r="CL135" i="6"/>
  <c r="CJ135" i="6"/>
  <c r="CK135" i="6"/>
  <c r="R118" i="6"/>
  <c r="Z121" i="6"/>
  <c r="X121" i="6"/>
  <c r="T122" i="6"/>
  <c r="AZ122" i="6"/>
  <c r="CF122" i="6"/>
  <c r="CV123" i="6"/>
  <c r="AH125" i="6"/>
  <c r="AG125" i="6"/>
  <c r="AF125" i="6"/>
  <c r="BV125" i="6"/>
  <c r="BT125" i="6"/>
  <c r="BF135" i="6"/>
  <c r="BD135" i="6"/>
  <c r="BE135" i="6"/>
  <c r="CV140" i="6"/>
  <c r="AX121" i="6"/>
  <c r="AW121" i="6"/>
  <c r="AV121" i="6"/>
  <c r="CL121" i="6"/>
  <c r="CJ121" i="6"/>
  <c r="Z123" i="6"/>
  <c r="Y123" i="6"/>
  <c r="X123" i="6"/>
  <c r="BN123" i="6"/>
  <c r="BL123" i="6"/>
  <c r="BD125" i="6"/>
  <c r="CC126" i="6"/>
  <c r="CB126" i="6"/>
  <c r="AV128" i="6"/>
  <c r="CT128" i="6"/>
  <c r="CS128" i="6"/>
  <c r="CR128" i="6"/>
  <c r="Z135" i="6"/>
  <c r="X135" i="6"/>
  <c r="Y135" i="6"/>
  <c r="AG131" i="6"/>
  <c r="AF131" i="6"/>
  <c r="BM131" i="6"/>
  <c r="BL131" i="6"/>
  <c r="CS131" i="6"/>
  <c r="CR131" i="6"/>
  <c r="CR132" i="6"/>
  <c r="J138" i="6"/>
  <c r="CY138" i="6"/>
  <c r="I138" i="6"/>
  <c r="BD138" i="6"/>
  <c r="AP139" i="6"/>
  <c r="AO139" i="6"/>
  <c r="AN139" i="6"/>
  <c r="CD140" i="6"/>
  <c r="CC140" i="6"/>
  <c r="Z142" i="6"/>
  <c r="Y142" i="6"/>
  <c r="AP147" i="6"/>
  <c r="AO147" i="6"/>
  <c r="AN147" i="6"/>
  <c r="CV150" i="6"/>
  <c r="BT154" i="6"/>
  <c r="BV154" i="6"/>
  <c r="BV161" i="6"/>
  <c r="BU161" i="6"/>
  <c r="BT161" i="6"/>
  <c r="AL171" i="6"/>
  <c r="Z128" i="6"/>
  <c r="Y128" i="6"/>
  <c r="CK129" i="6"/>
  <c r="CJ129" i="6"/>
  <c r="CB130" i="6"/>
  <c r="AH131" i="6"/>
  <c r="BN131" i="6"/>
  <c r="CT131" i="6"/>
  <c r="CB132" i="6"/>
  <c r="H134" i="6"/>
  <c r="CY134" i="6"/>
  <c r="Y134" i="6"/>
  <c r="AN134" i="6"/>
  <c r="BT134" i="6"/>
  <c r="AX135" i="6"/>
  <c r="AW135" i="6"/>
  <c r="AV135" i="6"/>
  <c r="CB136" i="6"/>
  <c r="CR136" i="6"/>
  <c r="Z137" i="6"/>
  <c r="Y137" i="6"/>
  <c r="X137" i="6"/>
  <c r="H138" i="6"/>
  <c r="CB140" i="6"/>
  <c r="X142" i="6"/>
  <c r="AO143" i="6"/>
  <c r="AN143" i="6"/>
  <c r="AP143" i="6"/>
  <c r="BV143" i="6"/>
  <c r="BU143" i="6"/>
  <c r="J152" i="6"/>
  <c r="CY152" i="6"/>
  <c r="I152" i="6"/>
  <c r="H152" i="6"/>
  <c r="BU154" i="6"/>
  <c r="CK190" i="6"/>
  <c r="CL190" i="6"/>
  <c r="CJ190" i="6"/>
  <c r="CC127" i="6"/>
  <c r="CB127" i="6"/>
  <c r="X128" i="6"/>
  <c r="AN128" i="6"/>
  <c r="CB128" i="6"/>
  <c r="CY128" i="6"/>
  <c r="CL129" i="6"/>
  <c r="CY130" i="6"/>
  <c r="X132" i="6"/>
  <c r="CD132" i="6"/>
  <c r="CV133" i="6"/>
  <c r="X134" i="6"/>
  <c r="BD134" i="6"/>
  <c r="CJ134" i="6"/>
  <c r="AF135" i="6"/>
  <c r="CT136" i="6"/>
  <c r="CT137" i="6"/>
  <c r="CS137" i="6"/>
  <c r="CR137" i="6"/>
  <c r="BV139" i="6"/>
  <c r="BU139" i="6"/>
  <c r="BT139" i="6"/>
  <c r="R140" i="6"/>
  <c r="Q140" i="6"/>
  <c r="BL140" i="6"/>
  <c r="CJ140" i="6"/>
  <c r="AW142" i="6"/>
  <c r="AX142" i="6"/>
  <c r="AV142" i="6"/>
  <c r="BT143" i="6"/>
  <c r="AG146" i="6"/>
  <c r="AF146" i="6"/>
  <c r="AH146" i="6"/>
  <c r="AX154" i="6"/>
  <c r="AV154" i="6"/>
  <c r="BV167" i="6"/>
  <c r="BU167" i="6"/>
  <c r="BT167" i="6"/>
  <c r="CY167" i="6"/>
  <c r="AP138" i="6"/>
  <c r="AO138" i="6"/>
  <c r="CJ138" i="6"/>
  <c r="X141" i="6"/>
  <c r="DB147" i="6"/>
  <c r="AF149" i="6"/>
  <c r="CB153" i="6"/>
  <c r="CV179" i="6"/>
  <c r="DA181" i="6"/>
  <c r="CU122" i="6"/>
  <c r="CV122" i="6" s="1"/>
  <c r="P128" i="6"/>
  <c r="BF128" i="6"/>
  <c r="BE128" i="6"/>
  <c r="BD130" i="6"/>
  <c r="J131" i="6"/>
  <c r="H131" i="6"/>
  <c r="AP131" i="6"/>
  <c r="AN131" i="6"/>
  <c r="BV131" i="6"/>
  <c r="BT131" i="6"/>
  <c r="CY135" i="6"/>
  <c r="R135" i="6"/>
  <c r="Q135" i="6"/>
  <c r="CV135" i="6"/>
  <c r="AN138" i="6"/>
  <c r="X140" i="6"/>
  <c r="Z143" i="6"/>
  <c r="Y143" i="6"/>
  <c r="X143" i="6"/>
  <c r="AH145" i="6"/>
  <c r="AF145" i="6"/>
  <c r="AG145" i="6"/>
  <c r="CV145" i="6"/>
  <c r="BT151" i="6"/>
  <c r="DB158" i="6"/>
  <c r="DA158" i="6"/>
  <c r="H119" i="6"/>
  <c r="AN119" i="6"/>
  <c r="CY119" i="6"/>
  <c r="H120" i="6"/>
  <c r="AN120" i="6"/>
  <c r="BT120" i="6"/>
  <c r="X124" i="6"/>
  <c r="BD124" i="6"/>
  <c r="CJ124" i="6"/>
  <c r="AF126" i="6"/>
  <c r="BL126" i="6"/>
  <c r="CR126" i="6"/>
  <c r="AV127" i="6"/>
  <c r="BD128" i="6"/>
  <c r="BT128" i="6"/>
  <c r="J130" i="6"/>
  <c r="AN130" i="6"/>
  <c r="CJ130" i="6"/>
  <c r="I131" i="6"/>
  <c r="AO131" i="6"/>
  <c r="BU131" i="6"/>
  <c r="CY131" i="6"/>
  <c r="CD135" i="6"/>
  <c r="CC135" i="6"/>
  <c r="CB135" i="6"/>
  <c r="AF136" i="6"/>
  <c r="CY136" i="6"/>
  <c r="X138" i="6"/>
  <c r="AX140" i="6"/>
  <c r="AW140" i="6"/>
  <c r="CR140" i="6"/>
  <c r="CT141" i="6"/>
  <c r="CS141" i="6"/>
  <c r="H143" i="6"/>
  <c r="AF143" i="6"/>
  <c r="BF143" i="6"/>
  <c r="BE143" i="6"/>
  <c r="AF144" i="6"/>
  <c r="BU145" i="6"/>
  <c r="BT145" i="6"/>
  <c r="BV145" i="6"/>
  <c r="BF147" i="6"/>
  <c r="BD147" i="6"/>
  <c r="BE147" i="6"/>
  <c r="X153" i="6"/>
  <c r="Z153" i="6"/>
  <c r="Y153" i="6"/>
  <c r="AH157" i="6"/>
  <c r="AG157" i="6"/>
  <c r="AF157" i="6"/>
  <c r="CD168" i="6"/>
  <c r="CC168" i="6"/>
  <c r="CB168" i="6"/>
  <c r="CV185" i="6"/>
  <c r="I120" i="6"/>
  <c r="X127" i="6"/>
  <c r="AW127" i="6"/>
  <c r="CV127" i="6"/>
  <c r="BE129" i="6"/>
  <c r="BD129" i="6"/>
  <c r="CR129" i="6"/>
  <c r="AP130" i="6"/>
  <c r="BT130" i="6"/>
  <c r="AF132" i="6"/>
  <c r="AH136" i="6"/>
  <c r="CY137" i="6"/>
  <c r="BV138" i="6"/>
  <c r="BU138" i="6"/>
  <c r="J139" i="6"/>
  <c r="CY139" i="6"/>
  <c r="I139" i="6"/>
  <c r="H139" i="6"/>
  <c r="AV140" i="6"/>
  <c r="CR141" i="6"/>
  <c r="BD143" i="6"/>
  <c r="CL143" i="6"/>
  <c r="CK143" i="6"/>
  <c r="CJ143" i="6"/>
  <c r="AO151" i="6"/>
  <c r="AN151" i="6"/>
  <c r="AP151" i="6"/>
  <c r="AG154" i="6"/>
  <c r="AH154" i="6"/>
  <c r="AF154" i="6"/>
  <c r="CV155" i="6"/>
  <c r="CC158" i="6"/>
  <c r="CD158" i="6"/>
  <c r="CB158" i="6"/>
  <c r="CB159" i="6"/>
  <c r="CD159" i="6"/>
  <c r="CY159" i="6"/>
  <c r="CC159" i="6"/>
  <c r="AP160" i="6"/>
  <c r="AO160" i="6"/>
  <c r="AO165" i="6"/>
  <c r="AN165" i="6"/>
  <c r="AP165" i="6"/>
  <c r="CY140" i="6"/>
  <c r="H141" i="6"/>
  <c r="BT141" i="6"/>
  <c r="BN142" i="6"/>
  <c r="BM142" i="6"/>
  <c r="AO148" i="6"/>
  <c r="AN148" i="6"/>
  <c r="BE149" i="6"/>
  <c r="BF149" i="6"/>
  <c r="BD149" i="6"/>
  <c r="CB151" i="6"/>
  <c r="CD151" i="6"/>
  <c r="CC151" i="6"/>
  <c r="CV153" i="6"/>
  <c r="AF155" i="6"/>
  <c r="AH155" i="6"/>
  <c r="BU156" i="6"/>
  <c r="BV156" i="6"/>
  <c r="BT156" i="6"/>
  <c r="BV160" i="6"/>
  <c r="BU160" i="6"/>
  <c r="BT160" i="6"/>
  <c r="AW179" i="6"/>
  <c r="AV179" i="6"/>
  <c r="CY143" i="6"/>
  <c r="Y144" i="6"/>
  <c r="CY144" i="6"/>
  <c r="AO144" i="6"/>
  <c r="AN144" i="6"/>
  <c r="CT144" i="6"/>
  <c r="CS144" i="6"/>
  <c r="BD145" i="6"/>
  <c r="BE145" i="6"/>
  <c r="CT145" i="6"/>
  <c r="CS145" i="6"/>
  <c r="CR145" i="6"/>
  <c r="BT157" i="6"/>
  <c r="BV157" i="6"/>
  <c r="BU157" i="6"/>
  <c r="R163" i="6"/>
  <c r="Q163" i="6"/>
  <c r="Q164" i="6"/>
  <c r="DB166" i="6"/>
  <c r="BD168" i="6"/>
  <c r="BF168" i="6"/>
  <c r="CS169" i="6"/>
  <c r="CT169" i="6"/>
  <c r="CR169" i="6"/>
  <c r="AG130" i="6"/>
  <c r="BM130" i="6"/>
  <c r="CS130" i="6"/>
  <c r="I132" i="6"/>
  <c r="AO132" i="6"/>
  <c r="BU132" i="6"/>
  <c r="CY132" i="6"/>
  <c r="Q134" i="6"/>
  <c r="AW134" i="6"/>
  <c r="CC134" i="6"/>
  <c r="Y136" i="6"/>
  <c r="BE136" i="6"/>
  <c r="CK136" i="6"/>
  <c r="BD137" i="6"/>
  <c r="CJ137" i="6"/>
  <c r="AG138" i="6"/>
  <c r="BM138" i="6"/>
  <c r="CS138" i="6"/>
  <c r="AF139" i="6"/>
  <c r="BL139" i="6"/>
  <c r="CR139" i="6"/>
  <c r="I140" i="6"/>
  <c r="AO140" i="6"/>
  <c r="BU140" i="6"/>
  <c r="J141" i="6"/>
  <c r="AV141" i="6"/>
  <c r="BV141" i="6"/>
  <c r="Q142" i="6"/>
  <c r="R142" i="6"/>
  <c r="CD142" i="6"/>
  <c r="CS142" i="6"/>
  <c r="CB143" i="6"/>
  <c r="X144" i="6"/>
  <c r="AP144" i="6"/>
  <c r="CR144" i="6"/>
  <c r="AN145" i="6"/>
  <c r="BF145" i="6"/>
  <c r="CY146" i="6"/>
  <c r="I146" i="6"/>
  <c r="AN146" i="6"/>
  <c r="BL147" i="6"/>
  <c r="CC147" i="6"/>
  <c r="CB147" i="6"/>
  <c r="CY148" i="6"/>
  <c r="I148" i="6"/>
  <c r="Y148" i="6"/>
  <c r="AV148" i="6"/>
  <c r="CB148" i="6"/>
  <c r="CC148" i="6"/>
  <c r="AN149" i="6"/>
  <c r="AO149" i="6"/>
  <c r="CC150" i="6"/>
  <c r="CD150" i="6"/>
  <c r="CB150" i="6"/>
  <c r="J151" i="6"/>
  <c r="AV151" i="6"/>
  <c r="AX151" i="6"/>
  <c r="CV151" i="6"/>
  <c r="AF152" i="6"/>
  <c r="AX153" i="6"/>
  <c r="AV153" i="6"/>
  <c r="H159" i="6"/>
  <c r="CK161" i="6"/>
  <c r="CJ161" i="6"/>
  <c r="P163" i="6"/>
  <c r="R164" i="6"/>
  <c r="BF165" i="6"/>
  <c r="BE165" i="6"/>
  <c r="BE168" i="6"/>
  <c r="CY169" i="6"/>
  <c r="J169" i="6"/>
  <c r="I169" i="6"/>
  <c r="H169" i="6"/>
  <c r="CV169" i="6"/>
  <c r="CK175" i="6"/>
  <c r="CL175" i="6"/>
  <c r="CJ175" i="6"/>
  <c r="AG178" i="6"/>
  <c r="AF178" i="6"/>
  <c r="AH178" i="6"/>
  <c r="CV186" i="6"/>
  <c r="CS192" i="6"/>
  <c r="CR192" i="6"/>
  <c r="BE137" i="6"/>
  <c r="AG139" i="6"/>
  <c r="BM139" i="6"/>
  <c r="CS139" i="6"/>
  <c r="J140" i="6"/>
  <c r="AW141" i="6"/>
  <c r="CJ141" i="6"/>
  <c r="AV143" i="6"/>
  <c r="BM143" i="6"/>
  <c r="BL143" i="6"/>
  <c r="CC143" i="6"/>
  <c r="CR143" i="6"/>
  <c r="Z144" i="6"/>
  <c r="BD144" i="6"/>
  <c r="J145" i="6"/>
  <c r="CY145" i="6"/>
  <c r="H145" i="6"/>
  <c r="AO145" i="6"/>
  <c r="CB145" i="6"/>
  <c r="H146" i="6"/>
  <c r="AO146" i="6"/>
  <c r="BM147" i="6"/>
  <c r="CD147" i="6"/>
  <c r="H148" i="6"/>
  <c r="AW148" i="6"/>
  <c r="CD148" i="6"/>
  <c r="H149" i="6"/>
  <c r="Y149" i="6"/>
  <c r="Z149" i="6"/>
  <c r="AP149" i="6"/>
  <c r="BL149" i="6"/>
  <c r="AW151" i="6"/>
  <c r="AG152" i="6"/>
  <c r="CK152" i="6"/>
  <c r="CL152" i="6"/>
  <c r="AW153" i="6"/>
  <c r="CJ153" i="6"/>
  <c r="CK153" i="6"/>
  <c r="CV154" i="6"/>
  <c r="Q155" i="6"/>
  <c r="CY155" i="6"/>
  <c r="CL155" i="6"/>
  <c r="CK155" i="6"/>
  <c r="CJ155" i="6"/>
  <c r="AP159" i="6"/>
  <c r="AO159" i="6"/>
  <c r="CL161" i="6"/>
  <c r="CV163" i="6"/>
  <c r="BF164" i="6"/>
  <c r="BE164" i="6"/>
  <c r="BD165" i="6"/>
  <c r="CK166" i="6"/>
  <c r="CJ166" i="6"/>
  <c r="CK167" i="6"/>
  <c r="CL167" i="6"/>
  <c r="CJ167" i="6"/>
  <c r="BZ171" i="6"/>
  <c r="CT192" i="6"/>
  <c r="BN150" i="6"/>
  <c r="BL150" i="6"/>
  <c r="CY151" i="6"/>
  <c r="AH152" i="6"/>
  <c r="BD153" i="6"/>
  <c r="BU153" i="6"/>
  <c r="BV153" i="6"/>
  <c r="BM154" i="6"/>
  <c r="BN154" i="6"/>
  <c r="BL154" i="6"/>
  <c r="CX154" i="6"/>
  <c r="CT158" i="6"/>
  <c r="CS158" i="6"/>
  <c r="CR158" i="6"/>
  <c r="R162" i="6"/>
  <c r="Q162" i="6"/>
  <c r="AV174" i="6"/>
  <c r="AX174" i="6"/>
  <c r="AW174" i="6"/>
  <c r="AN141" i="6"/>
  <c r="AP141" i="6"/>
  <c r="CY141" i="6"/>
  <c r="CK142" i="6"/>
  <c r="CJ142" i="6"/>
  <c r="AW145" i="6"/>
  <c r="AV145" i="6"/>
  <c r="CJ145" i="6"/>
  <c r="AW146" i="6"/>
  <c r="AV146" i="6"/>
  <c r="CD146" i="6"/>
  <c r="CB146" i="6"/>
  <c r="CV148" i="6"/>
  <c r="CJ149" i="6"/>
  <c r="CY149" i="6"/>
  <c r="AW150" i="6"/>
  <c r="AX150" i="6"/>
  <c r="BM150" i="6"/>
  <c r="CJ150" i="6"/>
  <c r="CL150" i="6"/>
  <c r="CY150" i="6"/>
  <c r="AF151" i="6"/>
  <c r="AP152" i="6"/>
  <c r="AO152" i="6"/>
  <c r="AN152" i="6"/>
  <c r="BE153" i="6"/>
  <c r="BT153" i="6"/>
  <c r="R156" i="6"/>
  <c r="BE157" i="6"/>
  <c r="BF157" i="6"/>
  <c r="CV158" i="6"/>
  <c r="CY161" i="6"/>
  <c r="I161" i="6"/>
  <c r="J161" i="6"/>
  <c r="H161" i="6"/>
  <c r="CY163" i="6"/>
  <c r="BH171" i="6"/>
  <c r="BD158" i="6"/>
  <c r="BF160" i="6"/>
  <c r="BE160" i="6"/>
  <c r="CL160" i="6"/>
  <c r="CK160" i="6"/>
  <c r="Y161" i="6"/>
  <c r="X161" i="6"/>
  <c r="BE161" i="6"/>
  <c r="BD161" i="6"/>
  <c r="BU162" i="6"/>
  <c r="BT162" i="6"/>
  <c r="Z165" i="6"/>
  <c r="Y165" i="6"/>
  <c r="BE166" i="6"/>
  <c r="BD166" i="6"/>
  <c r="CD169" i="6"/>
  <c r="CC169" i="6"/>
  <c r="CN171" i="6"/>
  <c r="CV174" i="6"/>
  <c r="BM178" i="6"/>
  <c r="BL178" i="6"/>
  <c r="AW182" i="6"/>
  <c r="AV182" i="6"/>
  <c r="AX182" i="6"/>
  <c r="CV182" i="6"/>
  <c r="BV184" i="6"/>
  <c r="BU184" i="6"/>
  <c r="BV185" i="6"/>
  <c r="BU185" i="6"/>
  <c r="BT185" i="6"/>
  <c r="J188" i="6"/>
  <c r="CY188" i="6"/>
  <c r="I188" i="6"/>
  <c r="H188" i="6"/>
  <c r="BE190" i="6"/>
  <c r="BF190" i="6"/>
  <c r="AL197" i="6"/>
  <c r="AF147" i="6"/>
  <c r="CR147" i="6"/>
  <c r="X150" i="6"/>
  <c r="BL152" i="6"/>
  <c r="CY153" i="6"/>
  <c r="I153" i="6"/>
  <c r="H154" i="6"/>
  <c r="CY156" i="6"/>
  <c r="I156" i="6"/>
  <c r="AV156" i="6"/>
  <c r="CJ156" i="6"/>
  <c r="CV156" i="6"/>
  <c r="H157" i="6"/>
  <c r="BE158" i="6"/>
  <c r="Q159" i="6"/>
  <c r="CR159" i="6"/>
  <c r="BD160" i="6"/>
  <c r="CJ160" i="6"/>
  <c r="Z161" i="6"/>
  <c r="AN161" i="6"/>
  <c r="BF161" i="6"/>
  <c r="BV162" i="6"/>
  <c r="CS163" i="6"/>
  <c r="CR163" i="6"/>
  <c r="X164" i="6"/>
  <c r="CY165" i="6"/>
  <c r="I165" i="6"/>
  <c r="H165" i="6"/>
  <c r="X165" i="6"/>
  <c r="BF166" i="6"/>
  <c r="CR166" i="6"/>
  <c r="I167" i="6"/>
  <c r="H167" i="6"/>
  <c r="Y167" i="6"/>
  <c r="Z167" i="6"/>
  <c r="CS167" i="6"/>
  <c r="CR167" i="6"/>
  <c r="CB169" i="6"/>
  <c r="AF170" i="6"/>
  <c r="AH170" i="6"/>
  <c r="AG170" i="6"/>
  <c r="AB171" i="6"/>
  <c r="BT175" i="6"/>
  <c r="R177" i="6"/>
  <c r="Q177" i="6"/>
  <c r="CV177" i="6"/>
  <c r="Q178" i="6"/>
  <c r="CY178" i="6"/>
  <c r="R178" i="6"/>
  <c r="BN178" i="6"/>
  <c r="CL179" i="6"/>
  <c r="CK179" i="6"/>
  <c r="CL180" i="6"/>
  <c r="CK180" i="6"/>
  <c r="AH181" i="6"/>
  <c r="AG181" i="6"/>
  <c r="CC182" i="6"/>
  <c r="CB182" i="6"/>
  <c r="BT184" i="6"/>
  <c r="CD185" i="6"/>
  <c r="CC185" i="6"/>
  <c r="CB185" i="6"/>
  <c r="P189" i="6"/>
  <c r="R189" i="6"/>
  <c r="Q189" i="6"/>
  <c r="BD190" i="6"/>
  <c r="CY192" i="6"/>
  <c r="CW197" i="6"/>
  <c r="CV200" i="6"/>
  <c r="CT206" i="6"/>
  <c r="CS206" i="6"/>
  <c r="BL155" i="6"/>
  <c r="CK156" i="6"/>
  <c r="R158" i="6"/>
  <c r="BF158" i="6"/>
  <c r="R159" i="6"/>
  <c r="CT159" i="6"/>
  <c r="AF160" i="6"/>
  <c r="CY160" i="6"/>
  <c r="AP161" i="6"/>
  <c r="AO162" i="6"/>
  <c r="AN162" i="6"/>
  <c r="CD163" i="6"/>
  <c r="CC163" i="6"/>
  <c r="Y164" i="6"/>
  <c r="CC164" i="6"/>
  <c r="CB164" i="6"/>
  <c r="Y166" i="6"/>
  <c r="X166" i="6"/>
  <c r="CS166" i="6"/>
  <c r="J168" i="6"/>
  <c r="I168" i="6"/>
  <c r="Q169" i="6"/>
  <c r="AG169" i="6"/>
  <c r="AH169" i="6"/>
  <c r="BF170" i="6"/>
  <c r="BE170" i="6"/>
  <c r="AR171" i="6"/>
  <c r="BJ171" i="6"/>
  <c r="BN172" i="6"/>
  <c r="BM172" i="6"/>
  <c r="CJ173" i="6"/>
  <c r="CL173" i="6"/>
  <c r="CK173" i="6"/>
  <c r="CY174" i="6"/>
  <c r="J174" i="6"/>
  <c r="I174" i="6"/>
  <c r="H174" i="6"/>
  <c r="AG174" i="6"/>
  <c r="AH174" i="6"/>
  <c r="BU175" i="6"/>
  <c r="AX177" i="6"/>
  <c r="AW177" i="6"/>
  <c r="AV177" i="6"/>
  <c r="CV143" i="6"/>
  <c r="X145" i="6"/>
  <c r="I147" i="6"/>
  <c r="AH147" i="6"/>
  <c r="CT147" i="6"/>
  <c r="BE148" i="6"/>
  <c r="BT149" i="6"/>
  <c r="CS149" i="6"/>
  <c r="Z150" i="6"/>
  <c r="BN151" i="6"/>
  <c r="Z152" i="6"/>
  <c r="BN152" i="6"/>
  <c r="J153" i="6"/>
  <c r="J154" i="6"/>
  <c r="CY154" i="6"/>
  <c r="X155" i="6"/>
  <c r="AX155" i="6"/>
  <c r="BM155" i="6"/>
  <c r="J156" i="6"/>
  <c r="X156" i="6"/>
  <c r="AX156" i="6"/>
  <c r="J157" i="6"/>
  <c r="BL157" i="6"/>
  <c r="CL157" i="6"/>
  <c r="AG158" i="6"/>
  <c r="CJ158" i="6"/>
  <c r="AF159" i="6"/>
  <c r="AV159" i="6"/>
  <c r="BU159" i="6"/>
  <c r="CV159" i="6"/>
  <c r="AG160" i="6"/>
  <c r="AP162" i="6"/>
  <c r="CB162" i="6"/>
  <c r="BM163" i="6"/>
  <c r="BL163" i="6"/>
  <c r="CB163" i="6"/>
  <c r="CD164" i="6"/>
  <c r="CV164" i="6"/>
  <c r="Z166" i="6"/>
  <c r="BL166" i="6"/>
  <c r="H168" i="6"/>
  <c r="R169" i="6"/>
  <c r="AF169" i="6"/>
  <c r="BD170" i="6"/>
  <c r="CU171" i="6"/>
  <c r="CV171" i="6" s="1"/>
  <c r="AT171" i="6"/>
  <c r="CF171" i="6"/>
  <c r="R172" i="6"/>
  <c r="Q172" i="6"/>
  <c r="AN172" i="6"/>
  <c r="AP172" i="6"/>
  <c r="AO172" i="6"/>
  <c r="BL172" i="6"/>
  <c r="AF174" i="6"/>
  <c r="AF175" i="6"/>
  <c r="AH175" i="6"/>
  <c r="Q176" i="6"/>
  <c r="CD177" i="6"/>
  <c r="CC177" i="6"/>
  <c r="CB177" i="6"/>
  <c r="CY177" i="6"/>
  <c r="AX178" i="6"/>
  <c r="AW178" i="6"/>
  <c r="AH183" i="6"/>
  <c r="AG183" i="6"/>
  <c r="AF183" i="6"/>
  <c r="CY183" i="6"/>
  <c r="BU149" i="6"/>
  <c r="BD150" i="6"/>
  <c r="CR150" i="6"/>
  <c r="P151" i="6"/>
  <c r="CR152" i="6"/>
  <c r="AN154" i="6"/>
  <c r="CB154" i="6"/>
  <c r="Y155" i="6"/>
  <c r="BN155" i="6"/>
  <c r="Y156" i="6"/>
  <c r="CB156" i="6"/>
  <c r="X157" i="6"/>
  <c r="AN157" i="6"/>
  <c r="BM157" i="6"/>
  <c r="CY157" i="6"/>
  <c r="AV158" i="6"/>
  <c r="CK158" i="6"/>
  <c r="AH159" i="6"/>
  <c r="AW159" i="6"/>
  <c r="H160" i="6"/>
  <c r="AH160" i="6"/>
  <c r="BL160" i="6"/>
  <c r="CR160" i="6"/>
  <c r="CY162" i="6"/>
  <c r="I162" i="6"/>
  <c r="H162" i="6"/>
  <c r="CC162" i="6"/>
  <c r="AX163" i="6"/>
  <c r="AW163" i="6"/>
  <c r="BN163" i="6"/>
  <c r="AW164" i="6"/>
  <c r="AV164" i="6"/>
  <c r="CL165" i="6"/>
  <c r="CK165" i="6"/>
  <c r="BM166" i="6"/>
  <c r="AH168" i="6"/>
  <c r="AG168" i="6"/>
  <c r="CD170" i="6"/>
  <c r="CC170" i="6"/>
  <c r="T171" i="6"/>
  <c r="CJ172" i="6"/>
  <c r="AW173" i="6"/>
  <c r="AX173" i="6"/>
  <c r="AV173" i="6"/>
  <c r="J175" i="6"/>
  <c r="CY175" i="6"/>
  <c r="I175" i="6"/>
  <c r="H175" i="6"/>
  <c r="AG175" i="6"/>
  <c r="AV178" i="6"/>
  <c r="BN182" i="6"/>
  <c r="BM182" i="6"/>
  <c r="AP183" i="6"/>
  <c r="AO183" i="6"/>
  <c r="AN183" i="6"/>
  <c r="BV187" i="6"/>
  <c r="BU187" i="6"/>
  <c r="CR155" i="6"/>
  <c r="X158" i="6"/>
  <c r="AG163" i="6"/>
  <c r="AF163" i="6"/>
  <c r="BU165" i="6"/>
  <c r="BT165" i="6"/>
  <c r="CY168" i="6"/>
  <c r="CW171" i="6"/>
  <c r="BU180" i="6"/>
  <c r="BT180" i="6"/>
  <c r="BV180" i="6"/>
  <c r="AX186" i="6"/>
  <c r="AW186" i="6"/>
  <c r="CT203" i="6"/>
  <c r="CS203" i="6"/>
  <c r="CR203" i="6"/>
  <c r="AH177" i="6"/>
  <c r="AG177" i="6"/>
  <c r="BN177" i="6"/>
  <c r="BM177" i="6"/>
  <c r="CT177" i="6"/>
  <c r="CS177" i="6"/>
  <c r="Q179" i="6"/>
  <c r="BF180" i="6"/>
  <c r="BE180" i="6"/>
  <c r="CK181" i="6"/>
  <c r="CJ181" i="6"/>
  <c r="AH182" i="6"/>
  <c r="AG182" i="6"/>
  <c r="AP184" i="6"/>
  <c r="AO184" i="6"/>
  <c r="J185" i="6"/>
  <c r="CY185" i="6"/>
  <c r="I185" i="6"/>
  <c r="H185" i="6"/>
  <c r="CY186" i="6"/>
  <c r="R186" i="6"/>
  <c r="Q186" i="6"/>
  <c r="Z192" i="6"/>
  <c r="Y192" i="6"/>
  <c r="AH196" i="6"/>
  <c r="AG196" i="6"/>
  <c r="AF196" i="6"/>
  <c r="AR197" i="6"/>
  <c r="Y200" i="6"/>
  <c r="X200" i="6"/>
  <c r="Z200" i="6"/>
  <c r="CL201" i="6"/>
  <c r="CK201" i="6"/>
  <c r="CJ201" i="6"/>
  <c r="CV166" i="6"/>
  <c r="X168" i="6"/>
  <c r="CR170" i="6"/>
  <c r="X173" i="6"/>
  <c r="BL175" i="6"/>
  <c r="CY176" i="6"/>
  <c r="I176" i="6"/>
  <c r="AO180" i="6"/>
  <c r="AN180" i="6"/>
  <c r="Q182" i="6"/>
  <c r="P182" i="6"/>
  <c r="CY182" i="6"/>
  <c r="BN183" i="6"/>
  <c r="BM183" i="6"/>
  <c r="BL183" i="6"/>
  <c r="CX185" i="6"/>
  <c r="AV189" i="6"/>
  <c r="CV189" i="6"/>
  <c r="BD191" i="6"/>
  <c r="CY191" i="6"/>
  <c r="BF191" i="6"/>
  <c r="BN194" i="6"/>
  <c r="BM194" i="6"/>
  <c r="BL194" i="6"/>
  <c r="CV199" i="6"/>
  <c r="BV203" i="6"/>
  <c r="BU203" i="6"/>
  <c r="BT203" i="6"/>
  <c r="AX206" i="6"/>
  <c r="AW206" i="6"/>
  <c r="AV206" i="6"/>
  <c r="H172" i="6"/>
  <c r="AF172" i="6"/>
  <c r="BD172" i="6"/>
  <c r="CR172" i="6"/>
  <c r="Y173" i="6"/>
  <c r="CY173" i="6"/>
  <c r="BL174" i="6"/>
  <c r="CB174" i="6"/>
  <c r="X175" i="6"/>
  <c r="BM175" i="6"/>
  <c r="H176" i="6"/>
  <c r="Y176" i="6"/>
  <c r="X176" i="6"/>
  <c r="Z180" i="6"/>
  <c r="Y180" i="6"/>
  <c r="AP180" i="6"/>
  <c r="BE181" i="6"/>
  <c r="BD181" i="6"/>
  <c r="R182" i="6"/>
  <c r="P185" i="6"/>
  <c r="CD186" i="6"/>
  <c r="CC186" i="6"/>
  <c r="BD187" i="6"/>
  <c r="BM188" i="6"/>
  <c r="BL188" i="6"/>
  <c r="AW189" i="6"/>
  <c r="BE191" i="6"/>
  <c r="Z193" i="6"/>
  <c r="Y193" i="6"/>
  <c r="CY193" i="6"/>
  <c r="CY196" i="6"/>
  <c r="R196" i="6"/>
  <c r="Q196" i="6"/>
  <c r="P196" i="6"/>
  <c r="BU199" i="6"/>
  <c r="BT199" i="6"/>
  <c r="BV199" i="6"/>
  <c r="CV209" i="6"/>
  <c r="DB209" i="6"/>
  <c r="AG162" i="6"/>
  <c r="BM162" i="6"/>
  <c r="CS162" i="6"/>
  <c r="I164" i="6"/>
  <c r="AO164" i="6"/>
  <c r="BU164" i="6"/>
  <c r="CY164" i="6"/>
  <c r="Q166" i="6"/>
  <c r="AW166" i="6"/>
  <c r="CC166" i="6"/>
  <c r="BM167" i="6"/>
  <c r="Z168" i="6"/>
  <c r="CJ168" i="6"/>
  <c r="BU169" i="6"/>
  <c r="Y170" i="6"/>
  <c r="AW170" i="6"/>
  <c r="BU170" i="6"/>
  <c r="CT170" i="6"/>
  <c r="I172" i="6"/>
  <c r="AG172" i="6"/>
  <c r="BE172" i="6"/>
  <c r="BT172" i="6"/>
  <c r="CS172" i="6"/>
  <c r="Z173" i="6"/>
  <c r="CB173" i="6"/>
  <c r="AN174" i="6"/>
  <c r="BN174" i="6"/>
  <c r="CC174" i="6"/>
  <c r="Z175" i="6"/>
  <c r="AN175" i="6"/>
  <c r="BN175" i="6"/>
  <c r="J176" i="6"/>
  <c r="Z176" i="6"/>
  <c r="AN176" i="6"/>
  <c r="BE176" i="6"/>
  <c r="BD176" i="6"/>
  <c r="CS178" i="6"/>
  <c r="CR178" i="6"/>
  <c r="X179" i="6"/>
  <c r="CY180" i="6"/>
  <c r="I180" i="6"/>
  <c r="H180" i="6"/>
  <c r="X180" i="6"/>
  <c r="BF181" i="6"/>
  <c r="CR181" i="6"/>
  <c r="BT183" i="6"/>
  <c r="J184" i="6"/>
  <c r="CY184" i="6"/>
  <c r="I184" i="6"/>
  <c r="Q185" i="6"/>
  <c r="AP185" i="6"/>
  <c r="AO185" i="6"/>
  <c r="AN185" i="6"/>
  <c r="CB186" i="6"/>
  <c r="R187" i="6"/>
  <c r="Q187" i="6"/>
  <c r="BF187" i="6"/>
  <c r="BN188" i="6"/>
  <c r="AX189" i="6"/>
  <c r="X193" i="6"/>
  <c r="CL202" i="6"/>
  <c r="CK202" i="6"/>
  <c r="CJ202" i="6"/>
  <c r="R166" i="6"/>
  <c r="BL170" i="6"/>
  <c r="J172" i="6"/>
  <c r="BD173" i="6"/>
  <c r="CD173" i="6"/>
  <c r="CD174" i="6"/>
  <c r="AO175" i="6"/>
  <c r="CR175" i="6"/>
  <c r="AP176" i="6"/>
  <c r="CK176" i="6"/>
  <c r="CJ176" i="6"/>
  <c r="H177" i="6"/>
  <c r="AN177" i="6"/>
  <c r="BT177" i="6"/>
  <c r="CD178" i="6"/>
  <c r="CC178" i="6"/>
  <c r="Y179" i="6"/>
  <c r="CC179" i="6"/>
  <c r="CB179" i="6"/>
  <c r="Y181" i="6"/>
  <c r="X181" i="6"/>
  <c r="CS181" i="6"/>
  <c r="CT182" i="6"/>
  <c r="CS182" i="6"/>
  <c r="BU183" i="6"/>
  <c r="CT183" i="6"/>
  <c r="CS183" i="6"/>
  <c r="CR183" i="6"/>
  <c r="CK189" i="6"/>
  <c r="CL189" i="6"/>
  <c r="BU190" i="6"/>
  <c r="BT190" i="6"/>
  <c r="BV190" i="6"/>
  <c r="CV190" i="6"/>
  <c r="CS191" i="6"/>
  <c r="CT191" i="6"/>
  <c r="AX195" i="6"/>
  <c r="AW195" i="6"/>
  <c r="AP188" i="6"/>
  <c r="AO188" i="6"/>
  <c r="BV189" i="6"/>
  <c r="BU189" i="6"/>
  <c r="AO190" i="6"/>
  <c r="AN190" i="6"/>
  <c r="AG193" i="6"/>
  <c r="AF193" i="6"/>
  <c r="CK194" i="6"/>
  <c r="CJ194" i="6"/>
  <c r="V197" i="6"/>
  <c r="CH197" i="6"/>
  <c r="Q201" i="6"/>
  <c r="CY201" i="6"/>
  <c r="R201" i="6"/>
  <c r="BF202" i="6"/>
  <c r="BE202" i="6"/>
  <c r="BD202" i="6"/>
  <c r="AJ216" i="6"/>
  <c r="CD191" i="6"/>
  <c r="CC191" i="6"/>
  <c r="CV191" i="6"/>
  <c r="AH192" i="6"/>
  <c r="AG192" i="6"/>
  <c r="CC192" i="6"/>
  <c r="CB192" i="6"/>
  <c r="CD192" i="6"/>
  <c r="CY195" i="6"/>
  <c r="J195" i="6"/>
  <c r="I195" i="6"/>
  <c r="H195" i="6"/>
  <c r="AX196" i="6"/>
  <c r="AW196" i="6"/>
  <c r="CU197" i="6"/>
  <c r="CV197" i="6" s="1"/>
  <c r="D197" i="6"/>
  <c r="BP197" i="6"/>
  <c r="CY199" i="6"/>
  <c r="I199" i="6"/>
  <c r="H199" i="6"/>
  <c r="J199" i="6"/>
  <c r="AH200" i="6"/>
  <c r="AG200" i="6"/>
  <c r="AF200" i="6"/>
  <c r="CY187" i="6"/>
  <c r="AP189" i="6"/>
  <c r="AO189" i="6"/>
  <c r="BF189" i="6"/>
  <c r="R190" i="6"/>
  <c r="P190" i="6"/>
  <c r="CB191" i="6"/>
  <c r="AF192" i="6"/>
  <c r="AP193" i="6"/>
  <c r="AO193" i="6"/>
  <c r="AH195" i="6"/>
  <c r="AG195" i="6"/>
  <c r="AV196" i="6"/>
  <c r="AB197" i="6"/>
  <c r="CN197" i="6"/>
  <c r="CL199" i="6"/>
  <c r="CK199" i="6"/>
  <c r="BN200" i="6"/>
  <c r="BM200" i="6"/>
  <c r="BL200" i="6"/>
  <c r="N216" i="6"/>
  <c r="I179" i="6"/>
  <c r="AO179" i="6"/>
  <c r="BU179" i="6"/>
  <c r="CY179" i="6"/>
  <c r="Q181" i="6"/>
  <c r="AW181" i="6"/>
  <c r="CC181" i="6"/>
  <c r="Y183" i="6"/>
  <c r="BE183" i="6"/>
  <c r="CK183" i="6"/>
  <c r="X184" i="6"/>
  <c r="BD184" i="6"/>
  <c r="CJ184" i="6"/>
  <c r="AG185" i="6"/>
  <c r="BM185" i="6"/>
  <c r="CS185" i="6"/>
  <c r="AF186" i="6"/>
  <c r="BL186" i="6"/>
  <c r="CR186" i="6"/>
  <c r="I187" i="6"/>
  <c r="AO187" i="6"/>
  <c r="BL187" i="6"/>
  <c r="CB187" i="6"/>
  <c r="P188" i="6"/>
  <c r="AN189" i="6"/>
  <c r="Q190" i="6"/>
  <c r="AX190" i="6"/>
  <c r="AV190" i="6"/>
  <c r="CB190" i="6"/>
  <c r="AN193" i="6"/>
  <c r="CY194" i="6"/>
  <c r="J194" i="6"/>
  <c r="AF195" i="6"/>
  <c r="CJ195" i="6"/>
  <c r="Z199" i="6"/>
  <c r="Y199" i="6"/>
  <c r="CJ199" i="6"/>
  <c r="H200" i="6"/>
  <c r="AW201" i="6"/>
  <c r="AV201" i="6"/>
  <c r="AX201" i="6"/>
  <c r="DA207" i="6"/>
  <c r="DB207" i="6"/>
  <c r="BN187" i="6"/>
  <c r="CC187" i="6"/>
  <c r="AG188" i="6"/>
  <c r="AF188" i="6"/>
  <c r="CC190" i="6"/>
  <c r="CK191" i="6"/>
  <c r="CJ191" i="6"/>
  <c r="Q192" i="6"/>
  <c r="CT196" i="6"/>
  <c r="CS196" i="6"/>
  <c r="CR196" i="6"/>
  <c r="AH201" i="6"/>
  <c r="AG201" i="6"/>
  <c r="CV205" i="6"/>
  <c r="CT187" i="6"/>
  <c r="CS187" i="6"/>
  <c r="CS188" i="6"/>
  <c r="CR188" i="6"/>
  <c r="R191" i="6"/>
  <c r="Q191" i="6"/>
  <c r="Y194" i="6"/>
  <c r="X194" i="6"/>
  <c r="Z198" i="6"/>
  <c r="Y198" i="6"/>
  <c r="BF193" i="6"/>
  <c r="BE193" i="6"/>
  <c r="CC195" i="6"/>
  <c r="CB195" i="6"/>
  <c r="F197" i="6"/>
  <c r="BR197" i="6"/>
  <c r="R200" i="6"/>
  <c r="Q200" i="6"/>
  <c r="CY200" i="6"/>
  <c r="AX200" i="6"/>
  <c r="AW200" i="6"/>
  <c r="CY202" i="6"/>
  <c r="J202" i="6"/>
  <c r="I202" i="6"/>
  <c r="CY203" i="6"/>
  <c r="J203" i="6"/>
  <c r="I203" i="6"/>
  <c r="CH216" i="6"/>
  <c r="CV224" i="6"/>
  <c r="BH197" i="6"/>
  <c r="J198" i="6"/>
  <c r="CY198" i="6"/>
  <c r="I198" i="6"/>
  <c r="BV198" i="6"/>
  <c r="BU198" i="6"/>
  <c r="AH206" i="6"/>
  <c r="AG206" i="6"/>
  <c r="AF206" i="6"/>
  <c r="J189" i="6"/>
  <c r="CY189" i="6"/>
  <c r="I189" i="6"/>
  <c r="CY190" i="6"/>
  <c r="I190" i="6"/>
  <c r="H190" i="6"/>
  <c r="AX191" i="6"/>
  <c r="AW191" i="6"/>
  <c r="CV192" i="6"/>
  <c r="BU193" i="6"/>
  <c r="BE194" i="6"/>
  <c r="BD194" i="6"/>
  <c r="CR194" i="6"/>
  <c r="AN195" i="6"/>
  <c r="BM195" i="6"/>
  <c r="I196" i="6"/>
  <c r="H196" i="6"/>
  <c r="AO196" i="6"/>
  <c r="BU196" i="6"/>
  <c r="H198" i="6"/>
  <c r="BT198" i="6"/>
  <c r="CK198" i="6"/>
  <c r="Q199" i="6"/>
  <c r="AW199" i="6"/>
  <c r="AV202" i="6"/>
  <c r="AG203" i="6"/>
  <c r="CV210" i="6"/>
  <c r="DB215" i="6"/>
  <c r="AW192" i="6"/>
  <c r="AV192" i="6"/>
  <c r="CL193" i="6"/>
  <c r="CK193" i="6"/>
  <c r="CS194" i="6"/>
  <c r="BN201" i="6"/>
  <c r="BM201" i="6"/>
  <c r="BL201" i="6"/>
  <c r="CV201" i="6"/>
  <c r="CV202" i="6"/>
  <c r="AP203" i="6"/>
  <c r="AO203" i="6"/>
  <c r="Q206" i="6"/>
  <c r="BN206" i="6"/>
  <c r="BM206" i="6"/>
  <c r="CY206" i="6"/>
  <c r="V216" i="6"/>
  <c r="AL216" i="6"/>
  <c r="AZ216" i="6"/>
  <c r="CV220" i="6"/>
  <c r="BB216" i="6"/>
  <c r="CL217" i="6"/>
  <c r="CK217" i="6"/>
  <c r="BD195" i="6"/>
  <c r="Z203" i="6"/>
  <c r="Y203" i="6"/>
  <c r="X203" i="6"/>
  <c r="BF203" i="6"/>
  <c r="BE203" i="6"/>
  <c r="BD203" i="6"/>
  <c r="CL203" i="6"/>
  <c r="CK203" i="6"/>
  <c r="CJ203" i="6"/>
  <c r="CV206" i="6"/>
  <c r="BH216" i="6"/>
  <c r="CJ217" i="6"/>
  <c r="BN196" i="6"/>
  <c r="BM196" i="6"/>
  <c r="AP198" i="6"/>
  <c r="AO198" i="6"/>
  <c r="AO199" i="6"/>
  <c r="AN199" i="6"/>
  <c r="CD200" i="6"/>
  <c r="CC200" i="6"/>
  <c r="Z202" i="6"/>
  <c r="Y202" i="6"/>
  <c r="CV208" i="6"/>
  <c r="CV215" i="6"/>
  <c r="BJ216" i="6"/>
  <c r="BX216" i="6"/>
  <c r="CN216" i="6"/>
  <c r="CC201" i="6"/>
  <c r="CB201" i="6"/>
  <c r="CB202" i="6"/>
  <c r="CL206" i="6"/>
  <c r="CK206" i="6"/>
  <c r="CJ206" i="6"/>
  <c r="CV207" i="6"/>
  <c r="L216" i="6"/>
  <c r="AB216" i="6"/>
  <c r="BZ216" i="6"/>
  <c r="D216" i="6"/>
  <c r="CU216" i="6"/>
  <c r="CV216" i="6" s="1"/>
  <c r="AD216" i="6"/>
  <c r="BP216" i="6"/>
  <c r="CP216" i="6"/>
  <c r="CV217" i="6"/>
  <c r="CV222" i="6"/>
  <c r="F216" i="6"/>
  <c r="CW216" i="6"/>
  <c r="AR216" i="6"/>
  <c r="BR216" i="6"/>
  <c r="Z217" i="6"/>
  <c r="Y217" i="6"/>
  <c r="T216" i="6"/>
  <c r="AT216" i="6"/>
  <c r="CF216" i="6"/>
  <c r="BF217" i="6"/>
  <c r="BE217" i="6"/>
  <c r="CV227" i="6"/>
  <c r="AV217" i="6"/>
  <c r="CB217" i="6"/>
  <c r="CV218" i="6"/>
  <c r="CX227" i="6"/>
  <c r="CV228" i="6"/>
  <c r="Q217" i="6"/>
  <c r="AW217" i="6"/>
  <c r="CC217" i="6"/>
  <c r="CV223" i="6"/>
  <c r="CV226" i="6"/>
  <c r="H217" i="6"/>
  <c r="AN217" i="6"/>
  <c r="BT217" i="6"/>
  <c r="I217" i="6"/>
  <c r="AO217" i="6"/>
  <c r="BU217" i="6"/>
  <c r="CY217" i="6"/>
  <c r="CV229" i="6"/>
  <c r="DA232" i="6"/>
  <c r="G282" i="2" l="1"/>
  <c r="G283" i="2" s="1"/>
  <c r="X218" i="6"/>
  <c r="N291" i="2"/>
  <c r="DA172" i="6"/>
  <c r="DB142" i="6"/>
  <c r="DB77" i="6"/>
  <c r="DA74" i="6"/>
  <c r="DB116" i="6"/>
  <c r="CS22" i="6"/>
  <c r="H39" i="1"/>
  <c r="BK218" i="6"/>
  <c r="BL218" i="6" s="1"/>
  <c r="AX52" i="6"/>
  <c r="I34" i="1"/>
  <c r="BK213" i="6"/>
  <c r="BN213" i="6" s="1"/>
  <c r="W216" i="6"/>
  <c r="X216" i="6" s="1"/>
  <c r="D39" i="1"/>
  <c r="B14" i="1"/>
  <c r="BN208" i="6"/>
  <c r="K34" i="1"/>
  <c r="N41" i="1"/>
  <c r="O41" i="1" s="1"/>
  <c r="BS208" i="6"/>
  <c r="BT208" i="6" s="1"/>
  <c r="BL208" i="6"/>
  <c r="CY64" i="6"/>
  <c r="DA64" i="6" s="1"/>
  <c r="DB32" i="6"/>
  <c r="H178" i="2"/>
  <c r="H29" i="1" s="1"/>
  <c r="CQ21" i="6"/>
  <c r="CQ42" i="6" s="1"/>
  <c r="CT42" i="6" s="1"/>
  <c r="I14" i="1"/>
  <c r="CY111" i="6"/>
  <c r="DA111" i="6" s="1"/>
  <c r="CY117" i="6"/>
  <c r="DB117" i="6" s="1"/>
  <c r="C291" i="2"/>
  <c r="F14" i="1"/>
  <c r="BC52" i="6"/>
  <c r="BE52" i="6" s="1"/>
  <c r="T51" i="6"/>
  <c r="S49" i="6"/>
  <c r="T49" i="6" s="1"/>
  <c r="CH51" i="6"/>
  <c r="CG49" i="6"/>
  <c r="CH49" i="6" s="1"/>
  <c r="BK210" i="6"/>
  <c r="I35" i="1"/>
  <c r="AU210" i="6"/>
  <c r="G35" i="1"/>
  <c r="D35" i="1"/>
  <c r="W210" i="6"/>
  <c r="CX169" i="6"/>
  <c r="CX92" i="6"/>
  <c r="CX44" i="6"/>
  <c r="CX74" i="6"/>
  <c r="CU12" i="6"/>
  <c r="CV12" i="6" s="1"/>
  <c r="CX162" i="6"/>
  <c r="CX156" i="6"/>
  <c r="CX168" i="6"/>
  <c r="CX133" i="6"/>
  <c r="CX57" i="6"/>
  <c r="CX75" i="6"/>
  <c r="CX34" i="6"/>
  <c r="CX53" i="6"/>
  <c r="CX93" i="6"/>
  <c r="CX29" i="6"/>
  <c r="H122" i="6"/>
  <c r="H224" i="6"/>
  <c r="CC218" i="6"/>
  <c r="S16" i="6"/>
  <c r="T16" i="6" s="1"/>
  <c r="S42" i="6"/>
  <c r="CY48" i="6"/>
  <c r="DB48" i="6" s="1"/>
  <c r="CX98" i="6"/>
  <c r="CX46" i="6"/>
  <c r="CX6" i="6"/>
  <c r="CX177" i="6"/>
  <c r="CX218" i="6"/>
  <c r="CX198" i="6"/>
  <c r="CX149" i="6"/>
  <c r="CX232" i="6"/>
  <c r="CX118" i="6"/>
  <c r="L103" i="6"/>
  <c r="T103" i="6"/>
  <c r="CX68" i="6"/>
  <c r="CX101" i="6"/>
  <c r="CX86" i="6"/>
  <c r="CX122" i="6"/>
  <c r="CX67" i="6"/>
  <c r="BR213" i="6"/>
  <c r="CX61" i="6"/>
  <c r="CX31" i="6"/>
  <c r="H36" i="6"/>
  <c r="CX7" i="6"/>
  <c r="CB218" i="6"/>
  <c r="CK103" i="6"/>
  <c r="K39" i="1"/>
  <c r="CR220" i="6"/>
  <c r="M35" i="1"/>
  <c r="B178" i="3"/>
  <c r="B31" i="1" s="1"/>
  <c r="CU45" i="6"/>
  <c r="CV45" i="6" s="1"/>
  <c r="CX216" i="6"/>
  <c r="CX153" i="6"/>
  <c r="CX170" i="6"/>
  <c r="CX48" i="6"/>
  <c r="CX195" i="6"/>
  <c r="CX220" i="6"/>
  <c r="CX171" i="6"/>
  <c r="CX157" i="6"/>
  <c r="CX183" i="6"/>
  <c r="CX131" i="6"/>
  <c r="CX82" i="6"/>
  <c r="CX106" i="6"/>
  <c r="CX90" i="6"/>
  <c r="CX107" i="6"/>
  <c r="AE46" i="6"/>
  <c r="O52" i="3"/>
  <c r="CB93" i="6"/>
  <c r="P222" i="6"/>
  <c r="AN223" i="6"/>
  <c r="G14" i="1"/>
  <c r="CR210" i="6"/>
  <c r="BT210" i="6"/>
  <c r="CX8" i="6"/>
  <c r="K178" i="3"/>
  <c r="K31" i="1" s="1"/>
  <c r="CK20" i="6"/>
  <c r="CL20" i="6"/>
  <c r="X5" i="6"/>
  <c r="M21" i="1"/>
  <c r="M20" i="1" s="1"/>
  <c r="M14" i="1"/>
  <c r="CX119" i="6"/>
  <c r="CX96" i="6"/>
  <c r="CX38" i="6"/>
  <c r="CX5" i="6"/>
  <c r="CX194" i="6"/>
  <c r="CX226" i="6"/>
  <c r="CX224" i="6"/>
  <c r="CX221" i="6"/>
  <c r="CX203" i="6"/>
  <c r="CX199" i="6"/>
  <c r="CX189" i="6"/>
  <c r="CX193" i="6"/>
  <c r="CX175" i="6"/>
  <c r="CX141" i="6"/>
  <c r="CX197" i="6"/>
  <c r="CX160" i="6"/>
  <c r="CX161" i="6"/>
  <c r="CX73" i="6"/>
  <c r="CW214" i="6"/>
  <c r="CX214" i="6" s="1"/>
  <c r="CX84" i="6"/>
  <c r="H80" i="6"/>
  <c r="CX63" i="6"/>
  <c r="CX26" i="6"/>
  <c r="P24" i="6"/>
  <c r="CX47" i="6"/>
  <c r="H171" i="6"/>
  <c r="BJ21" i="6"/>
  <c r="CJ64" i="6"/>
  <c r="BT93" i="6"/>
  <c r="CJ222" i="6"/>
  <c r="CT210" i="6"/>
  <c r="BU210" i="6"/>
  <c r="CJ229" i="6"/>
  <c r="Y15" i="6"/>
  <c r="L178" i="3"/>
  <c r="L31" i="1" s="1"/>
  <c r="BV8" i="6"/>
  <c r="BU8" i="6"/>
  <c r="CX215" i="6"/>
  <c r="CX190" i="6"/>
  <c r="CX165" i="6"/>
  <c r="CX176" i="6"/>
  <c r="CX180" i="6"/>
  <c r="CX134" i="6"/>
  <c r="CX116" i="6"/>
  <c r="CX128" i="6"/>
  <c r="CX120" i="6"/>
  <c r="CX100" i="6"/>
  <c r="CX115" i="6"/>
  <c r="CX40" i="6"/>
  <c r="CK46" i="6"/>
  <c r="AN6" i="6"/>
  <c r="BI42" i="6"/>
  <c r="CR68" i="6"/>
  <c r="CX9" i="6"/>
  <c r="O3" i="3"/>
  <c r="P219" i="6"/>
  <c r="J14" i="1"/>
  <c r="AP14" i="6"/>
  <c r="AO14" i="6"/>
  <c r="CX145" i="6"/>
  <c r="CX148" i="6"/>
  <c r="CX87" i="6"/>
  <c r="CX70" i="6"/>
  <c r="CX217" i="6"/>
  <c r="CX166" i="6"/>
  <c r="CX225" i="6"/>
  <c r="CX229" i="6"/>
  <c r="CX188" i="6"/>
  <c r="CX172" i="6"/>
  <c r="CX151" i="6"/>
  <c r="CX139" i="6"/>
  <c r="CX105" i="6"/>
  <c r="CX111" i="6"/>
  <c r="CX97" i="6"/>
  <c r="CX65" i="6"/>
  <c r="CX85" i="6"/>
  <c r="CX43" i="6"/>
  <c r="CX80" i="6"/>
  <c r="CX39" i="6"/>
  <c r="CX37" i="6"/>
  <c r="CY8" i="6"/>
  <c r="H37" i="6"/>
  <c r="CJ104" i="6"/>
  <c r="CV6" i="6"/>
  <c r="CJ80" i="6"/>
  <c r="Y19" i="6"/>
  <c r="Z19" i="6"/>
  <c r="J283" i="2"/>
  <c r="DB8" i="6"/>
  <c r="DA8" i="6"/>
  <c r="S178" i="2"/>
  <c r="E32" i="4"/>
  <c r="F31" i="4"/>
  <c r="BN12" i="6"/>
  <c r="BM12" i="6"/>
  <c r="CK12" i="6"/>
  <c r="CL12" i="6"/>
  <c r="CR42" i="6"/>
  <c r="DA178" i="6"/>
  <c r="DB178" i="6"/>
  <c r="DA188" i="6"/>
  <c r="DB188" i="6"/>
  <c r="DA109" i="6"/>
  <c r="DB109" i="6"/>
  <c r="CM104" i="6"/>
  <c r="CT105" i="6"/>
  <c r="CN105" i="6"/>
  <c r="BN103" i="6"/>
  <c r="BM103" i="6"/>
  <c r="BL103" i="6"/>
  <c r="CB216" i="6"/>
  <c r="CD216" i="6"/>
  <c r="CC216" i="6"/>
  <c r="E20" i="1"/>
  <c r="DA186" i="6"/>
  <c r="DB186" i="6"/>
  <c r="DA136" i="6"/>
  <c r="DB136" i="6"/>
  <c r="DA73" i="6"/>
  <c r="DB73" i="6"/>
  <c r="AO48" i="6"/>
  <c r="AP48" i="6"/>
  <c r="AG20" i="6"/>
  <c r="AH20" i="6"/>
  <c r="BT214" i="6"/>
  <c r="BV214" i="6"/>
  <c r="BU214" i="6"/>
  <c r="BA42" i="6"/>
  <c r="BB21" i="6"/>
  <c r="BA16" i="6"/>
  <c r="BB16" i="6" s="1"/>
  <c r="BU46" i="6"/>
  <c r="BV46" i="6"/>
  <c r="Y45" i="6"/>
  <c r="Z45" i="6"/>
  <c r="H17" i="6"/>
  <c r="G16" i="6"/>
  <c r="BN45" i="6"/>
  <c r="BM45" i="6"/>
  <c r="BU21" i="6"/>
  <c r="BT21" i="6"/>
  <c r="BV21" i="6"/>
  <c r="R208" i="6"/>
  <c r="Q208" i="6"/>
  <c r="P208" i="6"/>
  <c r="CT64" i="6"/>
  <c r="CS64" i="6"/>
  <c r="CR64" i="6"/>
  <c r="S208" i="2"/>
  <c r="H30" i="1"/>
  <c r="N30" i="1" s="1"/>
  <c r="P206" i="6"/>
  <c r="DB190" i="6"/>
  <c r="DA190" i="6"/>
  <c r="P187" i="6"/>
  <c r="P143" i="6"/>
  <c r="P169" i="6"/>
  <c r="P159" i="6"/>
  <c r="DB161" i="6"/>
  <c r="DA161" i="6"/>
  <c r="P164" i="6"/>
  <c r="DB119" i="6"/>
  <c r="DA119" i="6"/>
  <c r="P148" i="6"/>
  <c r="P113" i="6"/>
  <c r="P94" i="6"/>
  <c r="DB89" i="6"/>
  <c r="DA89" i="6"/>
  <c r="DB94" i="6"/>
  <c r="DA94" i="6"/>
  <c r="P78" i="6"/>
  <c r="AR105" i="6"/>
  <c r="AQ104" i="6"/>
  <c r="DA95" i="6"/>
  <c r="AZ111" i="6"/>
  <c r="AY106" i="6"/>
  <c r="DB83" i="6"/>
  <c r="DA83" i="6"/>
  <c r="P57" i="6"/>
  <c r="DB97" i="6"/>
  <c r="DA97" i="6"/>
  <c r="DB79" i="6"/>
  <c r="DA79" i="6"/>
  <c r="DB57" i="6"/>
  <c r="DA57" i="6"/>
  <c r="P54" i="6"/>
  <c r="P63" i="6"/>
  <c r="CS19" i="6"/>
  <c r="CT19" i="6"/>
  <c r="AO21" i="6"/>
  <c r="AN21" i="6"/>
  <c r="AP21" i="6"/>
  <c r="BQ49" i="6"/>
  <c r="BR49" i="6" s="1"/>
  <c r="BR51" i="6"/>
  <c r="E42" i="6"/>
  <c r="F21" i="6"/>
  <c r="CW21" i="6"/>
  <c r="CX21" i="6" s="1"/>
  <c r="DA39" i="6"/>
  <c r="DB39" i="6"/>
  <c r="DB61" i="6"/>
  <c r="DA61" i="6"/>
  <c r="H56" i="6"/>
  <c r="AT212" i="6"/>
  <c r="AS211" i="6"/>
  <c r="R15" i="6"/>
  <c r="Q15" i="6"/>
  <c r="R20" i="6"/>
  <c r="Q20" i="6"/>
  <c r="BM21" i="6"/>
  <c r="BL21" i="6"/>
  <c r="BK16" i="6"/>
  <c r="BL16" i="6" s="1"/>
  <c r="BN21" i="6"/>
  <c r="N275" i="2"/>
  <c r="O176" i="2"/>
  <c r="P171" i="6"/>
  <c r="P64" i="6"/>
  <c r="P223" i="6"/>
  <c r="BT17" i="6"/>
  <c r="BS16" i="6"/>
  <c r="BT16" i="6" s="1"/>
  <c r="O213" i="6"/>
  <c r="P43" i="6"/>
  <c r="Q43" i="6"/>
  <c r="R43" i="6"/>
  <c r="H64" i="6"/>
  <c r="DB220" i="6"/>
  <c r="DA220" i="6"/>
  <c r="P218" i="6"/>
  <c r="W52" i="6"/>
  <c r="D178" i="2"/>
  <c r="D29" i="1" s="1"/>
  <c r="D28" i="1" s="1"/>
  <c r="CX17" i="6"/>
  <c r="BF8" i="6"/>
  <c r="BE8" i="6"/>
  <c r="BT232" i="6"/>
  <c r="BT207" i="6"/>
  <c r="BT200" i="6"/>
  <c r="BT206" i="6"/>
  <c r="BT191" i="6"/>
  <c r="BT194" i="6"/>
  <c r="BT196" i="6"/>
  <c r="BT192" i="6"/>
  <c r="BT181" i="6"/>
  <c r="BT201" i="6"/>
  <c r="BT189" i="6"/>
  <c r="BT188" i="6"/>
  <c r="BT186" i="6"/>
  <c r="BT178" i="6"/>
  <c r="BT176" i="6"/>
  <c r="BT166" i="6"/>
  <c r="BT195" i="6"/>
  <c r="BT182" i="6"/>
  <c r="BT179" i="6"/>
  <c r="BT168" i="6"/>
  <c r="BT163" i="6"/>
  <c r="BT202" i="6"/>
  <c r="BT187" i="6"/>
  <c r="BT193" i="6"/>
  <c r="BT173" i="6"/>
  <c r="BT148" i="6"/>
  <c r="BT147" i="6"/>
  <c r="BT146" i="6"/>
  <c r="BT170" i="6"/>
  <c r="BT159" i="6"/>
  <c r="BT158" i="6"/>
  <c r="BT142" i="6"/>
  <c r="BT136" i="6"/>
  <c r="BT152" i="6"/>
  <c r="BT144" i="6"/>
  <c r="BT135" i="6"/>
  <c r="BT169" i="6"/>
  <c r="BT174" i="6"/>
  <c r="BT164" i="6"/>
  <c r="BT140" i="6"/>
  <c r="BT155" i="6"/>
  <c r="BT121" i="6"/>
  <c r="BT132" i="6"/>
  <c r="BT127" i="6"/>
  <c r="BT137" i="6"/>
  <c r="BT138" i="6"/>
  <c r="BT150" i="6"/>
  <c r="BT124" i="6"/>
  <c r="BT126" i="6"/>
  <c r="BT123" i="6"/>
  <c r="BT119" i="6"/>
  <c r="BT129" i="6"/>
  <c r="BT95" i="6"/>
  <c r="BT114" i="6"/>
  <c r="BT109" i="6"/>
  <c r="BT99" i="6"/>
  <c r="BT108" i="6"/>
  <c r="BT79" i="6"/>
  <c r="BT58" i="6"/>
  <c r="BT91" i="6"/>
  <c r="BT89" i="6"/>
  <c r="BT78" i="6"/>
  <c r="BT77" i="6"/>
  <c r="BT74" i="6"/>
  <c r="BT112" i="6"/>
  <c r="BT102" i="6"/>
  <c r="BT83" i="6"/>
  <c r="BT72" i="6"/>
  <c r="BT69" i="6"/>
  <c r="BT59" i="6"/>
  <c r="BT56" i="6"/>
  <c r="BT110" i="6"/>
  <c r="BT88" i="6"/>
  <c r="BT70" i="6"/>
  <c r="BT66" i="6"/>
  <c r="BT55" i="6"/>
  <c r="BT32" i="6"/>
  <c r="BS45" i="6"/>
  <c r="BT54" i="6"/>
  <c r="BT84" i="6"/>
  <c r="BT24" i="6"/>
  <c r="BT92" i="6"/>
  <c r="BT62" i="6"/>
  <c r="BT33" i="6"/>
  <c r="BT23" i="6"/>
  <c r="BT35" i="6"/>
  <c r="BT60" i="6"/>
  <c r="BT25" i="6"/>
  <c r="BT30" i="6"/>
  <c r="BT27" i="6"/>
  <c r="BV4" i="6"/>
  <c r="BS12" i="6"/>
  <c r="BU4" i="6"/>
  <c r="BE15" i="6"/>
  <c r="BF15" i="6"/>
  <c r="Y8" i="6"/>
  <c r="Z8" i="6"/>
  <c r="AM213" i="6"/>
  <c r="AN43" i="6"/>
  <c r="AP43" i="6"/>
  <c r="AO43" i="6"/>
  <c r="AN232" i="6"/>
  <c r="AN200" i="6"/>
  <c r="AN202" i="6"/>
  <c r="AN201" i="6"/>
  <c r="AN191" i="6"/>
  <c r="AN207" i="6"/>
  <c r="AN196" i="6"/>
  <c r="AN198" i="6"/>
  <c r="AN194" i="6"/>
  <c r="AN181" i="6"/>
  <c r="AN187" i="6"/>
  <c r="AN188" i="6"/>
  <c r="AN186" i="6"/>
  <c r="AN178" i="6"/>
  <c r="AN192" i="6"/>
  <c r="AN182" i="6"/>
  <c r="AN169" i="6"/>
  <c r="AN168" i="6"/>
  <c r="AN166" i="6"/>
  <c r="AN179" i="6"/>
  <c r="AN173" i="6"/>
  <c r="AN203" i="6"/>
  <c r="AN184" i="6"/>
  <c r="AN167" i="6"/>
  <c r="AN163" i="6"/>
  <c r="AN156" i="6"/>
  <c r="AN155" i="6"/>
  <c r="AN170" i="6"/>
  <c r="AN150" i="6"/>
  <c r="AN164" i="6"/>
  <c r="AN136" i="6"/>
  <c r="AN159" i="6"/>
  <c r="AN135" i="6"/>
  <c r="AN142" i="6"/>
  <c r="AN158" i="6"/>
  <c r="AN140" i="6"/>
  <c r="AN137" i="6"/>
  <c r="AN132" i="6"/>
  <c r="AN153" i="6"/>
  <c r="AN126" i="6"/>
  <c r="AN124" i="6"/>
  <c r="AN127" i="6"/>
  <c r="AN114" i="6"/>
  <c r="AN109" i="6"/>
  <c r="AN99" i="6"/>
  <c r="AN110" i="6"/>
  <c r="AN108" i="6"/>
  <c r="AN160" i="6"/>
  <c r="AN112" i="6"/>
  <c r="AN83" i="6"/>
  <c r="AN58" i="6"/>
  <c r="AN102" i="6"/>
  <c r="AN74" i="6"/>
  <c r="AN113" i="6"/>
  <c r="AN88" i="6"/>
  <c r="AN82" i="6"/>
  <c r="AN91" i="6"/>
  <c r="AN84" i="6"/>
  <c r="AN75" i="6"/>
  <c r="AN94" i="6"/>
  <c r="AN66" i="6"/>
  <c r="AN56" i="6"/>
  <c r="AN32" i="6"/>
  <c r="AN69" i="6"/>
  <c r="AN77" i="6"/>
  <c r="AN24" i="6"/>
  <c r="AN26" i="6"/>
  <c r="AN23" i="6"/>
  <c r="AO4" i="6"/>
  <c r="AN85" i="6"/>
  <c r="AN72" i="6"/>
  <c r="AM45" i="6"/>
  <c r="AN36" i="6"/>
  <c r="AN33" i="6"/>
  <c r="AN27" i="6"/>
  <c r="AN25" i="6"/>
  <c r="AN28" i="6"/>
  <c r="AN62" i="6"/>
  <c r="AN59" i="6"/>
  <c r="AN35" i="6"/>
  <c r="AP4" i="6"/>
  <c r="AM12" i="6"/>
  <c r="J18" i="6"/>
  <c r="I18" i="6"/>
  <c r="AH14" i="6"/>
  <c r="AG14" i="6"/>
  <c r="BF111" i="6"/>
  <c r="BI212" i="6"/>
  <c r="BJ42" i="6"/>
  <c r="BI41" i="6"/>
  <c r="BJ41" i="6" s="1"/>
  <c r="DA18" i="6"/>
  <c r="DB18" i="6"/>
  <c r="CQ214" i="6"/>
  <c r="CR44" i="6"/>
  <c r="CT44" i="6"/>
  <c r="CS44" i="6"/>
  <c r="CQ213" i="6"/>
  <c r="CR43" i="6"/>
  <c r="CT43" i="6"/>
  <c r="CS43" i="6"/>
  <c r="H32" i="4"/>
  <c r="I31" i="4"/>
  <c r="I35" i="4" s="1"/>
  <c r="H35" i="4"/>
  <c r="D195" i="3"/>
  <c r="AX18" i="6"/>
  <c r="AW18" i="6"/>
  <c r="DA7" i="6"/>
  <c r="DB7" i="6"/>
  <c r="AH47" i="6"/>
  <c r="AG47" i="6"/>
  <c r="BT22" i="6"/>
  <c r="CR205" i="6"/>
  <c r="AW219" i="6"/>
  <c r="AV219" i="6"/>
  <c r="AX219" i="6"/>
  <c r="J229" i="6"/>
  <c r="CY229" i="6"/>
  <c r="I229" i="6"/>
  <c r="H229" i="6"/>
  <c r="AN205" i="6"/>
  <c r="AN171" i="6"/>
  <c r="O181" i="2"/>
  <c r="N208" i="2"/>
  <c r="O208" i="2" s="1"/>
  <c r="I42" i="4"/>
  <c r="I33" i="4"/>
  <c r="AN64" i="6"/>
  <c r="CV15" i="6"/>
  <c r="CB222" i="6"/>
  <c r="I208" i="6"/>
  <c r="H208" i="6"/>
  <c r="J208" i="6"/>
  <c r="CB80" i="6"/>
  <c r="AE52" i="6"/>
  <c r="E178" i="2"/>
  <c r="E29" i="1" s="1"/>
  <c r="E28" i="1" s="1"/>
  <c r="J103" i="6"/>
  <c r="I103" i="6"/>
  <c r="H103" i="6"/>
  <c r="DB137" i="6"/>
  <c r="DA137" i="6"/>
  <c r="CJ44" i="6"/>
  <c r="CL44" i="6"/>
  <c r="CK44" i="6"/>
  <c r="R19" i="6"/>
  <c r="Q19" i="6"/>
  <c r="BD17" i="6"/>
  <c r="Z17" i="6"/>
  <c r="Y17" i="6"/>
  <c r="BN18" i="6"/>
  <c r="BM18" i="6"/>
  <c r="AE213" i="6"/>
  <c r="AF43" i="6"/>
  <c r="AH43" i="6"/>
  <c r="AG43" i="6"/>
  <c r="CQ52" i="6"/>
  <c r="M178" i="2"/>
  <c r="M29" i="1" s="1"/>
  <c r="N24" i="1"/>
  <c r="O15" i="1"/>
  <c r="DB96" i="6"/>
  <c r="DA96" i="6"/>
  <c r="DA98" i="6"/>
  <c r="DB98" i="6"/>
  <c r="Z13" i="6"/>
  <c r="Y13" i="6"/>
  <c r="DB24" i="6"/>
  <c r="DA24" i="6"/>
  <c r="BC103" i="6"/>
  <c r="S53" i="2"/>
  <c r="Z53" i="6"/>
  <c r="Y53" i="6"/>
  <c r="X53" i="6"/>
  <c r="CK213" i="6"/>
  <c r="CL213" i="6"/>
  <c r="CJ213" i="6"/>
  <c r="CW45" i="6"/>
  <c r="CX45" i="6" s="1"/>
  <c r="CC14" i="6"/>
  <c r="CD14" i="6"/>
  <c r="DB194" i="6"/>
  <c r="DA194" i="6"/>
  <c r="BD216" i="6"/>
  <c r="BF216" i="6"/>
  <c r="BE216" i="6"/>
  <c r="DB200" i="6"/>
  <c r="DA200" i="6"/>
  <c r="DB184" i="6"/>
  <c r="DA184" i="6"/>
  <c r="DB180" i="6"/>
  <c r="DA180" i="6"/>
  <c r="DB196" i="6"/>
  <c r="DA196" i="6"/>
  <c r="DB177" i="6"/>
  <c r="DA177" i="6"/>
  <c r="DA154" i="6"/>
  <c r="DB154" i="6"/>
  <c r="P177" i="6"/>
  <c r="DA156" i="6"/>
  <c r="DB156" i="6"/>
  <c r="DA155" i="6"/>
  <c r="DB155" i="6"/>
  <c r="DA169" i="6"/>
  <c r="DB169" i="6"/>
  <c r="DB132" i="6"/>
  <c r="DA132" i="6"/>
  <c r="DB144" i="6"/>
  <c r="DA144" i="6"/>
  <c r="P136" i="6"/>
  <c r="P135" i="6"/>
  <c r="DA167" i="6"/>
  <c r="DB167" i="6"/>
  <c r="DB130" i="6"/>
  <c r="DA130" i="6"/>
  <c r="DB129" i="6"/>
  <c r="DA129" i="6"/>
  <c r="DB124" i="6"/>
  <c r="DA124" i="6"/>
  <c r="DB115" i="6"/>
  <c r="DA115" i="6"/>
  <c r="DA112" i="6"/>
  <c r="DB112" i="6"/>
  <c r="DA99" i="6"/>
  <c r="DB99" i="6"/>
  <c r="P108" i="6"/>
  <c r="DB76" i="6"/>
  <c r="DA76" i="6"/>
  <c r="DA87" i="6"/>
  <c r="DB87" i="6"/>
  <c r="DA113" i="6"/>
  <c r="DB113" i="6"/>
  <c r="W214" i="6"/>
  <c r="X44" i="6"/>
  <c r="Y44" i="6"/>
  <c r="Z44" i="6"/>
  <c r="DB38" i="6"/>
  <c r="DA38" i="6"/>
  <c r="BN17" i="6"/>
  <c r="BM17" i="6"/>
  <c r="BN47" i="6"/>
  <c r="BM47" i="6"/>
  <c r="P220" i="6"/>
  <c r="P23" i="6"/>
  <c r="AA212" i="6"/>
  <c r="AB42" i="6"/>
  <c r="AA41" i="6"/>
  <c r="AB41" i="6" s="1"/>
  <c r="CS20" i="6"/>
  <c r="CT20" i="6"/>
  <c r="CF42" i="6"/>
  <c r="CE41" i="6"/>
  <c r="CF41" i="6" s="1"/>
  <c r="H61" i="6"/>
  <c r="AI212" i="6"/>
  <c r="AJ42" i="6"/>
  <c r="AI41" i="6"/>
  <c r="AJ41" i="6" s="1"/>
  <c r="BV14" i="6"/>
  <c r="BU14" i="6"/>
  <c r="AE218" i="6"/>
  <c r="E39" i="1"/>
  <c r="BE18" i="6"/>
  <c r="BF18" i="6"/>
  <c r="CW12" i="6"/>
  <c r="CX12" i="6" s="1"/>
  <c r="Q47" i="6"/>
  <c r="R47" i="6"/>
  <c r="F20" i="1"/>
  <c r="N269" i="2"/>
  <c r="O269" i="2" s="1"/>
  <c r="O248" i="2"/>
  <c r="P197" i="6"/>
  <c r="DA171" i="6"/>
  <c r="DB171" i="6"/>
  <c r="AM53" i="6"/>
  <c r="CY53" i="6" s="1"/>
  <c r="F2" i="2"/>
  <c r="P227" i="6"/>
  <c r="CQ218" i="6"/>
  <c r="M39" i="1"/>
  <c r="H220" i="6"/>
  <c r="P17" i="6"/>
  <c r="CK14" i="6"/>
  <c r="CL14" i="6"/>
  <c r="BC12" i="6"/>
  <c r="AP47" i="6"/>
  <c r="AO47" i="6"/>
  <c r="AN5" i="6"/>
  <c r="AX17" i="6"/>
  <c r="AW17" i="6"/>
  <c r="DA6" i="6"/>
  <c r="DB6" i="6"/>
  <c r="CS15" i="6"/>
  <c r="CT15" i="6"/>
  <c r="CT47" i="6"/>
  <c r="CS47" i="6"/>
  <c r="CR232" i="6"/>
  <c r="CR217" i="6"/>
  <c r="CR198" i="6"/>
  <c r="CR189" i="6"/>
  <c r="CR199" i="6"/>
  <c r="CR207" i="6"/>
  <c r="CR202" i="6"/>
  <c r="CR201" i="6"/>
  <c r="CR195" i="6"/>
  <c r="CR193" i="6"/>
  <c r="CR179" i="6"/>
  <c r="CR200" i="6"/>
  <c r="CR190" i="6"/>
  <c r="CR185" i="6"/>
  <c r="CR184" i="6"/>
  <c r="CR173" i="6"/>
  <c r="CR164" i="6"/>
  <c r="CR180" i="6"/>
  <c r="CR177" i="6"/>
  <c r="CR176" i="6"/>
  <c r="CR168" i="6"/>
  <c r="CR161" i="6"/>
  <c r="CR187" i="6"/>
  <c r="CR162" i="6"/>
  <c r="CR206" i="6"/>
  <c r="CR191" i="6"/>
  <c r="CR165" i="6"/>
  <c r="CR148" i="6"/>
  <c r="CR182" i="6"/>
  <c r="CR154" i="6"/>
  <c r="CR149" i="6"/>
  <c r="CR142" i="6"/>
  <c r="CR138" i="6"/>
  <c r="CR151" i="6"/>
  <c r="CR119" i="6"/>
  <c r="CR118" i="6"/>
  <c r="CR134" i="6"/>
  <c r="CR157" i="6"/>
  <c r="CR135" i="6"/>
  <c r="CR156" i="6"/>
  <c r="CR153" i="6"/>
  <c r="CR174" i="6"/>
  <c r="CR127" i="6"/>
  <c r="CR146" i="6"/>
  <c r="CR120" i="6"/>
  <c r="CR124" i="6"/>
  <c r="CR121" i="6"/>
  <c r="CR133" i="6"/>
  <c r="CR130" i="6"/>
  <c r="CR116" i="6"/>
  <c r="CR107" i="6"/>
  <c r="CR97" i="6"/>
  <c r="CR106" i="6"/>
  <c r="CR105" i="6"/>
  <c r="CR115" i="6"/>
  <c r="CR110" i="6"/>
  <c r="CR56" i="6"/>
  <c r="CR75" i="6"/>
  <c r="CR83" i="6"/>
  <c r="CR81" i="6"/>
  <c r="CR76" i="6"/>
  <c r="CR72" i="6"/>
  <c r="CR101" i="6"/>
  <c r="CR100" i="6"/>
  <c r="CR82" i="6"/>
  <c r="CR77" i="6"/>
  <c r="CR70" i="6"/>
  <c r="CR62" i="6"/>
  <c r="CR60" i="6"/>
  <c r="CR89" i="6"/>
  <c r="CR54" i="6"/>
  <c r="CR38" i="6"/>
  <c r="CR30" i="6"/>
  <c r="CQ45" i="6"/>
  <c r="CS4" i="6"/>
  <c r="CR57" i="6"/>
  <c r="CR86" i="6"/>
  <c r="CR67" i="6"/>
  <c r="CR58" i="6"/>
  <c r="CR31" i="6"/>
  <c r="CR39" i="6"/>
  <c r="CR27" i="6"/>
  <c r="CR23" i="6"/>
  <c r="CR33" i="6"/>
  <c r="CR26" i="6"/>
  <c r="CR25" i="6"/>
  <c r="CR35" i="6"/>
  <c r="CQ12" i="6"/>
  <c r="CT4" i="6"/>
  <c r="CB44" i="6"/>
  <c r="CD44" i="6"/>
  <c r="CC44" i="6"/>
  <c r="CD19" i="6"/>
  <c r="CC19" i="6"/>
  <c r="CS13" i="6"/>
  <c r="CT13" i="6"/>
  <c r="AH48" i="6"/>
  <c r="AG48" i="6"/>
  <c r="CD18" i="6"/>
  <c r="CC18" i="6"/>
  <c r="AX46" i="6"/>
  <c r="AW46" i="6"/>
  <c r="AH46" i="6"/>
  <c r="AG46" i="6"/>
  <c r="N178" i="3"/>
  <c r="O2" i="3"/>
  <c r="P93" i="6"/>
  <c r="L21" i="1"/>
  <c r="L14" i="1"/>
  <c r="DA93" i="6"/>
  <c r="N60" i="1"/>
  <c r="O60" i="1" s="1"/>
  <c r="O61" i="1"/>
  <c r="E280" i="2"/>
  <c r="E282" i="2"/>
  <c r="E283" i="2" s="1"/>
  <c r="G52" i="6"/>
  <c r="B178" i="2"/>
  <c r="B29" i="1" s="1"/>
  <c r="AO117" i="6"/>
  <c r="AN117" i="6"/>
  <c r="AP117" i="6"/>
  <c r="BT222" i="6"/>
  <c r="CR171" i="6"/>
  <c r="AH64" i="6"/>
  <c r="AG64" i="6"/>
  <c r="AF64" i="6"/>
  <c r="J222" i="6"/>
  <c r="CY222" i="6"/>
  <c r="I222" i="6"/>
  <c r="H222" i="6"/>
  <c r="BS218" i="6"/>
  <c r="J39" i="1"/>
  <c r="AF18" i="6"/>
  <c r="AE17" i="6"/>
  <c r="DA82" i="6"/>
  <c r="N52" i="6"/>
  <c r="M51" i="6"/>
  <c r="CW51" i="6" s="1"/>
  <c r="CX51" i="6" s="1"/>
  <c r="CL53" i="6"/>
  <c r="CK53" i="6"/>
  <c r="CJ53" i="6"/>
  <c r="DB67" i="6"/>
  <c r="DA67" i="6"/>
  <c r="W213" i="6"/>
  <c r="X43" i="6"/>
  <c r="Z43" i="6"/>
  <c r="Y43" i="6"/>
  <c r="DA40" i="6"/>
  <c r="DB40" i="6"/>
  <c r="P68" i="6"/>
  <c r="Y18" i="6"/>
  <c r="Z18" i="6"/>
  <c r="CC8" i="6"/>
  <c r="CD8" i="6"/>
  <c r="BM20" i="6"/>
  <c r="BN20" i="6"/>
  <c r="AW13" i="6"/>
  <c r="AX13" i="6"/>
  <c r="AH13" i="6"/>
  <c r="AG13" i="6"/>
  <c r="J225" i="6"/>
  <c r="I225" i="6"/>
  <c r="H225" i="6"/>
  <c r="CY225" i="6"/>
  <c r="H25" i="5"/>
  <c r="E14" i="1"/>
  <c r="DA199" i="6"/>
  <c r="DB199" i="6"/>
  <c r="DB201" i="6"/>
  <c r="DA201" i="6"/>
  <c r="DB164" i="6"/>
  <c r="DA164" i="6"/>
  <c r="DA193" i="6"/>
  <c r="DB193" i="6"/>
  <c r="DB185" i="6"/>
  <c r="DA185" i="6"/>
  <c r="DB149" i="6"/>
  <c r="DA149" i="6"/>
  <c r="DA146" i="6"/>
  <c r="DB146" i="6"/>
  <c r="DB139" i="6"/>
  <c r="DA139" i="6"/>
  <c r="P118" i="6"/>
  <c r="P123" i="6"/>
  <c r="DB110" i="6"/>
  <c r="DA110" i="6"/>
  <c r="DA105" i="6"/>
  <c r="P99" i="6"/>
  <c r="P88" i="6"/>
  <c r="DB118" i="6"/>
  <c r="DA118" i="6"/>
  <c r="P100" i="6"/>
  <c r="P114" i="6"/>
  <c r="P107" i="6"/>
  <c r="DA84" i="6"/>
  <c r="DB84" i="6"/>
  <c r="DB81" i="6"/>
  <c r="DA81" i="6"/>
  <c r="DA55" i="6"/>
  <c r="DB55" i="6"/>
  <c r="DB75" i="6"/>
  <c r="DA75" i="6"/>
  <c r="P33" i="6"/>
  <c r="DB70" i="6"/>
  <c r="DA70" i="6"/>
  <c r="AB51" i="6"/>
  <c r="AA49" i="6"/>
  <c r="AB49" i="6" s="1"/>
  <c r="DB28" i="6"/>
  <c r="DA28" i="6"/>
  <c r="DA197" i="6"/>
  <c r="DB197" i="6"/>
  <c r="K16" i="6"/>
  <c r="L16" i="6" s="1"/>
  <c r="K42" i="6"/>
  <c r="L21" i="6"/>
  <c r="P36" i="6"/>
  <c r="DB56" i="6"/>
  <c r="DA56" i="6"/>
  <c r="AK49" i="6"/>
  <c r="AL49" i="6" s="1"/>
  <c r="AL51" i="6"/>
  <c r="BX52" i="6"/>
  <c r="BN13" i="6"/>
  <c r="BM13" i="6"/>
  <c r="R46" i="6"/>
  <c r="Q46" i="6"/>
  <c r="D35" i="4"/>
  <c r="D32" i="4"/>
  <c r="E31" i="4"/>
  <c r="E35" i="4" s="1"/>
  <c r="DA29" i="6"/>
  <c r="DB29" i="6"/>
  <c r="M31" i="4"/>
  <c r="M35" i="4" s="1"/>
  <c r="L35" i="4"/>
  <c r="L32" i="4"/>
  <c r="S269" i="2"/>
  <c r="H19" i="1"/>
  <c r="N19" i="1" s="1"/>
  <c r="N14" i="1" s="1"/>
  <c r="P205" i="6"/>
  <c r="O52" i="6"/>
  <c r="C178" i="2"/>
  <c r="C29" i="1" s="1"/>
  <c r="C28" i="1" s="1"/>
  <c r="H223" i="6"/>
  <c r="G32" i="4"/>
  <c r="H31" i="4"/>
  <c r="CA52" i="6"/>
  <c r="K178" i="2"/>
  <c r="K29" i="1" s="1"/>
  <c r="K28" i="1" s="1"/>
  <c r="H227" i="6"/>
  <c r="E16" i="6"/>
  <c r="BC45" i="6"/>
  <c r="CS18" i="6"/>
  <c r="CT18" i="6"/>
  <c r="AP19" i="6"/>
  <c r="AO19" i="6"/>
  <c r="AO46" i="6"/>
  <c r="AP46" i="6"/>
  <c r="C280" i="2"/>
  <c r="C282" i="2"/>
  <c r="C283" i="2" s="1"/>
  <c r="CV8" i="6"/>
  <c r="H6" i="6"/>
  <c r="H42" i="6"/>
  <c r="J42" i="6"/>
  <c r="I42" i="6"/>
  <c r="G41" i="6"/>
  <c r="CT17" i="6"/>
  <c r="CS17" i="6"/>
  <c r="CD48" i="6"/>
  <c r="CC48" i="6"/>
  <c r="BN48" i="6"/>
  <c r="BM48" i="6"/>
  <c r="AU213" i="6"/>
  <c r="AV43" i="6"/>
  <c r="AW43" i="6"/>
  <c r="AX43" i="6"/>
  <c r="CB232" i="6"/>
  <c r="CB203" i="6"/>
  <c r="CB199" i="6"/>
  <c r="CB198" i="6"/>
  <c r="CB193" i="6"/>
  <c r="CB207" i="6"/>
  <c r="CB206" i="6"/>
  <c r="CB194" i="6"/>
  <c r="CB200" i="6"/>
  <c r="CB196" i="6"/>
  <c r="CB189" i="6"/>
  <c r="CB183" i="6"/>
  <c r="CB180" i="6"/>
  <c r="CB160" i="6"/>
  <c r="CB175" i="6"/>
  <c r="CB172" i="6"/>
  <c r="CB165" i="6"/>
  <c r="CB188" i="6"/>
  <c r="CB184" i="6"/>
  <c r="CB176" i="6"/>
  <c r="CB170" i="6"/>
  <c r="CB157" i="6"/>
  <c r="CB155" i="6"/>
  <c r="CB167" i="6"/>
  <c r="CB166" i="6"/>
  <c r="CB161" i="6"/>
  <c r="CB152" i="6"/>
  <c r="CB181" i="6"/>
  <c r="CB149" i="6"/>
  <c r="CB178" i="6"/>
  <c r="CB138" i="6"/>
  <c r="CB137" i="6"/>
  <c r="CB142" i="6"/>
  <c r="CB144" i="6"/>
  <c r="CB139" i="6"/>
  <c r="CB129" i="6"/>
  <c r="CB141" i="6"/>
  <c r="CB134" i="6"/>
  <c r="CB119" i="6"/>
  <c r="CB120" i="6"/>
  <c r="CB124" i="6"/>
  <c r="CB115" i="6"/>
  <c r="CB112" i="6"/>
  <c r="CB101" i="6"/>
  <c r="CB95" i="6"/>
  <c r="CB90" i="6"/>
  <c r="CB70" i="6"/>
  <c r="CB60" i="6"/>
  <c r="CB85" i="6"/>
  <c r="CB81" i="6"/>
  <c r="CB79" i="6"/>
  <c r="CB96" i="6"/>
  <c r="CB91" i="6"/>
  <c r="CB75" i="6"/>
  <c r="CB86" i="6"/>
  <c r="CB62" i="6"/>
  <c r="CB34" i="6"/>
  <c r="CB76" i="6"/>
  <c r="CB71" i="6"/>
  <c r="CB61" i="6"/>
  <c r="CB113" i="6"/>
  <c r="CB66" i="6"/>
  <c r="CB58" i="6"/>
  <c r="CB25" i="6"/>
  <c r="CB56" i="6"/>
  <c r="CB38" i="6"/>
  <c r="CB23" i="6"/>
  <c r="CB27" i="6"/>
  <c r="CA45" i="6"/>
  <c r="CB30" i="6"/>
  <c r="CB35" i="6"/>
  <c r="CB32" i="6"/>
  <c r="CB40" i="6"/>
  <c r="CB39" i="6"/>
  <c r="CD4" i="6"/>
  <c r="CB5" i="6"/>
  <c r="CC4" i="6"/>
  <c r="CA12" i="6"/>
  <c r="AX45" i="6"/>
  <c r="AW45" i="6"/>
  <c r="BT37" i="6"/>
  <c r="N278" i="2"/>
  <c r="O191" i="2"/>
  <c r="AN227" i="6"/>
  <c r="CL22" i="6"/>
  <c r="CJ22" i="6"/>
  <c r="CI21" i="6"/>
  <c r="CI16" i="6" s="1"/>
  <c r="CJ16" i="6" s="1"/>
  <c r="CK22" i="6"/>
  <c r="AU103" i="6"/>
  <c r="G178" i="2"/>
  <c r="G29" i="1" s="1"/>
  <c r="G28" i="1" s="1"/>
  <c r="H93" i="6"/>
  <c r="BT221" i="6"/>
  <c r="CR219" i="6"/>
  <c r="AG210" i="6"/>
  <c r="AF210" i="6"/>
  <c r="AH210" i="6"/>
  <c r="I53" i="6"/>
  <c r="H53" i="6"/>
  <c r="J53" i="6"/>
  <c r="AN121" i="6"/>
  <c r="AP121" i="6"/>
  <c r="AO121" i="6"/>
  <c r="AN197" i="6"/>
  <c r="AN224" i="6"/>
  <c r="P226" i="6"/>
  <c r="BU103" i="6"/>
  <c r="BT103" i="6"/>
  <c r="BS52" i="6"/>
  <c r="J178" i="2"/>
  <c r="J29" i="1" s="1"/>
  <c r="AN68" i="6"/>
  <c r="D46" i="4"/>
  <c r="D47" i="4" s="1"/>
  <c r="C70" i="1"/>
  <c r="N70" i="1" s="1"/>
  <c r="O70" i="1" s="1"/>
  <c r="DB165" i="6"/>
  <c r="DA165" i="6"/>
  <c r="DB141" i="6"/>
  <c r="DA141" i="6"/>
  <c r="DB140" i="6"/>
  <c r="DA140" i="6"/>
  <c r="BE14" i="6"/>
  <c r="BF14" i="6"/>
  <c r="DB9" i="6"/>
  <c r="DA9" i="6"/>
  <c r="AW21" i="6"/>
  <c r="AV21" i="6"/>
  <c r="AU16" i="6"/>
  <c r="AV16" i="6" s="1"/>
  <c r="AX21" i="6"/>
  <c r="CT104" i="6"/>
  <c r="CS104" i="6"/>
  <c r="CR104" i="6"/>
  <c r="DB121" i="6"/>
  <c r="DA121" i="6"/>
  <c r="DA106" i="6"/>
  <c r="AZ42" i="6"/>
  <c r="AY41" i="6"/>
  <c r="AZ41" i="6" s="1"/>
  <c r="D280" i="2"/>
  <c r="D282" i="2"/>
  <c r="D283" i="2" s="1"/>
  <c r="DB227" i="6"/>
  <c r="DA227" i="6"/>
  <c r="CD17" i="6"/>
  <c r="CC17" i="6"/>
  <c r="AH15" i="6"/>
  <c r="AG15" i="6"/>
  <c r="CY226" i="6"/>
  <c r="I226" i="6"/>
  <c r="J226" i="6"/>
  <c r="H226" i="6"/>
  <c r="P37" i="6"/>
  <c r="G218" i="6"/>
  <c r="N40" i="1"/>
  <c r="B39" i="1"/>
  <c r="DA217" i="6"/>
  <c r="DB217" i="6"/>
  <c r="DA198" i="6"/>
  <c r="DB198" i="6"/>
  <c r="P192" i="6"/>
  <c r="P201" i="6"/>
  <c r="P174" i="6"/>
  <c r="DB176" i="6"/>
  <c r="DA176" i="6"/>
  <c r="DA175" i="6"/>
  <c r="DB175" i="6"/>
  <c r="DB162" i="6"/>
  <c r="DA162" i="6"/>
  <c r="DB183" i="6"/>
  <c r="DA183" i="6"/>
  <c r="DA174" i="6"/>
  <c r="DB174" i="6"/>
  <c r="DB192" i="6"/>
  <c r="DA192" i="6"/>
  <c r="P158" i="6"/>
  <c r="DA163" i="6"/>
  <c r="DB163" i="6"/>
  <c r="DA151" i="6"/>
  <c r="DB151" i="6"/>
  <c r="DB145" i="6"/>
  <c r="DA145" i="6"/>
  <c r="DB143" i="6"/>
  <c r="DA143" i="6"/>
  <c r="DB128" i="6"/>
  <c r="DA128" i="6"/>
  <c r="DA170" i="6"/>
  <c r="DB170" i="6"/>
  <c r="P126" i="6"/>
  <c r="P121" i="6"/>
  <c r="DB123" i="6"/>
  <c r="DA123" i="6"/>
  <c r="P116" i="6"/>
  <c r="P109" i="6"/>
  <c r="DB85" i="6"/>
  <c r="DA85" i="6"/>
  <c r="BW104" i="6"/>
  <c r="BX105" i="6"/>
  <c r="CD105" i="6"/>
  <c r="P69" i="6"/>
  <c r="DB91" i="6"/>
  <c r="DA91" i="6"/>
  <c r="P97" i="6"/>
  <c r="DB86" i="6"/>
  <c r="DA86" i="6"/>
  <c r="P65" i="6"/>
  <c r="CL48" i="6"/>
  <c r="CK48" i="6"/>
  <c r="DB59" i="6"/>
  <c r="DA59" i="6"/>
  <c r="DB30" i="6"/>
  <c r="DA30" i="6"/>
  <c r="BZ103" i="6"/>
  <c r="BY51" i="6"/>
  <c r="BY212" i="6" s="1"/>
  <c r="DB10" i="6"/>
  <c r="DA10" i="6"/>
  <c r="H197" i="6"/>
  <c r="DA80" i="6"/>
  <c r="AN214" i="6"/>
  <c r="AP214" i="6"/>
  <c r="AO214" i="6"/>
  <c r="V51" i="6"/>
  <c r="U49" i="6"/>
  <c r="V49" i="6" s="1"/>
  <c r="CN42" i="6"/>
  <c r="CM41" i="6"/>
  <c r="CN41" i="6" s="1"/>
  <c r="CG42" i="6"/>
  <c r="CH21" i="6"/>
  <c r="DB26" i="6"/>
  <c r="DA26" i="6"/>
  <c r="DA23" i="6"/>
  <c r="DB23" i="6"/>
  <c r="DB25" i="6"/>
  <c r="DA25" i="6"/>
  <c r="H31" i="6"/>
  <c r="BM213" i="6"/>
  <c r="BL213" i="6"/>
  <c r="D16" i="6"/>
  <c r="AD212" i="6"/>
  <c r="AC211" i="6"/>
  <c r="D214" i="6"/>
  <c r="CU214" i="6"/>
  <c r="CV214" i="6" s="1"/>
  <c r="O214" i="6"/>
  <c r="P44" i="6"/>
  <c r="R44" i="6"/>
  <c r="Q44" i="6"/>
  <c r="F59" i="4"/>
  <c r="F15" i="4"/>
  <c r="F30" i="4" s="1"/>
  <c r="G20" i="1"/>
  <c r="P104" i="6"/>
  <c r="AH8" i="6"/>
  <c r="AG8" i="6"/>
  <c r="BT43" i="6"/>
  <c r="BV43" i="6"/>
  <c r="BU43" i="6"/>
  <c r="BF22" i="6"/>
  <c r="BD22" i="6"/>
  <c r="BC21" i="6"/>
  <c r="BE22" i="6"/>
  <c r="CY104" i="6"/>
  <c r="DA68" i="6"/>
  <c r="DB68" i="6"/>
  <c r="CJ216" i="6"/>
  <c r="CL216" i="6"/>
  <c r="CK216" i="6"/>
  <c r="AP55" i="6"/>
  <c r="AO55" i="6"/>
  <c r="AN55" i="6"/>
  <c r="AX8" i="6"/>
  <c r="AW8" i="6"/>
  <c r="CX223" i="6"/>
  <c r="CX228" i="6"/>
  <c r="CX222" i="6"/>
  <c r="CX209" i="6"/>
  <c r="CX207" i="6"/>
  <c r="CX200" i="6"/>
  <c r="CX206" i="6"/>
  <c r="CX196" i="6"/>
  <c r="CX191" i="6"/>
  <c r="CX210" i="6"/>
  <c r="CX202" i="6"/>
  <c r="CX201" i="6"/>
  <c r="CX219" i="6"/>
  <c r="CX208" i="6"/>
  <c r="CX181" i="6"/>
  <c r="CX192" i="6"/>
  <c r="CX187" i="6"/>
  <c r="CX186" i="6"/>
  <c r="CX178" i="6"/>
  <c r="CX184" i="6"/>
  <c r="CX174" i="6"/>
  <c r="CX173" i="6"/>
  <c r="CX163" i="6"/>
  <c r="CX205" i="6"/>
  <c r="CX182" i="6"/>
  <c r="CX167" i="6"/>
  <c r="CX164" i="6"/>
  <c r="CX159" i="6"/>
  <c r="CX158" i="6"/>
  <c r="CX155" i="6"/>
  <c r="CX150" i="6"/>
  <c r="CX179" i="6"/>
  <c r="CX136" i="6"/>
  <c r="CX152" i="6"/>
  <c r="CX135" i="6"/>
  <c r="CX146" i="6"/>
  <c r="CX140" i="6"/>
  <c r="CX143" i="6"/>
  <c r="CX132" i="6"/>
  <c r="CX121" i="6"/>
  <c r="CX137" i="6"/>
  <c r="CX138" i="6"/>
  <c r="CX147" i="6"/>
  <c r="CX142" i="6"/>
  <c r="CX129" i="6"/>
  <c r="CX124" i="6"/>
  <c r="CX130" i="6"/>
  <c r="CX127" i="6"/>
  <c r="CX126" i="6"/>
  <c r="CX144" i="6"/>
  <c r="CX113" i="6"/>
  <c r="CX117" i="6"/>
  <c r="CX114" i="6"/>
  <c r="CX110" i="6"/>
  <c r="CX109" i="6"/>
  <c r="CX99" i="6"/>
  <c r="CX108" i="6"/>
  <c r="CX123" i="6"/>
  <c r="CX112" i="6"/>
  <c r="CX102" i="6"/>
  <c r="CX58" i="6"/>
  <c r="CX95" i="6"/>
  <c r="CX89" i="6"/>
  <c r="CX91" i="6"/>
  <c r="CX79" i="6"/>
  <c r="CX56" i="6"/>
  <c r="CX66" i="6"/>
  <c r="CX72" i="6"/>
  <c r="CX59" i="6"/>
  <c r="CX32" i="6"/>
  <c r="CX69" i="6"/>
  <c r="CX94" i="6"/>
  <c r="CX88" i="6"/>
  <c r="CX60" i="6"/>
  <c r="CX54" i="6"/>
  <c r="CX30" i="6"/>
  <c r="CX27" i="6"/>
  <c r="CX24" i="6"/>
  <c r="CX55" i="6"/>
  <c r="CX23" i="6"/>
  <c r="CX4" i="6"/>
  <c r="CX83" i="6"/>
  <c r="CX77" i="6"/>
  <c r="CX33" i="6"/>
  <c r="CX25" i="6"/>
  <c r="CX28" i="6"/>
  <c r="CX64" i="6"/>
  <c r="CX36" i="6"/>
  <c r="CX35" i="6"/>
  <c r="CX20" i="6"/>
  <c r="CX62" i="6"/>
  <c r="CX11" i="6"/>
  <c r="CX10" i="6"/>
  <c r="CX19" i="6"/>
  <c r="AP18" i="6"/>
  <c r="AO18" i="6"/>
  <c r="CV219" i="6"/>
  <c r="CV221" i="6"/>
  <c r="CV203" i="6"/>
  <c r="CV225" i="6"/>
  <c r="CV193" i="6"/>
  <c r="CV195" i="6"/>
  <c r="CV196" i="6"/>
  <c r="CV198" i="6"/>
  <c r="CV194" i="6"/>
  <c r="CV183" i="6"/>
  <c r="CV188" i="6"/>
  <c r="CV180" i="6"/>
  <c r="CV176" i="6"/>
  <c r="CV168" i="6"/>
  <c r="CV167" i="6"/>
  <c r="CV160" i="6"/>
  <c r="CV184" i="6"/>
  <c r="CV187" i="6"/>
  <c r="CV165" i="6"/>
  <c r="CV175" i="6"/>
  <c r="CV162" i="6"/>
  <c r="CV161" i="6"/>
  <c r="CV142" i="6"/>
  <c r="CV157" i="6"/>
  <c r="CV181" i="6"/>
  <c r="CV172" i="6"/>
  <c r="CV178" i="6"/>
  <c r="CV138" i="6"/>
  <c r="CV147" i="6"/>
  <c r="CV144" i="6"/>
  <c r="CV137" i="6"/>
  <c r="CV149" i="6"/>
  <c r="CV152" i="6"/>
  <c r="CV146" i="6"/>
  <c r="CV114" i="6"/>
  <c r="CV170" i="6"/>
  <c r="CV139" i="6"/>
  <c r="CV173" i="6"/>
  <c r="CV134" i="6"/>
  <c r="CV129" i="6"/>
  <c r="CV131" i="6"/>
  <c r="CV124" i="6"/>
  <c r="CV115" i="6"/>
  <c r="CV125" i="6"/>
  <c r="CV91" i="6"/>
  <c r="CV101" i="6"/>
  <c r="CV90" i="6"/>
  <c r="CV120" i="6"/>
  <c r="CV110" i="6"/>
  <c r="CV83" i="6"/>
  <c r="CV70" i="6"/>
  <c r="CV60" i="6"/>
  <c r="CV96" i="6"/>
  <c r="CV112" i="6"/>
  <c r="CV85" i="6"/>
  <c r="CV74" i="6"/>
  <c r="CV97" i="6"/>
  <c r="CV81" i="6"/>
  <c r="CV76" i="6"/>
  <c r="CV56" i="6"/>
  <c r="CV34" i="6"/>
  <c r="CV71" i="6"/>
  <c r="CV66" i="6"/>
  <c r="CV79" i="6"/>
  <c r="CV62" i="6"/>
  <c r="CV61" i="6"/>
  <c r="CV107" i="6"/>
  <c r="CV35" i="6"/>
  <c r="CV28" i="6"/>
  <c r="CV25" i="6"/>
  <c r="CV27" i="6"/>
  <c r="CV58" i="6"/>
  <c r="CV32" i="6"/>
  <c r="CV18" i="6"/>
  <c r="CV19" i="6"/>
  <c r="CV7" i="6"/>
  <c r="CV17" i="6"/>
  <c r="CV4" i="6"/>
  <c r="CV9" i="6"/>
  <c r="CV11" i="6"/>
  <c r="CV20" i="6"/>
  <c r="G213" i="6"/>
  <c r="H43" i="6"/>
  <c r="CY43" i="6"/>
  <c r="J43" i="6"/>
  <c r="I43" i="6"/>
  <c r="B280" i="2"/>
  <c r="B282" i="2"/>
  <c r="B283" i="2" s="1"/>
  <c r="AG21" i="6"/>
  <c r="AF21" i="6"/>
  <c r="AH21" i="6"/>
  <c r="CT14" i="6"/>
  <c r="CS14" i="6"/>
  <c r="CT48" i="6"/>
  <c r="CS48" i="6"/>
  <c r="CT46" i="6"/>
  <c r="CS46" i="6"/>
  <c r="BN15" i="6"/>
  <c r="BM15" i="6"/>
  <c r="AU42" i="6"/>
  <c r="I21" i="6"/>
  <c r="H21" i="6"/>
  <c r="J21" i="6"/>
  <c r="N33" i="4"/>
  <c r="N42" i="4"/>
  <c r="P229" i="6"/>
  <c r="BT226" i="6"/>
  <c r="D14" i="1"/>
  <c r="D21" i="1"/>
  <c r="AX111" i="6"/>
  <c r="AW111" i="6"/>
  <c r="AV111" i="6"/>
  <c r="K14" i="1"/>
  <c r="AH103" i="6"/>
  <c r="AG103" i="6"/>
  <c r="AF103" i="6"/>
  <c r="N246" i="2"/>
  <c r="O246" i="2" s="1"/>
  <c r="O67" i="2"/>
  <c r="H178" i="3"/>
  <c r="H117" i="6"/>
  <c r="M280" i="2"/>
  <c r="M282" i="2"/>
  <c r="M283" i="2" s="1"/>
  <c r="AN220" i="6"/>
  <c r="BU117" i="6"/>
  <c r="BT117" i="6"/>
  <c r="BV117" i="6"/>
  <c r="M33" i="4"/>
  <c r="M42" i="4"/>
  <c r="BT53" i="6"/>
  <c r="BV53" i="6"/>
  <c r="BU53" i="6"/>
  <c r="BF218" i="6"/>
  <c r="BE218" i="6"/>
  <c r="BD218" i="6"/>
  <c r="N57" i="1"/>
  <c r="O57" i="1" s="1"/>
  <c r="O58" i="1"/>
  <c r="O23" i="1"/>
  <c r="K42" i="4"/>
  <c r="K33" i="4"/>
  <c r="Z210" i="6"/>
  <c r="Y210" i="6"/>
  <c r="X210" i="6"/>
  <c r="DB36" i="6"/>
  <c r="DA36" i="6"/>
  <c r="BQ211" i="6"/>
  <c r="BR212" i="6"/>
  <c r="D213" i="6"/>
  <c r="CU213" i="6"/>
  <c r="CV213" i="6" s="1"/>
  <c r="DA122" i="6"/>
  <c r="DB122" i="6"/>
  <c r="H44" i="6"/>
  <c r="I44" i="6"/>
  <c r="J44" i="6"/>
  <c r="CY44" i="6"/>
  <c r="CD20" i="6"/>
  <c r="CC20" i="6"/>
  <c r="AE214" i="6"/>
  <c r="AF44" i="6"/>
  <c r="AH44" i="6"/>
  <c r="AG44" i="6"/>
  <c r="F280" i="2"/>
  <c r="F282" i="2"/>
  <c r="F283" i="2" s="1"/>
  <c r="DA152" i="6"/>
  <c r="DB152" i="6"/>
  <c r="DB101" i="6"/>
  <c r="DA101" i="6"/>
  <c r="DB54" i="6"/>
  <c r="DA54" i="6"/>
  <c r="D52" i="6"/>
  <c r="CU52" i="6"/>
  <c r="CV52" i="6" s="1"/>
  <c r="C51" i="6"/>
  <c r="BN14" i="6"/>
  <c r="BM14" i="6"/>
  <c r="P232" i="6"/>
  <c r="P203" i="6"/>
  <c r="P193" i="6"/>
  <c r="P195" i="6"/>
  <c r="P194" i="6"/>
  <c r="P207" i="6"/>
  <c r="P200" i="6"/>
  <c r="P199" i="6"/>
  <c r="P183" i="6"/>
  <c r="P191" i="6"/>
  <c r="P198" i="6"/>
  <c r="P180" i="6"/>
  <c r="P168" i="6"/>
  <c r="P186" i="6"/>
  <c r="P181" i="6"/>
  <c r="P167" i="6"/>
  <c r="P165" i="6"/>
  <c r="P161" i="6"/>
  <c r="P149" i="6"/>
  <c r="P144" i="6"/>
  <c r="P178" i="6"/>
  <c r="P176" i="6"/>
  <c r="P170" i="6"/>
  <c r="P173" i="6"/>
  <c r="P160" i="6"/>
  <c r="P184" i="6"/>
  <c r="P138" i="6"/>
  <c r="P155" i="6"/>
  <c r="P153" i="6"/>
  <c r="P147" i="6"/>
  <c r="P137" i="6"/>
  <c r="P152" i="6"/>
  <c r="P166" i="6"/>
  <c r="P157" i="6"/>
  <c r="P154" i="6"/>
  <c r="P175" i="6"/>
  <c r="P129" i="6"/>
  <c r="P150" i="6"/>
  <c r="P145" i="6"/>
  <c r="P146" i="6"/>
  <c r="P140" i="6"/>
  <c r="P141" i="6"/>
  <c r="P139" i="6"/>
  <c r="P125" i="6"/>
  <c r="P130" i="6"/>
  <c r="P132" i="6"/>
  <c r="P120" i="6"/>
  <c r="P119" i="6"/>
  <c r="P134" i="6"/>
  <c r="P124" i="6"/>
  <c r="P101" i="6"/>
  <c r="P110" i="6"/>
  <c r="P75" i="6"/>
  <c r="P70" i="6"/>
  <c r="P60" i="6"/>
  <c r="P91" i="6"/>
  <c r="P90" i="6"/>
  <c r="P79" i="6"/>
  <c r="P106" i="6"/>
  <c r="P95" i="6"/>
  <c r="P82" i="6"/>
  <c r="P85" i="6"/>
  <c r="P96" i="6"/>
  <c r="P81" i="6"/>
  <c r="P62" i="6"/>
  <c r="P87" i="6"/>
  <c r="P34" i="6"/>
  <c r="P74" i="6"/>
  <c r="P61" i="6"/>
  <c r="P115" i="6"/>
  <c r="P71" i="6"/>
  <c r="O45" i="6"/>
  <c r="P77" i="6"/>
  <c r="P26" i="6"/>
  <c r="P35" i="6"/>
  <c r="P32" i="6"/>
  <c r="P25" i="6"/>
  <c r="P56" i="6"/>
  <c r="P76" i="6"/>
  <c r="P66" i="6"/>
  <c r="P39" i="6"/>
  <c r="P58" i="6"/>
  <c r="P31" i="6"/>
  <c r="P27" i="6"/>
  <c r="P40" i="6"/>
  <c r="P30" i="6"/>
  <c r="P28" i="6"/>
  <c r="P38" i="6"/>
  <c r="P6" i="6"/>
  <c r="O12" i="6"/>
  <c r="R4" i="6"/>
  <c r="Q4" i="6"/>
  <c r="P7" i="6"/>
  <c r="P5" i="6"/>
  <c r="BL42" i="6"/>
  <c r="BN42" i="6"/>
  <c r="BK41" i="6"/>
  <c r="BM42" i="6"/>
  <c r="C33" i="4"/>
  <c r="C42" i="4"/>
  <c r="DB203" i="6"/>
  <c r="DA203" i="6"/>
  <c r="DB179" i="6"/>
  <c r="DA179" i="6"/>
  <c r="DB187" i="6"/>
  <c r="DA187" i="6"/>
  <c r="P202" i="6"/>
  <c r="DB195" i="6"/>
  <c r="DA195" i="6"/>
  <c r="DB173" i="6"/>
  <c r="DA173" i="6"/>
  <c r="DB157" i="6"/>
  <c r="DA157" i="6"/>
  <c r="DB153" i="6"/>
  <c r="DA153" i="6"/>
  <c r="P162" i="6"/>
  <c r="DB150" i="6"/>
  <c r="DA150" i="6"/>
  <c r="P142" i="6"/>
  <c r="DA148" i="6"/>
  <c r="DB148" i="6"/>
  <c r="DB135" i="6"/>
  <c r="DA135" i="6"/>
  <c r="DB134" i="6"/>
  <c r="DA134" i="6"/>
  <c r="DB138" i="6"/>
  <c r="DA138" i="6"/>
  <c r="DB127" i="6"/>
  <c r="DA127" i="6"/>
  <c r="P112" i="6"/>
  <c r="DB92" i="6"/>
  <c r="DA92" i="6"/>
  <c r="P86" i="6"/>
  <c r="BP111" i="6"/>
  <c r="BO106" i="6"/>
  <c r="P84" i="6"/>
  <c r="DA108" i="6"/>
  <c r="DB108" i="6"/>
  <c r="DB90" i="6"/>
  <c r="DA90" i="6"/>
  <c r="DB72" i="6"/>
  <c r="DA72" i="6"/>
  <c r="DB78" i="6"/>
  <c r="DA78" i="6"/>
  <c r="P98" i="6"/>
  <c r="DB71" i="6"/>
  <c r="DA71" i="6"/>
  <c r="DA60" i="6"/>
  <c r="DB60" i="6"/>
  <c r="DB33" i="6"/>
  <c r="DA33" i="6"/>
  <c r="BI49" i="6"/>
  <c r="BJ49" i="6" s="1"/>
  <c r="BJ51" i="6"/>
  <c r="CO49" i="6"/>
  <c r="CP49" i="6" s="1"/>
  <c r="CP51" i="6"/>
  <c r="CJ17" i="6"/>
  <c r="CL15" i="6"/>
  <c r="CK15" i="6"/>
  <c r="P228" i="6"/>
  <c r="P73" i="6"/>
  <c r="CW52" i="6"/>
  <c r="CX52" i="6" s="1"/>
  <c r="BW16" i="6"/>
  <c r="BX16" i="6" s="1"/>
  <c r="BW42" i="6"/>
  <c r="BX21" i="6"/>
  <c r="H26" i="6"/>
  <c r="DB35" i="6"/>
  <c r="DA35" i="6"/>
  <c r="F51" i="6"/>
  <c r="E49" i="6"/>
  <c r="H27" i="6"/>
  <c r="CU21" i="6"/>
  <c r="CV21" i="6" s="1"/>
  <c r="BV18" i="6"/>
  <c r="BU18" i="6"/>
  <c r="AH12" i="6"/>
  <c r="AG12" i="6"/>
  <c r="R48" i="6"/>
  <c r="Q48" i="6"/>
  <c r="H29" i="6"/>
  <c r="AV216" i="6"/>
  <c r="AX216" i="6"/>
  <c r="AW216" i="6"/>
  <c r="AW15" i="6"/>
  <c r="AX15" i="6"/>
  <c r="BU47" i="6"/>
  <c r="BV47" i="6"/>
  <c r="H104" i="6"/>
  <c r="DB205" i="6"/>
  <c r="DA205" i="6"/>
  <c r="H111" i="6"/>
  <c r="J19" i="6"/>
  <c r="I19" i="6"/>
  <c r="CD15" i="6"/>
  <c r="CC15" i="6"/>
  <c r="BS42" i="6"/>
  <c r="AN17" i="6"/>
  <c r="AM16" i="6"/>
  <c r="AN16" i="6" s="1"/>
  <c r="AX14" i="6"/>
  <c r="AW14" i="6"/>
  <c r="Y14" i="6"/>
  <c r="Z14" i="6"/>
  <c r="AN37" i="6"/>
  <c r="N53" i="2"/>
  <c r="O54" i="2"/>
  <c r="I47" i="6"/>
  <c r="J47" i="6"/>
  <c r="CY47" i="6"/>
  <c r="AN29" i="6"/>
  <c r="P117" i="6"/>
  <c r="CR80" i="6"/>
  <c r="AX19" i="6"/>
  <c r="AW19" i="6"/>
  <c r="AX48" i="6"/>
  <c r="AW48" i="6"/>
  <c r="CA213" i="6"/>
  <c r="CB43" i="6"/>
  <c r="CC43" i="6"/>
  <c r="CD43" i="6"/>
  <c r="CB42" i="6"/>
  <c r="CC42" i="6"/>
  <c r="CA41" i="6"/>
  <c r="P29" i="6"/>
  <c r="CY22" i="6"/>
  <c r="CR122" i="6"/>
  <c r="N3" i="2"/>
  <c r="Z22" i="6"/>
  <c r="X22" i="6"/>
  <c r="W21" i="6"/>
  <c r="Y22" i="6"/>
  <c r="BT229" i="6"/>
  <c r="CR227" i="6"/>
  <c r="N280" i="2"/>
  <c r="C14" i="1"/>
  <c r="C21" i="1"/>
  <c r="F53" i="2"/>
  <c r="AM103" i="6" s="1"/>
  <c r="CY219" i="6"/>
  <c r="AH104" i="6"/>
  <c r="AG104" i="6"/>
  <c r="AF104" i="6"/>
  <c r="AN122" i="6"/>
  <c r="CB103" i="6"/>
  <c r="CB225" i="6"/>
  <c r="CB219" i="6"/>
  <c r="C34" i="1"/>
  <c r="J228" i="6"/>
  <c r="CY228" i="6"/>
  <c r="I228" i="6"/>
  <c r="H228" i="6"/>
  <c r="CX18" i="6"/>
  <c r="CR226" i="6"/>
  <c r="CX15" i="6"/>
  <c r="DB202" i="6"/>
  <c r="DA202" i="6"/>
  <c r="CL113" i="6"/>
  <c r="CE111" i="6"/>
  <c r="CF113" i="6"/>
  <c r="CY46" i="6"/>
  <c r="J46" i="6"/>
  <c r="I46" i="6"/>
  <c r="BO41" i="6"/>
  <c r="BP41" i="6" s="1"/>
  <c r="BP42" i="6"/>
  <c r="BM8" i="6"/>
  <c r="BN8" i="6"/>
  <c r="DB13" i="6"/>
  <c r="DA13" i="6"/>
  <c r="CD13" i="6"/>
  <c r="CC13" i="6"/>
  <c r="BN46" i="6"/>
  <c r="BM46" i="6"/>
  <c r="J221" i="6"/>
  <c r="CY221" i="6"/>
  <c r="I221" i="6"/>
  <c r="H221" i="6"/>
  <c r="BM53" i="6"/>
  <c r="BN53" i="6"/>
  <c r="BL53" i="6"/>
  <c r="DB168" i="6"/>
  <c r="DA168" i="6"/>
  <c r="DB160" i="6"/>
  <c r="DA160" i="6"/>
  <c r="AQ16" i="6"/>
  <c r="AR16" i="6" s="1"/>
  <c r="AQ42" i="6"/>
  <c r="AR21" i="6"/>
  <c r="BZ42" i="6"/>
  <c r="BY41" i="6"/>
  <c r="BZ41" i="6" s="1"/>
  <c r="Q8" i="6"/>
  <c r="R8" i="6"/>
  <c r="P216" i="6"/>
  <c r="R216" i="6"/>
  <c r="Q216" i="6"/>
  <c r="DA224" i="6"/>
  <c r="DB224" i="6"/>
  <c r="P53" i="6"/>
  <c r="BE13" i="6"/>
  <c r="BF13" i="6"/>
  <c r="AN42" i="6"/>
  <c r="AO42" i="6"/>
  <c r="AM41" i="6"/>
  <c r="AP42" i="6"/>
  <c r="DA20" i="6"/>
  <c r="DB20" i="6"/>
  <c r="DB189" i="6"/>
  <c r="DA189" i="6"/>
  <c r="P179" i="6"/>
  <c r="P217" i="6"/>
  <c r="DB206" i="6"/>
  <c r="DA206" i="6"/>
  <c r="DB191" i="6"/>
  <c r="DA191" i="6"/>
  <c r="DB182" i="6"/>
  <c r="DA182" i="6"/>
  <c r="P172" i="6"/>
  <c r="P156" i="6"/>
  <c r="DA159" i="6"/>
  <c r="DB159" i="6"/>
  <c r="DA131" i="6"/>
  <c r="DB131" i="6"/>
  <c r="DB125" i="6"/>
  <c r="DA125" i="6"/>
  <c r="DA126" i="6"/>
  <c r="DB126" i="6"/>
  <c r="P133" i="6"/>
  <c r="DB133" i="6"/>
  <c r="DA133" i="6"/>
  <c r="DB120" i="6"/>
  <c r="DA120" i="6"/>
  <c r="DA114" i="6"/>
  <c r="DB114" i="6"/>
  <c r="P105" i="6"/>
  <c r="DA66" i="6"/>
  <c r="DB66" i="6"/>
  <c r="BH95" i="6"/>
  <c r="BG93" i="6"/>
  <c r="BN95" i="6"/>
  <c r="DB100" i="6"/>
  <c r="DA100" i="6"/>
  <c r="P89" i="6"/>
  <c r="DB107" i="6"/>
  <c r="DA107" i="6"/>
  <c r="P59" i="6"/>
  <c r="DA58" i="6"/>
  <c r="DB58" i="6"/>
  <c r="P55" i="6"/>
  <c r="DA63" i="6"/>
  <c r="DB63" i="6"/>
  <c r="DA11" i="6"/>
  <c r="DB11" i="6"/>
  <c r="DB34" i="6"/>
  <c r="DA34" i="6"/>
  <c r="BV20" i="6"/>
  <c r="BU20" i="6"/>
  <c r="H232" i="6"/>
  <c r="H207" i="6"/>
  <c r="H191" i="6"/>
  <c r="H193" i="6"/>
  <c r="H192" i="6"/>
  <c r="H203" i="6"/>
  <c r="H202" i="6"/>
  <c r="H201" i="6"/>
  <c r="H206" i="6"/>
  <c r="H194" i="6"/>
  <c r="H181" i="6"/>
  <c r="H189" i="6"/>
  <c r="H187" i="6"/>
  <c r="H186" i="6"/>
  <c r="H184" i="6"/>
  <c r="H166" i="6"/>
  <c r="H178" i="6"/>
  <c r="H163" i="6"/>
  <c r="H173" i="6"/>
  <c r="H182" i="6"/>
  <c r="H183" i="6"/>
  <c r="H158" i="6"/>
  <c r="H164" i="6"/>
  <c r="H179" i="6"/>
  <c r="H156" i="6"/>
  <c r="H142" i="6"/>
  <c r="H136" i="6"/>
  <c r="H135" i="6"/>
  <c r="H150" i="6"/>
  <c r="H153" i="6"/>
  <c r="H155" i="6"/>
  <c r="H151" i="6"/>
  <c r="H147" i="6"/>
  <c r="H140" i="6"/>
  <c r="H121" i="6"/>
  <c r="H144" i="6"/>
  <c r="H137" i="6"/>
  <c r="H128" i="6"/>
  <c r="H127" i="6"/>
  <c r="H124" i="6"/>
  <c r="H132" i="6"/>
  <c r="H130" i="6"/>
  <c r="H112" i="6"/>
  <c r="H114" i="6"/>
  <c r="H109" i="6"/>
  <c r="H99" i="6"/>
  <c r="H115" i="6"/>
  <c r="H108" i="6"/>
  <c r="H113" i="6"/>
  <c r="H84" i="6"/>
  <c r="H78" i="6"/>
  <c r="H58" i="6"/>
  <c r="H126" i="6"/>
  <c r="H123" i="6"/>
  <c r="H83" i="6"/>
  <c r="H81" i="6"/>
  <c r="H74" i="6"/>
  <c r="H88" i="6"/>
  <c r="H102" i="6"/>
  <c r="H91" i="6"/>
  <c r="H69" i="6"/>
  <c r="H92" i="6"/>
  <c r="H85" i="6"/>
  <c r="H79" i="6"/>
  <c r="H66" i="6"/>
  <c r="H32" i="6"/>
  <c r="H77" i="6"/>
  <c r="G45" i="6"/>
  <c r="H72" i="6"/>
  <c r="H82" i="6"/>
  <c r="H35" i="6"/>
  <c r="H60" i="6"/>
  <c r="H59" i="6"/>
  <c r="H28" i="6"/>
  <c r="H24" i="6"/>
  <c r="H62" i="6"/>
  <c r="H55" i="6"/>
  <c r="H54" i="6"/>
  <c r="H23" i="6"/>
  <c r="J4" i="6"/>
  <c r="H25" i="6"/>
  <c r="H33" i="6"/>
  <c r="G12" i="6"/>
  <c r="CY4" i="6"/>
  <c r="CZ186" i="6" s="1"/>
  <c r="I4" i="6"/>
  <c r="P224" i="6"/>
  <c r="DB102" i="6"/>
  <c r="DA102" i="6"/>
  <c r="BH42" i="6"/>
  <c r="BG41" i="6"/>
  <c r="BH41" i="6" s="1"/>
  <c r="K51" i="6"/>
  <c r="L52" i="6"/>
  <c r="DB27" i="6"/>
  <c r="DA27" i="6"/>
  <c r="D41" i="6"/>
  <c r="DA31" i="6"/>
  <c r="DB31" i="6"/>
  <c r="CO42" i="6"/>
  <c r="CP21" i="6"/>
  <c r="CO16" i="6"/>
  <c r="CP16" i="6" s="1"/>
  <c r="R18" i="6"/>
  <c r="Q18" i="6"/>
  <c r="L280" i="2"/>
  <c r="L282" i="2"/>
  <c r="L283" i="2" s="1"/>
  <c r="AK212" i="6"/>
  <c r="AL42" i="6"/>
  <c r="AK41" i="6"/>
  <c r="AL41" i="6" s="1"/>
  <c r="P111" i="6"/>
  <c r="DB223" i="6"/>
  <c r="DA223" i="6"/>
  <c r="H205" i="6"/>
  <c r="CI52" i="6"/>
  <c r="L178" i="2"/>
  <c r="L29" i="1" s="1"/>
  <c r="L28" i="1" s="1"/>
  <c r="P221" i="6"/>
  <c r="AU12" i="6"/>
  <c r="CK8" i="6"/>
  <c r="CL8" i="6"/>
  <c r="CI45" i="6"/>
  <c r="Y12" i="6"/>
  <c r="Z12" i="6"/>
  <c r="AP13" i="6"/>
  <c r="AO13" i="6"/>
  <c r="CY15" i="6"/>
  <c r="Z103" i="6"/>
  <c r="Y103" i="6"/>
  <c r="X103" i="6"/>
  <c r="AG19" i="6"/>
  <c r="AH19" i="6"/>
  <c r="CV10" i="6"/>
  <c r="CV64" i="6"/>
  <c r="AV44" i="6"/>
  <c r="AX44" i="6"/>
  <c r="AW44" i="6"/>
  <c r="CD47" i="6"/>
  <c r="CC47" i="6"/>
  <c r="U212" i="6"/>
  <c r="V42" i="6"/>
  <c r="U41" i="6"/>
  <c r="V41" i="6" s="1"/>
  <c r="CY14" i="6"/>
  <c r="BK214" i="6"/>
  <c r="BL44" i="6"/>
  <c r="BN44" i="6"/>
  <c r="BM44" i="6"/>
  <c r="AX47" i="6"/>
  <c r="AW47" i="6"/>
  <c r="CD46" i="6"/>
  <c r="CC46" i="6"/>
  <c r="AE42" i="6"/>
  <c r="DA37" i="6"/>
  <c r="DB37" i="6"/>
  <c r="H22" i="6"/>
  <c r="AN216" i="6"/>
  <c r="AP216" i="6"/>
  <c r="AO216" i="6"/>
  <c r="K20" i="1"/>
  <c r="AN80" i="6"/>
  <c r="R22" i="6"/>
  <c r="P22" i="6"/>
  <c r="O21" i="6"/>
  <c r="Q22" i="6"/>
  <c r="AP111" i="6"/>
  <c r="AO111" i="6"/>
  <c r="AN111" i="6"/>
  <c r="H219" i="6"/>
  <c r="N10" i="1"/>
  <c r="CS103" i="6"/>
  <c r="CR103" i="6"/>
  <c r="CC21" i="6"/>
  <c r="CB21" i="6"/>
  <c r="CA16" i="6"/>
  <c r="CB16" i="6" s="1"/>
  <c r="CD21" i="6"/>
  <c r="CC103" i="6"/>
  <c r="P103" i="6"/>
  <c r="BT225" i="6"/>
  <c r="CX13" i="6"/>
  <c r="BK52" i="6"/>
  <c r="I178" i="2"/>
  <c r="I29" i="1" s="1"/>
  <c r="CX14" i="6"/>
  <c r="J42" i="4"/>
  <c r="J33" i="4"/>
  <c r="CD208" i="6"/>
  <c r="CC208" i="6"/>
  <c r="CB208" i="6"/>
  <c r="CZ11" i="6" l="1"/>
  <c r="CZ37" i="6"/>
  <c r="CZ223" i="6"/>
  <c r="CZ31" i="6"/>
  <c r="CZ27" i="6"/>
  <c r="CZ102" i="6"/>
  <c r="CZ125" i="6"/>
  <c r="CZ160" i="6"/>
  <c r="CZ127" i="6"/>
  <c r="CZ34" i="6"/>
  <c r="CZ120" i="6"/>
  <c r="CZ182" i="6"/>
  <c r="CZ191" i="6"/>
  <c r="CZ189" i="6"/>
  <c r="CZ20" i="6"/>
  <c r="CZ60" i="6"/>
  <c r="CZ72" i="6"/>
  <c r="CZ135" i="6"/>
  <c r="CZ195" i="6"/>
  <c r="CZ124" i="6"/>
  <c r="CZ89" i="6"/>
  <c r="CZ119" i="6"/>
  <c r="BM218" i="6"/>
  <c r="BS213" i="6"/>
  <c r="DB64" i="6"/>
  <c r="Z216" i="6"/>
  <c r="BN218" i="6"/>
  <c r="N282" i="2"/>
  <c r="N283" i="2" s="1"/>
  <c r="DA117" i="6"/>
  <c r="Y216" i="6"/>
  <c r="BK216" i="6"/>
  <c r="BN216" i="6" s="1"/>
  <c r="K33" i="1"/>
  <c r="BU208" i="6"/>
  <c r="BV208" i="6"/>
  <c r="CQ16" i="6"/>
  <c r="CR16" i="6" s="1"/>
  <c r="CS16" i="6" s="1"/>
  <c r="CS21" i="6"/>
  <c r="CQ41" i="6"/>
  <c r="CR41" i="6" s="1"/>
  <c r="CT21" i="6"/>
  <c r="CR21" i="6"/>
  <c r="BF52" i="6"/>
  <c r="BD52" i="6"/>
  <c r="BC51" i="6"/>
  <c r="BD51" i="6" s="1"/>
  <c r="G33" i="1"/>
  <c r="CZ91" i="6"/>
  <c r="CZ55" i="6"/>
  <c r="S41" i="6"/>
  <c r="T41" i="6" s="1"/>
  <c r="S212" i="6"/>
  <c r="T42" i="6"/>
  <c r="AV210" i="6"/>
  <c r="AX210" i="6"/>
  <c r="AW210" i="6"/>
  <c r="AU214" i="6"/>
  <c r="CZ63" i="6"/>
  <c r="CZ90" i="6"/>
  <c r="CZ138" i="6"/>
  <c r="CZ179" i="6"/>
  <c r="G32" i="1"/>
  <c r="G52" i="1" s="1"/>
  <c r="G55" i="1" s="1"/>
  <c r="H38" i="4" s="1"/>
  <c r="H40" i="4" s="1"/>
  <c r="CZ85" i="6"/>
  <c r="CZ70" i="6"/>
  <c r="CZ149" i="6"/>
  <c r="CZ200" i="6"/>
  <c r="CZ73" i="6"/>
  <c r="BM210" i="6"/>
  <c r="BN210" i="6"/>
  <c r="BL210" i="6"/>
  <c r="CZ165" i="6"/>
  <c r="CZ180" i="6"/>
  <c r="DA48" i="6"/>
  <c r="CZ100" i="6"/>
  <c r="CZ131" i="6"/>
  <c r="CZ202" i="6"/>
  <c r="CZ163" i="6"/>
  <c r="CZ140" i="6"/>
  <c r="CZ139" i="6"/>
  <c r="CZ38" i="6"/>
  <c r="CI210" i="6"/>
  <c r="L35" i="1"/>
  <c r="K35" i="1"/>
  <c r="CA210" i="6"/>
  <c r="CZ114" i="6"/>
  <c r="CZ205" i="6"/>
  <c r="CZ134" i="6"/>
  <c r="CZ157" i="6"/>
  <c r="CZ187" i="6"/>
  <c r="CZ40" i="6"/>
  <c r="G210" i="6"/>
  <c r="B35" i="1"/>
  <c r="K32" i="1"/>
  <c r="K52" i="1" s="1"/>
  <c r="K55" i="1" s="1"/>
  <c r="L38" i="4" s="1"/>
  <c r="L40" i="4" s="1"/>
  <c r="CZ126" i="6"/>
  <c r="CZ159" i="6"/>
  <c r="CZ108" i="6"/>
  <c r="CZ173" i="6"/>
  <c r="CZ105" i="6"/>
  <c r="CZ39" i="6"/>
  <c r="CZ57" i="6"/>
  <c r="O30" i="1"/>
  <c r="N34" i="1"/>
  <c r="BZ212" i="6"/>
  <c r="BY211" i="6"/>
  <c r="BN52" i="6"/>
  <c r="BM52" i="6"/>
  <c r="BK51" i="6"/>
  <c r="BL52" i="6"/>
  <c r="J52" i="6"/>
  <c r="I52" i="6"/>
  <c r="H52" i="6"/>
  <c r="G51" i="6"/>
  <c r="N195" i="3"/>
  <c r="C195" i="3"/>
  <c r="BU45" i="6"/>
  <c r="BV45" i="6"/>
  <c r="E33" i="1"/>
  <c r="E32" i="1" s="1"/>
  <c r="E52" i="1" s="1"/>
  <c r="E55" i="1" s="1"/>
  <c r="CG212" i="6"/>
  <c r="CH42" i="6"/>
  <c r="CG41" i="6"/>
  <c r="CH41" i="6" s="1"/>
  <c r="CD45" i="6"/>
  <c r="CC45" i="6"/>
  <c r="CW16" i="6"/>
  <c r="CX16" i="6" s="1"/>
  <c r="F16" i="6"/>
  <c r="AH52" i="6"/>
  <c r="AG52" i="6"/>
  <c r="AE51" i="6"/>
  <c r="AF52" i="6"/>
  <c r="BI211" i="6"/>
  <c r="BJ212" i="6"/>
  <c r="AV214" i="6"/>
  <c r="AX214" i="6"/>
  <c r="AW214" i="6"/>
  <c r="AP103" i="6"/>
  <c r="AO103" i="6"/>
  <c r="AN103" i="6"/>
  <c r="CB41" i="6"/>
  <c r="CC41" i="6"/>
  <c r="DB47" i="6"/>
  <c r="DA47" i="6"/>
  <c r="CZ47" i="6"/>
  <c r="R45" i="6"/>
  <c r="Q45" i="6"/>
  <c r="CZ101" i="6"/>
  <c r="CU16" i="6"/>
  <c r="CV16" i="6" s="1"/>
  <c r="CZ23" i="6"/>
  <c r="CZ145" i="6"/>
  <c r="CZ183" i="6"/>
  <c r="CZ175" i="6"/>
  <c r="CZ121" i="6"/>
  <c r="CZ197" i="6"/>
  <c r="CZ185" i="6"/>
  <c r="CZ164" i="6"/>
  <c r="CZ6" i="6"/>
  <c r="BF12" i="6"/>
  <c r="BE12" i="6"/>
  <c r="AM52" i="6"/>
  <c r="CY52" i="6" s="1"/>
  <c r="F178" i="2"/>
  <c r="F29" i="1" s="1"/>
  <c r="N29" i="1" s="1"/>
  <c r="AH218" i="6"/>
  <c r="AG218" i="6"/>
  <c r="AF218" i="6"/>
  <c r="AE216" i="6"/>
  <c r="CZ87" i="6"/>
  <c r="CZ99" i="6"/>
  <c r="CZ155" i="6"/>
  <c r="CZ177" i="6"/>
  <c r="DB229" i="6"/>
  <c r="DA229" i="6"/>
  <c r="CZ229" i="6"/>
  <c r="BV12" i="6"/>
  <c r="BU12" i="6"/>
  <c r="Z52" i="6"/>
  <c r="Y52" i="6"/>
  <c r="X52" i="6"/>
  <c r="W51" i="6"/>
  <c r="CZ83" i="6"/>
  <c r="AQ103" i="6"/>
  <c r="AR104" i="6"/>
  <c r="AX104" i="6"/>
  <c r="CZ190" i="6"/>
  <c r="CM103" i="6"/>
  <c r="CN104" i="6"/>
  <c r="CZ178" i="6"/>
  <c r="BW41" i="6"/>
  <c r="BX41" i="6" s="1"/>
  <c r="BX42" i="6"/>
  <c r="BL41" i="6"/>
  <c r="BM41" i="6"/>
  <c r="BN41" i="6"/>
  <c r="I213" i="6"/>
  <c r="J213" i="6"/>
  <c r="H213" i="6"/>
  <c r="L33" i="4"/>
  <c r="L42" i="4"/>
  <c r="L20" i="1"/>
  <c r="L33" i="1"/>
  <c r="Q21" i="6"/>
  <c r="P21" i="6"/>
  <c r="O16" i="6"/>
  <c r="P16" i="6" s="1"/>
  <c r="R21" i="6"/>
  <c r="O42" i="6"/>
  <c r="CZ15" i="6"/>
  <c r="DB15" i="6"/>
  <c r="DA15" i="6"/>
  <c r="AX12" i="6"/>
  <c r="AW12" i="6"/>
  <c r="CC213" i="6"/>
  <c r="CB213" i="6"/>
  <c r="CD213" i="6"/>
  <c r="CZ107" i="6"/>
  <c r="BH93" i="6"/>
  <c r="BG82" i="6"/>
  <c r="BN93" i="6"/>
  <c r="AN41" i="6"/>
  <c r="AP41" i="6"/>
  <c r="AO41" i="6"/>
  <c r="CZ224" i="6"/>
  <c r="CZ168" i="6"/>
  <c r="DB221" i="6"/>
  <c r="DA221" i="6"/>
  <c r="CZ221" i="6"/>
  <c r="CZ13" i="6"/>
  <c r="CZ46" i="6"/>
  <c r="DA46" i="6"/>
  <c r="DB46" i="6"/>
  <c r="O19" i="1"/>
  <c r="N21" i="1"/>
  <c r="Y21" i="6"/>
  <c r="X21" i="6"/>
  <c r="Z21" i="6"/>
  <c r="W16" i="6"/>
  <c r="X16" i="6" s="1"/>
  <c r="W42" i="6"/>
  <c r="CZ35" i="6"/>
  <c r="CZ71" i="6"/>
  <c r="CZ150" i="6"/>
  <c r="CZ203" i="6"/>
  <c r="BQ230" i="6"/>
  <c r="BR230" i="6" s="1"/>
  <c r="BR211" i="6"/>
  <c r="H31" i="1"/>
  <c r="H28" i="1" s="1"/>
  <c r="S178" i="3"/>
  <c r="CZ68" i="6"/>
  <c r="BE21" i="6"/>
  <c r="BD21" i="6"/>
  <c r="BF21" i="6"/>
  <c r="BC42" i="6"/>
  <c r="CZ170" i="6"/>
  <c r="CZ176" i="6"/>
  <c r="CZ198" i="6"/>
  <c r="CZ227" i="6"/>
  <c r="CZ141" i="6"/>
  <c r="CZ117" i="6"/>
  <c r="DB53" i="6"/>
  <c r="CZ53" i="6"/>
  <c r="DA53" i="6"/>
  <c r="CZ81" i="6"/>
  <c r="CZ225" i="6"/>
  <c r="DB225" i="6"/>
  <c r="DA225" i="6"/>
  <c r="N51" i="6"/>
  <c r="M49" i="6"/>
  <c r="N49" i="6" s="1"/>
  <c r="M212" i="6"/>
  <c r="AF17" i="6"/>
  <c r="AE16" i="6"/>
  <c r="AF16" i="6" s="1"/>
  <c r="AE45" i="6"/>
  <c r="CY45" i="6" s="1"/>
  <c r="AO53" i="6"/>
  <c r="AP53" i="6"/>
  <c r="AN53" i="6"/>
  <c r="CZ167" i="6"/>
  <c r="CZ184" i="6"/>
  <c r="CZ98" i="6"/>
  <c r="M28" i="1"/>
  <c r="M33" i="1"/>
  <c r="M32" i="1" s="1"/>
  <c r="M52" i="1" s="1"/>
  <c r="M55" i="1" s="1"/>
  <c r="CZ7" i="6"/>
  <c r="H33" i="4"/>
  <c r="H42" i="4"/>
  <c r="CR214" i="6"/>
  <c r="CT214" i="6"/>
  <c r="CS214" i="6"/>
  <c r="Q213" i="6"/>
  <c r="P213" i="6"/>
  <c r="R213" i="6"/>
  <c r="AS230" i="6"/>
  <c r="AT230" i="6" s="1"/>
  <c r="AT211" i="6"/>
  <c r="CZ79" i="6"/>
  <c r="CZ136" i="6"/>
  <c r="DB22" i="6"/>
  <c r="CZ22" i="6"/>
  <c r="DA22" i="6"/>
  <c r="O40" i="1"/>
  <c r="N39" i="1"/>
  <c r="O39" i="1" s="1"/>
  <c r="CC12" i="6"/>
  <c r="CD12" i="6"/>
  <c r="BF45" i="6"/>
  <c r="BE45" i="6"/>
  <c r="AO45" i="6"/>
  <c r="AP45" i="6"/>
  <c r="V212" i="6"/>
  <c r="U211" i="6"/>
  <c r="CO212" i="6"/>
  <c r="CP42" i="6"/>
  <c r="CO41" i="6"/>
  <c r="CP41" i="6" s="1"/>
  <c r="C20" i="1"/>
  <c r="C33" i="1"/>
  <c r="C32" i="1" s="1"/>
  <c r="C52" i="1" s="1"/>
  <c r="C55" i="1" s="1"/>
  <c r="CD42" i="6"/>
  <c r="AP16" i="6"/>
  <c r="AO16" i="6"/>
  <c r="BP106" i="6"/>
  <c r="BO105" i="6"/>
  <c r="BV106" i="6"/>
  <c r="D51" i="6"/>
  <c r="C49" i="6"/>
  <c r="C212" i="6"/>
  <c r="CZ36" i="6"/>
  <c r="CY21" i="6"/>
  <c r="P214" i="6"/>
  <c r="R214" i="6"/>
  <c r="Q214" i="6"/>
  <c r="CZ80" i="6"/>
  <c r="CZ30" i="6"/>
  <c r="CZ86" i="6"/>
  <c r="CZ128" i="6"/>
  <c r="CZ192" i="6"/>
  <c r="J28" i="1"/>
  <c r="J33" i="1"/>
  <c r="J32" i="1" s="1"/>
  <c r="J52" i="1" s="1"/>
  <c r="J55" i="1" s="1"/>
  <c r="CD52" i="6"/>
  <c r="CC52" i="6"/>
  <c r="CB52" i="6"/>
  <c r="CA51" i="6"/>
  <c r="CZ56" i="6"/>
  <c r="CZ28" i="6"/>
  <c r="Y213" i="6"/>
  <c r="Z213" i="6"/>
  <c r="X213" i="6"/>
  <c r="AH18" i="6"/>
  <c r="AG18" i="6"/>
  <c r="O178" i="3"/>
  <c r="CT45" i="6"/>
  <c r="CS45" i="6"/>
  <c r="CZ76" i="6"/>
  <c r="CZ112" i="6"/>
  <c r="CZ129" i="6"/>
  <c r="CZ132" i="6"/>
  <c r="CZ156" i="6"/>
  <c r="CZ194" i="6"/>
  <c r="BE103" i="6"/>
  <c r="BD103" i="6"/>
  <c r="CT52" i="6"/>
  <c r="CS52" i="6"/>
  <c r="CQ51" i="6"/>
  <c r="CR52" i="6"/>
  <c r="CY103" i="6"/>
  <c r="AO213" i="6"/>
  <c r="AP213" i="6"/>
  <c r="AN213" i="6"/>
  <c r="CZ220" i="6"/>
  <c r="BU16" i="6"/>
  <c r="BV16" i="6"/>
  <c r="BN16" i="6"/>
  <c r="BM16" i="6"/>
  <c r="CZ161" i="6"/>
  <c r="H16" i="6"/>
  <c r="CS42" i="6"/>
  <c r="CZ48" i="6"/>
  <c r="AE212" i="6"/>
  <c r="AF42" i="6"/>
  <c r="AH42" i="6"/>
  <c r="AG42" i="6"/>
  <c r="AE41" i="6"/>
  <c r="Q12" i="6"/>
  <c r="R12" i="6"/>
  <c r="F49" i="6"/>
  <c r="BU213" i="6"/>
  <c r="BV213" i="6"/>
  <c r="BT213" i="6"/>
  <c r="BZ51" i="6"/>
  <c r="BY49" i="6"/>
  <c r="BZ49" i="6" s="1"/>
  <c r="AL212" i="6"/>
  <c r="AK211" i="6"/>
  <c r="CF111" i="6"/>
  <c r="CE106" i="6"/>
  <c r="CL111" i="6"/>
  <c r="CU111" i="6"/>
  <c r="AP17" i="6"/>
  <c r="AO17" i="6"/>
  <c r="AF214" i="6"/>
  <c r="AG214" i="6"/>
  <c r="AH214" i="6"/>
  <c r="CZ122" i="6"/>
  <c r="D20" i="1"/>
  <c r="D33" i="1"/>
  <c r="D32" i="1" s="1"/>
  <c r="D52" i="1" s="1"/>
  <c r="D55" i="1" s="1"/>
  <c r="CZ123" i="6"/>
  <c r="CZ151" i="6"/>
  <c r="CZ162" i="6"/>
  <c r="CZ9" i="6"/>
  <c r="BV52" i="6"/>
  <c r="BU52" i="6"/>
  <c r="BT52" i="6"/>
  <c r="BS51" i="6"/>
  <c r="BS212" i="6" s="1"/>
  <c r="AW103" i="6"/>
  <c r="AV103" i="6"/>
  <c r="AU51" i="6"/>
  <c r="AU212" i="6" s="1"/>
  <c r="R52" i="6"/>
  <c r="Q52" i="6"/>
  <c r="P52" i="6"/>
  <c r="O51" i="6"/>
  <c r="CZ29" i="6"/>
  <c r="CZ75" i="6"/>
  <c r="CZ110" i="6"/>
  <c r="CZ146" i="6"/>
  <c r="CZ201" i="6"/>
  <c r="CZ67" i="6"/>
  <c r="CZ82" i="6"/>
  <c r="CZ93" i="6"/>
  <c r="R17" i="6"/>
  <c r="Q17" i="6"/>
  <c r="X214" i="6"/>
  <c r="Z214" i="6"/>
  <c r="Y214" i="6"/>
  <c r="CZ169" i="6"/>
  <c r="CZ196" i="6"/>
  <c r="CZ96" i="6"/>
  <c r="BC16" i="6"/>
  <c r="BD16" i="6" s="1"/>
  <c r="CZ137" i="6"/>
  <c r="CZ18" i="6"/>
  <c r="BV17" i="6"/>
  <c r="BU17" i="6"/>
  <c r="AZ106" i="6"/>
  <c r="AY105" i="6"/>
  <c r="BF106" i="6"/>
  <c r="CY17" i="6"/>
  <c r="CZ109" i="6"/>
  <c r="CZ8" i="6"/>
  <c r="CY12" i="6"/>
  <c r="J12" i="6"/>
  <c r="I12" i="6"/>
  <c r="DB219" i="6"/>
  <c r="DA219" i="6"/>
  <c r="CZ219" i="6"/>
  <c r="DB222" i="6"/>
  <c r="DA222" i="6"/>
  <c r="CZ222" i="6"/>
  <c r="CL52" i="6"/>
  <c r="CK52" i="6"/>
  <c r="CJ52" i="6"/>
  <c r="CI51" i="6"/>
  <c r="CD16" i="6"/>
  <c r="CC16" i="6"/>
  <c r="O3" i="2"/>
  <c r="N2" i="2"/>
  <c r="BT42" i="6"/>
  <c r="BV42" i="6"/>
  <c r="BU42" i="6"/>
  <c r="BS41" i="6"/>
  <c r="CZ111" i="6"/>
  <c r="CZ26" i="6"/>
  <c r="CZ10" i="6"/>
  <c r="BW103" i="6"/>
  <c r="BX104" i="6"/>
  <c r="CD104" i="6"/>
  <c r="CZ217" i="6"/>
  <c r="DB226" i="6"/>
  <c r="DA226" i="6"/>
  <c r="CZ226" i="6"/>
  <c r="CZ64" i="6"/>
  <c r="CZ106" i="6"/>
  <c r="CZ118" i="6"/>
  <c r="CZ193" i="6"/>
  <c r="BT218" i="6"/>
  <c r="BV218" i="6"/>
  <c r="BU218" i="6"/>
  <c r="BS216" i="6"/>
  <c r="CT12" i="6"/>
  <c r="CS12" i="6"/>
  <c r="CZ171" i="6"/>
  <c r="CZ115" i="6"/>
  <c r="BF17" i="6"/>
  <c r="BE17" i="6"/>
  <c r="E212" i="6"/>
  <c r="F42" i="6"/>
  <c r="CW42" i="6"/>
  <c r="CX42" i="6" s="1"/>
  <c r="E41" i="6"/>
  <c r="CZ97" i="6"/>
  <c r="CZ94" i="6"/>
  <c r="BC208" i="6"/>
  <c r="H34" i="1"/>
  <c r="I17" i="6"/>
  <c r="J17" i="6"/>
  <c r="BL214" i="6"/>
  <c r="BN214" i="6"/>
  <c r="BM214" i="6"/>
  <c r="CL17" i="6"/>
  <c r="CK17" i="6"/>
  <c r="CZ44" i="6"/>
  <c r="DB44" i="6"/>
  <c r="DA44" i="6"/>
  <c r="AX16" i="6"/>
  <c r="AW16" i="6"/>
  <c r="D33" i="4"/>
  <c r="D42" i="4"/>
  <c r="CQ216" i="6"/>
  <c r="CT218" i="6"/>
  <c r="CS218" i="6"/>
  <c r="CR218" i="6"/>
  <c r="AB212" i="6"/>
  <c r="AA211" i="6"/>
  <c r="AG213" i="6"/>
  <c r="AH213" i="6"/>
  <c r="AF213" i="6"/>
  <c r="DA14" i="6"/>
  <c r="CZ14" i="6"/>
  <c r="DB14" i="6"/>
  <c r="DA104" i="6"/>
  <c r="CZ104" i="6"/>
  <c r="I218" i="6"/>
  <c r="H218" i="6"/>
  <c r="CY218" i="6"/>
  <c r="G216" i="6"/>
  <c r="J218" i="6"/>
  <c r="AW213" i="6"/>
  <c r="AV213" i="6"/>
  <c r="AX213" i="6"/>
  <c r="H41" i="6"/>
  <c r="J41" i="6"/>
  <c r="I41" i="6"/>
  <c r="L51" i="6"/>
  <c r="K49" i="6"/>
  <c r="L49" i="6" s="1"/>
  <c r="AQ41" i="6"/>
  <c r="AR41" i="6" s="1"/>
  <c r="AR42" i="6"/>
  <c r="O53" i="2"/>
  <c r="I28" i="1"/>
  <c r="I33" i="1"/>
  <c r="I32" i="1" s="1"/>
  <c r="I52" i="1" s="1"/>
  <c r="I55" i="1" s="1"/>
  <c r="CK45" i="6"/>
  <c r="CL45" i="6"/>
  <c r="CZ209" i="6"/>
  <c r="CZ207" i="6"/>
  <c r="DA4" i="6"/>
  <c r="CZ4" i="6"/>
  <c r="DB4" i="6"/>
  <c r="CZ69" i="6"/>
  <c r="CZ172" i="6"/>
  <c r="CZ74" i="6"/>
  <c r="CZ116" i="6"/>
  <c r="CZ158" i="6"/>
  <c r="CZ166" i="6"/>
  <c r="CZ65" i="6"/>
  <c r="CZ88" i="6"/>
  <c r="CZ142" i="6"/>
  <c r="CZ147" i="6"/>
  <c r="CZ181" i="6"/>
  <c r="CZ215" i="6"/>
  <c r="CZ77" i="6"/>
  <c r="CZ19" i="6"/>
  <c r="CZ62" i="6"/>
  <c r="CZ5" i="6"/>
  <c r="CZ232" i="6"/>
  <c r="CZ32" i="6"/>
  <c r="I45" i="6"/>
  <c r="J45" i="6"/>
  <c r="CZ58" i="6"/>
  <c r="CZ66" i="6"/>
  <c r="CZ133" i="6"/>
  <c r="CZ206" i="6"/>
  <c r="DB228" i="6"/>
  <c r="DA228" i="6"/>
  <c r="CZ228" i="6"/>
  <c r="CL16" i="6"/>
  <c r="CK16" i="6"/>
  <c r="CZ33" i="6"/>
  <c r="CZ78" i="6"/>
  <c r="CZ92" i="6"/>
  <c r="CZ148" i="6"/>
  <c r="CZ153" i="6"/>
  <c r="CZ54" i="6"/>
  <c r="CZ152" i="6"/>
  <c r="AV42" i="6"/>
  <c r="AX42" i="6"/>
  <c r="AW42" i="6"/>
  <c r="AU41" i="6"/>
  <c r="CZ43" i="6"/>
  <c r="DB43" i="6"/>
  <c r="DA43" i="6"/>
  <c r="F32" i="4"/>
  <c r="G31" i="4"/>
  <c r="G35" i="4" s="1"/>
  <c r="F35" i="4"/>
  <c r="AC230" i="6"/>
  <c r="AD230" i="6" s="1"/>
  <c r="AD211" i="6"/>
  <c r="CZ25" i="6"/>
  <c r="CZ59" i="6"/>
  <c r="CZ143" i="6"/>
  <c r="CZ174" i="6"/>
  <c r="CK21" i="6"/>
  <c r="CJ21" i="6"/>
  <c r="CL21" i="6"/>
  <c r="CI42" i="6"/>
  <c r="G42" i="4"/>
  <c r="G33" i="4"/>
  <c r="H21" i="1"/>
  <c r="H14" i="1"/>
  <c r="O14" i="1" s="1"/>
  <c r="K212" i="6"/>
  <c r="K41" i="6"/>
  <c r="L42" i="6"/>
  <c r="CU42" i="6"/>
  <c r="CV42" i="6" s="1"/>
  <c r="CZ84" i="6"/>
  <c r="CZ199" i="6"/>
  <c r="BL216" i="6"/>
  <c r="B28" i="1"/>
  <c r="B33" i="1"/>
  <c r="B32" i="1" s="1"/>
  <c r="B52" i="1" s="1"/>
  <c r="B55" i="1" s="1"/>
  <c r="AJ212" i="6"/>
  <c r="AI211" i="6"/>
  <c r="CZ113" i="6"/>
  <c r="CZ130" i="6"/>
  <c r="CZ144" i="6"/>
  <c r="CZ154" i="6"/>
  <c r="CZ24" i="6"/>
  <c r="CS213" i="6"/>
  <c r="CR213" i="6"/>
  <c r="CT213" i="6"/>
  <c r="AP12" i="6"/>
  <c r="AO12" i="6"/>
  <c r="CZ61" i="6"/>
  <c r="CZ95" i="6"/>
  <c r="BA212" i="6"/>
  <c r="BB42" i="6"/>
  <c r="BA41" i="6"/>
  <c r="BB41" i="6" s="1"/>
  <c r="CZ188" i="6"/>
  <c r="E33" i="4"/>
  <c r="E42" i="4"/>
  <c r="BM216" i="6" l="1"/>
  <c r="CT16" i="6"/>
  <c r="CT41" i="6"/>
  <c r="BE51" i="6"/>
  <c r="BC49" i="6"/>
  <c r="BD49" i="6" s="1"/>
  <c r="G72" i="1"/>
  <c r="CA214" i="6"/>
  <c r="CD210" i="6"/>
  <c r="CC210" i="6"/>
  <c r="CB210" i="6"/>
  <c r="S211" i="6"/>
  <c r="T212" i="6"/>
  <c r="K72" i="1"/>
  <c r="L32" i="1"/>
  <c r="L52" i="1" s="1"/>
  <c r="L55" i="1" s="1"/>
  <c r="M38" i="4" s="1"/>
  <c r="M40" i="4" s="1"/>
  <c r="G214" i="6"/>
  <c r="I210" i="6"/>
  <c r="H210" i="6"/>
  <c r="J210" i="6"/>
  <c r="CY16" i="6"/>
  <c r="DB16" i="6" s="1"/>
  <c r="CJ210" i="6"/>
  <c r="CK210" i="6"/>
  <c r="CL210" i="6"/>
  <c r="CI214" i="6"/>
  <c r="DB52" i="6"/>
  <c r="DA52" i="6"/>
  <c r="CZ52" i="6"/>
  <c r="F33" i="4"/>
  <c r="F42" i="4"/>
  <c r="AV212" i="6"/>
  <c r="AW212" i="6"/>
  <c r="AU211" i="6"/>
  <c r="DA218" i="6"/>
  <c r="CZ218" i="6"/>
  <c r="DB218" i="6"/>
  <c r="AA230" i="6"/>
  <c r="AB230" i="6" s="1"/>
  <c r="AB211" i="6"/>
  <c r="F41" i="6"/>
  <c r="CW41" i="6"/>
  <c r="CX41" i="6" s="1"/>
  <c r="BT41" i="6"/>
  <c r="BV41" i="6"/>
  <c r="BU41" i="6"/>
  <c r="CS41" i="6"/>
  <c r="CW49" i="6"/>
  <c r="CX49" i="6" s="1"/>
  <c r="BO104" i="6"/>
  <c r="BP105" i="6"/>
  <c r="BV105" i="6"/>
  <c r="BN82" i="6"/>
  <c r="BH82" i="6"/>
  <c r="BG80" i="6"/>
  <c r="X51" i="6"/>
  <c r="W49" i="6"/>
  <c r="Z51" i="6"/>
  <c r="Y51" i="6"/>
  <c r="N212" i="6"/>
  <c r="M211" i="6"/>
  <c r="BI230" i="6"/>
  <c r="BJ230" i="6" s="1"/>
  <c r="BJ211" i="6"/>
  <c r="H33" i="1"/>
  <c r="H20" i="1"/>
  <c r="DB45" i="6"/>
  <c r="DA45" i="6"/>
  <c r="CZ45" i="6"/>
  <c r="CK51" i="6"/>
  <c r="CJ51" i="6"/>
  <c r="CI49" i="6"/>
  <c r="AW51" i="6"/>
  <c r="AV51" i="6"/>
  <c r="AU49" i="6"/>
  <c r="AK230" i="6"/>
  <c r="AL230" i="6" s="1"/>
  <c r="AL211" i="6"/>
  <c r="AH212" i="6"/>
  <c r="AF212" i="6"/>
  <c r="AG212" i="6"/>
  <c r="AE211" i="6"/>
  <c r="DA103" i="6"/>
  <c r="CZ103" i="6"/>
  <c r="CP212" i="6"/>
  <c r="CO211" i="6"/>
  <c r="N20" i="1"/>
  <c r="O21" i="1"/>
  <c r="N33" i="1"/>
  <c r="CN103" i="6"/>
  <c r="CM95" i="6"/>
  <c r="CT103" i="6"/>
  <c r="F28" i="1"/>
  <c r="F33" i="1"/>
  <c r="F32" i="1" s="1"/>
  <c r="F52" i="1" s="1"/>
  <c r="F55" i="1" s="1"/>
  <c r="AG51" i="6"/>
  <c r="AH51" i="6"/>
  <c r="AF51" i="6"/>
  <c r="AE49" i="6"/>
  <c r="J51" i="6"/>
  <c r="I51" i="6"/>
  <c r="H51" i="6"/>
  <c r="G49" i="6"/>
  <c r="G212" i="6"/>
  <c r="BM51" i="6"/>
  <c r="BL51" i="6"/>
  <c r="BK49" i="6"/>
  <c r="BK212" i="6"/>
  <c r="H216" i="6"/>
  <c r="CY216" i="6"/>
  <c r="J216" i="6"/>
  <c r="I216" i="6"/>
  <c r="CC51" i="6"/>
  <c r="CA49" i="6"/>
  <c r="CB51" i="6"/>
  <c r="CA212" i="6"/>
  <c r="AI230" i="6"/>
  <c r="AJ230" i="6" s="1"/>
  <c r="AJ211" i="6"/>
  <c r="BT216" i="6"/>
  <c r="BV216" i="6"/>
  <c r="BU216" i="6"/>
  <c r="BX103" i="6"/>
  <c r="BW95" i="6"/>
  <c r="CD103" i="6"/>
  <c r="U230" i="6"/>
  <c r="V230" i="6" s="1"/>
  <c r="V211" i="6"/>
  <c r="AP52" i="6"/>
  <c r="AO52" i="6"/>
  <c r="AM51" i="6"/>
  <c r="AN52" i="6"/>
  <c r="CH212" i="6"/>
  <c r="CG211" i="6"/>
  <c r="BY230" i="6"/>
  <c r="BZ230" i="6" s="1"/>
  <c r="BZ211" i="6"/>
  <c r="AY104" i="6"/>
  <c r="AZ105" i="6"/>
  <c r="BF105" i="6"/>
  <c r="CS51" i="6"/>
  <c r="CR51" i="6"/>
  <c r="CQ49" i="6"/>
  <c r="CQ212" i="6"/>
  <c r="AR103" i="6"/>
  <c r="AQ95" i="6"/>
  <c r="CF106" i="6"/>
  <c r="CE105" i="6"/>
  <c r="CL106" i="6"/>
  <c r="E211" i="6"/>
  <c r="CW212" i="6"/>
  <c r="CX212" i="6" s="1"/>
  <c r="F212" i="6"/>
  <c r="CZ17" i="6"/>
  <c r="DA17" i="6"/>
  <c r="DB17" i="6"/>
  <c r="K38" i="4"/>
  <c r="K40" i="4" s="1"/>
  <c r="J72" i="1"/>
  <c r="D212" i="6"/>
  <c r="C211" i="6"/>
  <c r="O212" i="6"/>
  <c r="P42" i="6"/>
  <c r="R42" i="6"/>
  <c r="Q42" i="6"/>
  <c r="O41" i="6"/>
  <c r="CY42" i="6"/>
  <c r="F38" i="4"/>
  <c r="F40" i="4" s="1"/>
  <c r="E72" i="1"/>
  <c r="O29" i="1"/>
  <c r="AH17" i="6"/>
  <c r="AG17" i="6"/>
  <c r="L212" i="6"/>
  <c r="K211" i="6"/>
  <c r="BC212" i="6"/>
  <c r="BD42" i="6"/>
  <c r="BC41" i="6"/>
  <c r="BF42" i="6"/>
  <c r="BE42" i="6"/>
  <c r="CI212" i="6"/>
  <c r="CJ42" i="6"/>
  <c r="CK42" i="6"/>
  <c r="CI41" i="6"/>
  <c r="CL42" i="6"/>
  <c r="AV41" i="6"/>
  <c r="AX41" i="6"/>
  <c r="AW41" i="6"/>
  <c r="BT212" i="6"/>
  <c r="BS211" i="6"/>
  <c r="BU212" i="6"/>
  <c r="CU106" i="6"/>
  <c r="BE16" i="6"/>
  <c r="BF16" i="6"/>
  <c r="AX103" i="6"/>
  <c r="D49" i="6"/>
  <c r="M72" i="1"/>
  <c r="N38" i="4"/>
  <c r="N40" i="4" s="1"/>
  <c r="AH45" i="6"/>
  <c r="AG45" i="6"/>
  <c r="W212" i="6"/>
  <c r="X42" i="6"/>
  <c r="Y42" i="6"/>
  <c r="W41" i="6"/>
  <c r="Z42" i="6"/>
  <c r="O34" i="1"/>
  <c r="L41" i="6"/>
  <c r="CU41" i="6"/>
  <c r="CV41" i="6" s="1"/>
  <c r="J16" i="6"/>
  <c r="I16" i="6"/>
  <c r="C38" i="4"/>
  <c r="C40" i="4" s="1"/>
  <c r="B72" i="1"/>
  <c r="B74" i="1" s="1"/>
  <c r="BB212" i="6"/>
  <c r="BA211" i="6"/>
  <c r="J38" i="4"/>
  <c r="J40" i="4" s="1"/>
  <c r="I72" i="1"/>
  <c r="CR216" i="6"/>
  <c r="CT216" i="6"/>
  <c r="CS216" i="6"/>
  <c r="BD208" i="6"/>
  <c r="BE208" i="6"/>
  <c r="BF208" i="6"/>
  <c r="BC213" i="6"/>
  <c r="CY208" i="6"/>
  <c r="N178" i="2"/>
  <c r="O178" i="2" s="1"/>
  <c r="O2" i="2"/>
  <c r="DB12" i="6"/>
  <c r="DA12" i="6"/>
  <c r="CZ12" i="6"/>
  <c r="O49" i="6"/>
  <c r="R51" i="6"/>
  <c r="Q51" i="6"/>
  <c r="P51" i="6"/>
  <c r="BU51" i="6"/>
  <c r="BT51" i="6"/>
  <c r="BS49" i="6"/>
  <c r="D72" i="1"/>
  <c r="E38" i="4"/>
  <c r="E40" i="4" s="1"/>
  <c r="CV111" i="6"/>
  <c r="DB111" i="6"/>
  <c r="AF41" i="6"/>
  <c r="AH41" i="6"/>
  <c r="AG41" i="6"/>
  <c r="DA21" i="6"/>
  <c r="CZ21" i="6"/>
  <c r="DB21" i="6"/>
  <c r="C72" i="1"/>
  <c r="D38" i="4"/>
  <c r="D40" i="4" s="1"/>
  <c r="AH16" i="6"/>
  <c r="AG16" i="6"/>
  <c r="BC210" i="6"/>
  <c r="H35" i="1"/>
  <c r="N31" i="1"/>
  <c r="N28" i="1" s="1"/>
  <c r="Z16" i="6"/>
  <c r="Y16" i="6"/>
  <c r="R16" i="6"/>
  <c r="Q16" i="6"/>
  <c r="AF216" i="6"/>
  <c r="AG216" i="6"/>
  <c r="AH216" i="6"/>
  <c r="CD41" i="6"/>
  <c r="BE49" i="6" l="1"/>
  <c r="O28" i="1"/>
  <c r="CZ16" i="6"/>
  <c r="L72" i="1"/>
  <c r="S230" i="6"/>
  <c r="T230" i="6" s="1"/>
  <c r="T211" i="6"/>
  <c r="DA16" i="6"/>
  <c r="CL214" i="6"/>
  <c r="CK214" i="6"/>
  <c r="CJ214" i="6"/>
  <c r="J214" i="6"/>
  <c r="I214" i="6"/>
  <c r="H214" i="6"/>
  <c r="CD214" i="6"/>
  <c r="CB214" i="6"/>
  <c r="CC214" i="6"/>
  <c r="G38" i="4"/>
  <c r="G40" i="4" s="1"/>
  <c r="F72" i="1"/>
  <c r="BD212" i="6"/>
  <c r="BE212" i="6"/>
  <c r="BC211" i="6"/>
  <c r="CB49" i="6"/>
  <c r="CC49" i="6"/>
  <c r="M230" i="6"/>
  <c r="N230" i="6" s="1"/>
  <c r="N211" i="6"/>
  <c r="BO103" i="6"/>
  <c r="BP104" i="6"/>
  <c r="BV104" i="6"/>
  <c r="BT49" i="6"/>
  <c r="BU49" i="6"/>
  <c r="BS230" i="6"/>
  <c r="BU211" i="6"/>
  <c r="BT211" i="6"/>
  <c r="K230" i="6"/>
  <c r="L230" i="6" s="1"/>
  <c r="L211" i="6"/>
  <c r="CZ42" i="6"/>
  <c r="DA42" i="6"/>
  <c r="DB42" i="6"/>
  <c r="E230" i="6"/>
  <c r="F211" i="6"/>
  <c r="CW211" i="6"/>
  <c r="CX211" i="6" s="1"/>
  <c r="CR49" i="6"/>
  <c r="CS49" i="6"/>
  <c r="CM93" i="6"/>
  <c r="CT95" i="6"/>
  <c r="CN95" i="6"/>
  <c r="AV49" i="6"/>
  <c r="AW49" i="6"/>
  <c r="DA208" i="6"/>
  <c r="DB208" i="6"/>
  <c r="CZ208" i="6"/>
  <c r="AR95" i="6"/>
  <c r="AQ93" i="6"/>
  <c r="AX95" i="6"/>
  <c r="O31" i="1"/>
  <c r="N35" i="1"/>
  <c r="O35" i="1" s="1"/>
  <c r="BD210" i="6"/>
  <c r="BF210" i="6"/>
  <c r="BE210" i="6"/>
  <c r="BC214" i="6"/>
  <c r="CY210" i="6"/>
  <c r="C60" i="4"/>
  <c r="C61" i="4" s="1"/>
  <c r="C74" i="1"/>
  <c r="X41" i="6"/>
  <c r="Z41" i="6"/>
  <c r="Y41" i="6"/>
  <c r="P41" i="6"/>
  <c r="Q41" i="6"/>
  <c r="R41" i="6"/>
  <c r="CY41" i="6"/>
  <c r="AF49" i="6"/>
  <c r="AH49" i="6"/>
  <c r="AG49" i="6"/>
  <c r="H49" i="6"/>
  <c r="J49" i="6"/>
  <c r="I49" i="6"/>
  <c r="CO230" i="6"/>
  <c r="CP230" i="6" s="1"/>
  <c r="CP211" i="6"/>
  <c r="CJ41" i="6"/>
  <c r="CL41" i="6"/>
  <c r="CK41" i="6"/>
  <c r="CR212" i="6"/>
  <c r="CS212" i="6"/>
  <c r="CQ211" i="6"/>
  <c r="BL49" i="6"/>
  <c r="BM49" i="6"/>
  <c r="CE104" i="6"/>
  <c r="CF105" i="6"/>
  <c r="CL105" i="6"/>
  <c r="CG230" i="6"/>
  <c r="CH230" i="6" s="1"/>
  <c r="CH211" i="6"/>
  <c r="O33" i="1"/>
  <c r="AE230" i="6"/>
  <c r="AG211" i="6"/>
  <c r="AH211" i="6"/>
  <c r="AF211" i="6"/>
  <c r="BH80" i="6"/>
  <c r="BG51" i="6"/>
  <c r="BN80" i="6"/>
  <c r="R212" i="6"/>
  <c r="P212" i="6"/>
  <c r="O211" i="6"/>
  <c r="Q212" i="6"/>
  <c r="AO51" i="6"/>
  <c r="AM49" i="6"/>
  <c r="CY49" i="6" s="1"/>
  <c r="AP51" i="6"/>
  <c r="AN51" i="6"/>
  <c r="AM212" i="6"/>
  <c r="CY212" i="6" s="1"/>
  <c r="CB212" i="6"/>
  <c r="CA211" i="6"/>
  <c r="CC212" i="6"/>
  <c r="CV106" i="6"/>
  <c r="DB106" i="6"/>
  <c r="BL212" i="6"/>
  <c r="BM212" i="6"/>
  <c r="BK211" i="6"/>
  <c r="AY103" i="6"/>
  <c r="AZ104" i="6"/>
  <c r="BF104" i="6"/>
  <c r="CU104" i="6"/>
  <c r="BX95" i="6"/>
  <c r="BW93" i="6"/>
  <c r="CD95" i="6"/>
  <c r="J212" i="6"/>
  <c r="H212" i="6"/>
  <c r="I212" i="6"/>
  <c r="G211" i="6"/>
  <c r="BD41" i="6"/>
  <c r="BF41" i="6"/>
  <c r="BE41" i="6"/>
  <c r="BE213" i="6"/>
  <c r="BF213" i="6"/>
  <c r="BD213" i="6"/>
  <c r="CY213" i="6"/>
  <c r="C230" i="6"/>
  <c r="D211" i="6"/>
  <c r="X49" i="6"/>
  <c r="Z49" i="6"/>
  <c r="Y49" i="6"/>
  <c r="P49" i="6"/>
  <c r="R49" i="6"/>
  <c r="Q49" i="6"/>
  <c r="BA230" i="6"/>
  <c r="BB230" i="6" s="1"/>
  <c r="BB211" i="6"/>
  <c r="CJ212" i="6"/>
  <c r="CK212" i="6"/>
  <c r="CI211" i="6"/>
  <c r="Z212" i="6"/>
  <c r="X212" i="6"/>
  <c r="Y212" i="6"/>
  <c r="W211" i="6"/>
  <c r="CU105" i="6"/>
  <c r="CZ216" i="6"/>
  <c r="DA216" i="6"/>
  <c r="DB216" i="6"/>
  <c r="CY51" i="6"/>
  <c r="O20" i="1"/>
  <c r="CJ49" i="6"/>
  <c r="CK49" i="6"/>
  <c r="H32" i="1"/>
  <c r="H52" i="1" s="1"/>
  <c r="H55" i="1" s="1"/>
  <c r="AU230" i="6"/>
  <c r="AW211" i="6"/>
  <c r="AV211" i="6"/>
  <c r="CZ212" i="6" l="1"/>
  <c r="DA212" i="6"/>
  <c r="W230" i="6"/>
  <c r="Y211" i="6"/>
  <c r="X211" i="6"/>
  <c r="Z211" i="6"/>
  <c r="BW82" i="6"/>
  <c r="BX93" i="6"/>
  <c r="CD93" i="6"/>
  <c r="CV104" i="6"/>
  <c r="DB104" i="6"/>
  <c r="BH51" i="6"/>
  <c r="BG49" i="6"/>
  <c r="BG212" i="6"/>
  <c r="BN51" i="6"/>
  <c r="CQ230" i="6"/>
  <c r="CS211" i="6"/>
  <c r="CR211" i="6"/>
  <c r="CZ41" i="6"/>
  <c r="DB41" i="6"/>
  <c r="DA41" i="6"/>
  <c r="CV105" i="6"/>
  <c r="DB105" i="6"/>
  <c r="N32" i="1"/>
  <c r="D74" i="1"/>
  <c r="D60" i="4"/>
  <c r="D61" i="4" s="1"/>
  <c r="BC230" i="6"/>
  <c r="BE211" i="6"/>
  <c r="BD211" i="6"/>
  <c r="D230" i="6"/>
  <c r="G230" i="6"/>
  <c r="I211" i="6"/>
  <c r="J211" i="6"/>
  <c r="H211" i="6"/>
  <c r="DA51" i="6"/>
  <c r="CZ51" i="6"/>
  <c r="DA213" i="6"/>
  <c r="DB213" i="6"/>
  <c r="CZ213" i="6"/>
  <c r="AN49" i="6"/>
  <c r="AO49" i="6"/>
  <c r="AP49" i="6"/>
  <c r="DA210" i="6"/>
  <c r="CZ210" i="6"/>
  <c r="DB210" i="6"/>
  <c r="AR93" i="6"/>
  <c r="AQ82" i="6"/>
  <c r="AX93" i="6"/>
  <c r="BP103" i="6"/>
  <c r="BO95" i="6"/>
  <c r="BV103" i="6"/>
  <c r="CI230" i="6"/>
  <c r="CK211" i="6"/>
  <c r="CJ211" i="6"/>
  <c r="BD214" i="6"/>
  <c r="BF214" i="6"/>
  <c r="BE214" i="6"/>
  <c r="CY214" i="6"/>
  <c r="CW230" i="6"/>
  <c r="CX230" i="6" s="1"/>
  <c r="F230" i="6"/>
  <c r="AH230" i="6"/>
  <c r="AG230" i="6"/>
  <c r="AF230" i="6"/>
  <c r="AP212" i="6"/>
  <c r="AN212" i="6"/>
  <c r="AM211" i="6"/>
  <c r="CY211" i="6" s="1"/>
  <c r="AO212" i="6"/>
  <c r="AW230" i="6"/>
  <c r="AV230" i="6"/>
  <c r="AZ103" i="6"/>
  <c r="AY95" i="6"/>
  <c r="BF103" i="6"/>
  <c r="CA230" i="6"/>
  <c r="CC211" i="6"/>
  <c r="CB211" i="6"/>
  <c r="CZ49" i="6"/>
  <c r="DA49" i="6"/>
  <c r="BU230" i="6"/>
  <c r="BT230" i="6"/>
  <c r="H72" i="1"/>
  <c r="I38" i="4"/>
  <c r="I40" i="4" s="1"/>
  <c r="BK230" i="6"/>
  <c r="BM211" i="6"/>
  <c r="BL211" i="6"/>
  <c r="O230" i="6"/>
  <c r="Q211" i="6"/>
  <c r="P211" i="6"/>
  <c r="R211" i="6"/>
  <c r="CE103" i="6"/>
  <c r="CF104" i="6"/>
  <c r="CL104" i="6"/>
  <c r="CN93" i="6"/>
  <c r="CM82" i="6"/>
  <c r="CT93" i="6"/>
  <c r="DA211" i="6" l="1"/>
  <c r="CZ211" i="6"/>
  <c r="BM230" i="6"/>
  <c r="BL230" i="6"/>
  <c r="BH49" i="6"/>
  <c r="BN49" i="6"/>
  <c r="CD82" i="6"/>
  <c r="BW80" i="6"/>
  <c r="BX82" i="6"/>
  <c r="BG211" i="6"/>
  <c r="BH212" i="6"/>
  <c r="BN212" i="6"/>
  <c r="AR82" i="6"/>
  <c r="AQ80" i="6"/>
  <c r="AX82" i="6"/>
  <c r="BE230" i="6"/>
  <c r="BD230" i="6"/>
  <c r="CF103" i="6"/>
  <c r="CE95" i="6"/>
  <c r="CL103" i="6"/>
  <c r="Z230" i="6"/>
  <c r="Y230" i="6"/>
  <c r="X230" i="6"/>
  <c r="CM80" i="6"/>
  <c r="CN82" i="6"/>
  <c r="CT82" i="6"/>
  <c r="R230" i="6"/>
  <c r="Q230" i="6"/>
  <c r="P230" i="6"/>
  <c r="CC230" i="6"/>
  <c r="CB230" i="6"/>
  <c r="CK230" i="6"/>
  <c r="CJ230" i="6"/>
  <c r="J230" i="6"/>
  <c r="I230" i="6"/>
  <c r="H230" i="6"/>
  <c r="E60" i="4"/>
  <c r="E61" i="4" s="1"/>
  <c r="E74" i="1"/>
  <c r="AZ95" i="6"/>
  <c r="AY93" i="6"/>
  <c r="BF95" i="6"/>
  <c r="CZ214" i="6"/>
  <c r="DB214" i="6"/>
  <c r="DA214" i="6"/>
  <c r="O32" i="1"/>
  <c r="N52" i="1"/>
  <c r="CU103" i="6"/>
  <c r="AM230" i="6"/>
  <c r="AO211" i="6"/>
  <c r="AP211" i="6"/>
  <c r="AN211" i="6"/>
  <c r="BP95" i="6"/>
  <c r="BO93" i="6"/>
  <c r="BV95" i="6"/>
  <c r="CS230" i="6"/>
  <c r="CR230" i="6"/>
  <c r="AP230" i="6" l="1"/>
  <c r="AO230" i="6"/>
  <c r="AN230" i="6"/>
  <c r="N55" i="1"/>
  <c r="O55" i="1" s="1"/>
  <c r="O52" i="1"/>
  <c r="F60" i="4"/>
  <c r="F61" i="4" s="1"/>
  <c r="F74" i="1"/>
  <c r="CE93" i="6"/>
  <c r="CL95" i="6"/>
  <c r="CF95" i="6"/>
  <c r="CN80" i="6"/>
  <c r="CT80" i="6"/>
  <c r="CM51" i="6"/>
  <c r="BG230" i="6"/>
  <c r="BH211" i="6"/>
  <c r="BN211" i="6"/>
  <c r="CV103" i="6"/>
  <c r="DB103" i="6"/>
  <c r="AZ93" i="6"/>
  <c r="AY82" i="6"/>
  <c r="BF93" i="6"/>
  <c r="BP93" i="6"/>
  <c r="BO82" i="6"/>
  <c r="BV93" i="6"/>
  <c r="CY230" i="6"/>
  <c r="BX80" i="6"/>
  <c r="CD80" i="6"/>
  <c r="BW51" i="6"/>
  <c r="CU95" i="6"/>
  <c r="AR80" i="6"/>
  <c r="AQ51" i="6"/>
  <c r="AX80" i="6"/>
  <c r="BV82" i="6" l="1"/>
  <c r="BO80" i="6"/>
  <c r="BP82" i="6"/>
  <c r="G60" i="4"/>
  <c r="G61" i="4" s="1"/>
  <c r="G74" i="1"/>
  <c r="AR51" i="6"/>
  <c r="AQ49" i="6"/>
  <c r="AQ212" i="6"/>
  <c r="AX51" i="6"/>
  <c r="CF93" i="6"/>
  <c r="CE82" i="6"/>
  <c r="CL93" i="6"/>
  <c r="CU93" i="6"/>
  <c r="CM49" i="6"/>
  <c r="CN51" i="6"/>
  <c r="CM212" i="6"/>
  <c r="CT51" i="6"/>
  <c r="AZ82" i="6"/>
  <c r="BF82" i="6"/>
  <c r="AY80" i="6"/>
  <c r="CU82" i="6"/>
  <c r="CV95" i="6"/>
  <c r="DB95" i="6"/>
  <c r="BH230" i="6"/>
  <c r="BN230" i="6"/>
  <c r="BX51" i="6"/>
  <c r="BW49" i="6"/>
  <c r="BW212" i="6"/>
  <c r="CD51" i="6"/>
  <c r="DA230" i="6"/>
  <c r="CZ230" i="6"/>
  <c r="AR49" i="6" l="1"/>
  <c r="AX49" i="6"/>
  <c r="CN49" i="6"/>
  <c r="CT49" i="6"/>
  <c r="H60" i="4"/>
  <c r="H61" i="4" s="1"/>
  <c r="H74" i="1"/>
  <c r="CV93" i="6"/>
  <c r="DB93" i="6"/>
  <c r="CV82" i="6"/>
  <c r="DB82" i="6"/>
  <c r="BX212" i="6"/>
  <c r="BW211" i="6"/>
  <c r="CD212" i="6"/>
  <c r="CF82" i="6"/>
  <c r="CE80" i="6"/>
  <c r="CL82" i="6"/>
  <c r="BP80" i="6"/>
  <c r="BO51" i="6"/>
  <c r="BV80" i="6"/>
  <c r="AZ80" i="6"/>
  <c r="AY51" i="6"/>
  <c r="BF80" i="6"/>
  <c r="CU80" i="6"/>
  <c r="BX49" i="6"/>
  <c r="CD49" i="6"/>
  <c r="CM211" i="6"/>
  <c r="CN212" i="6"/>
  <c r="CT212" i="6"/>
  <c r="AQ211" i="6"/>
  <c r="AR212" i="6"/>
  <c r="AX212" i="6"/>
  <c r="I60" i="4" l="1"/>
  <c r="I61" i="4" s="1"/>
  <c r="I74" i="1"/>
  <c r="CV80" i="6"/>
  <c r="DB80" i="6"/>
  <c r="AQ230" i="6"/>
  <c r="AR211" i="6"/>
  <c r="AX211" i="6"/>
  <c r="CM230" i="6"/>
  <c r="CN211" i="6"/>
  <c r="CT211" i="6"/>
  <c r="CF80" i="6"/>
  <c r="CE51" i="6"/>
  <c r="CL80" i="6"/>
  <c r="AZ51" i="6"/>
  <c r="AY49" i="6"/>
  <c r="AY212" i="6"/>
  <c r="BF51" i="6"/>
  <c r="CU51" i="6"/>
  <c r="BW230" i="6"/>
  <c r="BX211" i="6"/>
  <c r="CD211" i="6"/>
  <c r="BP51" i="6"/>
  <c r="BO49" i="6"/>
  <c r="BO212" i="6"/>
  <c r="BV51" i="6"/>
  <c r="CF51" i="6" l="1"/>
  <c r="CE49" i="6"/>
  <c r="CU49" i="6" s="1"/>
  <c r="CE212" i="6"/>
  <c r="CL51" i="6"/>
  <c r="AR230" i="6"/>
  <c r="AX230" i="6"/>
  <c r="AZ49" i="6"/>
  <c r="BF49" i="6"/>
  <c r="BP49" i="6"/>
  <c r="BV49" i="6"/>
  <c r="CV51" i="6"/>
  <c r="DB51" i="6"/>
  <c r="J74" i="1"/>
  <c r="J60" i="4"/>
  <c r="J61" i="4" s="1"/>
  <c r="BX230" i="6"/>
  <c r="CD230" i="6"/>
  <c r="BP212" i="6"/>
  <c r="BO211" i="6"/>
  <c r="BV212" i="6"/>
  <c r="AY211" i="6"/>
  <c r="AZ212" i="6"/>
  <c r="BF212" i="6"/>
  <c r="CU212" i="6"/>
  <c r="CN230" i="6"/>
  <c r="CT230" i="6"/>
  <c r="K74" i="1" l="1"/>
  <c r="K60" i="4"/>
  <c r="K61" i="4" s="1"/>
  <c r="AY230" i="6"/>
  <c r="AZ211" i="6"/>
  <c r="BF211" i="6"/>
  <c r="BO230" i="6"/>
  <c r="BP211" i="6"/>
  <c r="BV211" i="6"/>
  <c r="CE211" i="6"/>
  <c r="CU211" i="6" s="1"/>
  <c r="CF212" i="6"/>
  <c r="CL212" i="6"/>
  <c r="CV49" i="6"/>
  <c r="DB49" i="6"/>
  <c r="CF49" i="6"/>
  <c r="CL49" i="6"/>
  <c r="CV212" i="6"/>
  <c r="DB212" i="6"/>
  <c r="CV211" i="6" l="1"/>
  <c r="DB211" i="6"/>
  <c r="AZ230" i="6"/>
  <c r="BF230" i="6"/>
  <c r="BP230" i="6"/>
  <c r="BV230" i="6"/>
  <c r="CE230" i="6"/>
  <c r="CU230" i="6" s="1"/>
  <c r="CF211" i="6"/>
  <c r="CL211" i="6"/>
  <c r="L74" i="1"/>
  <c r="L60" i="4"/>
  <c r="L61" i="4" s="1"/>
  <c r="CV230" i="6" l="1"/>
  <c r="DB230" i="6"/>
  <c r="CF230" i="6"/>
  <c r="CL230" i="6"/>
  <c r="M60" i="4"/>
  <c r="M61" i="4" s="1"/>
  <c r="M74" i="1"/>
  <c r="N60" i="4" s="1"/>
  <c r="N6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Татьяна Коротченко</author>
  </authors>
  <commentList>
    <comment ref="H12" authorId="0" shapeId="0" xr:uid="{00000000-0006-0000-04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Татьяна Коротченко:
упаковка</t>
        </r>
      </text>
    </comment>
  </commentList>
</comments>
</file>

<file path=xl/sharedStrings.xml><?xml version="1.0" encoding="utf-8"?>
<sst xmlns="http://schemas.openxmlformats.org/spreadsheetml/2006/main" count="1343" uniqueCount="674">
  <si>
    <t>Наименование статей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</si>
  <si>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</si>
  <si>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</si>
  <si>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</si>
  <si>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</si>
  <si>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</si>
  <si>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</si>
  <si>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</si>
  <si>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</si>
  <si>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</si>
  <si>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</si>
  <si>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</si>
  <si>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</si>
  <si>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</si>
  <si>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Проверка</t>
  </si>
  <si>
    <t>Выручка, всего, в т.ч.</t>
  </si>
  <si>
    <t>зал</t>
  </si>
  <si>
    <t>доставка</t>
  </si>
  <si>
    <t>Доп подразделение (назвать по-своему или пустое)</t>
  </si>
  <si>
    <t>Количество гостей/заказов:</t>
  </si>
  <si>
    <t>Средний чек</t>
  </si>
  <si>
    <t>Себестоимость ИТОГО</t>
  </si>
  <si>
    <t>Себестоимость реализации, всего, в т.ч.</t>
  </si>
  <si>
    <t>Производственные показатели</t>
  </si>
  <si>
    <t>Валовая прибыль</t>
  </si>
  <si>
    <t xml:space="preserve"> % наценки</t>
  </si>
  <si>
    <t>Операционные расходы</t>
  </si>
  <si>
    <t>текущие расходы заведения</t>
  </si>
  <si>
    <t>расходы доставки</t>
  </si>
  <si>
    <t>текущие расходы "Доп.подразделение"</t>
  </si>
  <si>
    <t>Операционная прибыль</t>
  </si>
  <si>
    <t>по основной деятельности</t>
  </si>
  <si>
    <t>Доп.подразделение</t>
  </si>
  <si>
    <t>Неоперационные доходы</t>
  </si>
  <si>
    <t>Неоперационные расходы</t>
  </si>
  <si>
    <t>Расходы служб</t>
  </si>
  <si>
    <t>Налоги</t>
  </si>
  <si>
    <t>Амортизация имущества</t>
  </si>
  <si>
    <t>Благотворительность</t>
  </si>
  <si>
    <t>Инвестиционные проекты</t>
  </si>
  <si>
    <t>Лицензия</t>
  </si>
  <si>
    <t>Проценты по кредитам*</t>
  </si>
  <si>
    <t>Расходы по заготовительному цеху</t>
  </si>
  <si>
    <t>Резервы на ремонт</t>
  </si>
  <si>
    <t>Скидка учредителям 50%</t>
  </si>
  <si>
    <t>Фин.мотивация</t>
  </si>
  <si>
    <t>Чрезвычайная ситуация</t>
  </si>
  <si>
    <t>Чистая прибыль</t>
  </si>
  <si>
    <t xml:space="preserve">Начислено дивидендов </t>
  </si>
  <si>
    <t>Итоговое изменение активов</t>
  </si>
  <si>
    <t>Справочно:</t>
  </si>
  <si>
    <t>Имущество, в т.ч.:</t>
  </si>
  <si>
    <t>Имущество заведения</t>
  </si>
  <si>
    <t>Посуда заведения</t>
  </si>
  <si>
    <t>,</t>
  </si>
  <si>
    <t>Инвестиционные расходы, в т.ч.:</t>
  </si>
  <si>
    <t>Инвестиционные расходы заведения</t>
  </si>
  <si>
    <t>Предоплаты имущества</t>
  </si>
  <si>
    <t>Инвестиционные расходы летней террасы</t>
  </si>
  <si>
    <t>Кредиты, в т.ч.:</t>
  </si>
  <si>
    <t>Возврат вкладов в УК</t>
  </si>
  <si>
    <t>Итого "справочно":</t>
  </si>
  <si>
    <t>Изменение средств в обороте за период</t>
  </si>
  <si>
    <t>Остаток средств в обороте на 01.01.2026 г.</t>
  </si>
  <si>
    <t>Остаток средств в обороте нарастающим итогом:</t>
  </si>
  <si>
    <t>Статьи расходов</t>
  </si>
  <si>
    <t>Код</t>
  </si>
  <si>
    <t>Расходы на персонал</t>
  </si>
  <si>
    <t>00-000406</t>
  </si>
  <si>
    <t>Фонд оплаты труда</t>
  </si>
  <si>
    <t>00-000174</t>
  </si>
  <si>
    <t>01 ЗП Кухня</t>
  </si>
  <si>
    <t>00-000420</t>
  </si>
  <si>
    <t>02 ЗП Зал</t>
  </si>
  <si>
    <t>00-000421</t>
  </si>
  <si>
    <t>03 ЗП Клининг</t>
  </si>
  <si>
    <t>00-000422</t>
  </si>
  <si>
    <t>04 ЗП Прочие</t>
  </si>
  <si>
    <t>00-000423</t>
  </si>
  <si>
    <t>Больничный</t>
  </si>
  <si>
    <t>00-000221</t>
  </si>
  <si>
    <t>Доплаты индивидуальные</t>
  </si>
  <si>
    <t>00-000259</t>
  </si>
  <si>
    <t>Материальная помощь</t>
  </si>
  <si>
    <t>00-000270</t>
  </si>
  <si>
    <t>Отпускные</t>
  </si>
  <si>
    <t>00-000163</t>
  </si>
  <si>
    <t>Пособия</t>
  </si>
  <si>
    <t>00-000250</t>
  </si>
  <si>
    <t>Премии</t>
  </si>
  <si>
    <t>00-000172</t>
  </si>
  <si>
    <t>Налоги ФОТ</t>
  </si>
  <si>
    <t>00-000424</t>
  </si>
  <si>
    <t>Взносы ФОТ</t>
  </si>
  <si>
    <t>00-000425</t>
  </si>
  <si>
    <t>НДФЛ ФОТ</t>
  </si>
  <si>
    <t>00-000069</t>
  </si>
  <si>
    <t>Самозанятые комиссия</t>
  </si>
  <si>
    <t>00-000005</t>
  </si>
  <si>
    <t>Затраты на персонал</t>
  </si>
  <si>
    <t>00-000272</t>
  </si>
  <si>
    <t>Компенсация проезда</t>
  </si>
  <si>
    <t>00-000343</t>
  </si>
  <si>
    <t>Медосмотр сотрудников</t>
  </si>
  <si>
    <t>00-000301</t>
  </si>
  <si>
    <t>Оплата проживания</t>
  </si>
  <si>
    <t>00-000345</t>
  </si>
  <si>
    <t>Питание штата</t>
  </si>
  <si>
    <t>00-000061</t>
  </si>
  <si>
    <t>Подарки сотрудникам</t>
  </si>
  <si>
    <t>00-000025</t>
  </si>
  <si>
    <t>Содержание столовой</t>
  </si>
  <si>
    <t>00-000303</t>
  </si>
  <si>
    <t>Сотовая связь</t>
  </si>
  <si>
    <t>00-000095</t>
  </si>
  <si>
    <t>Спецодежда</t>
  </si>
  <si>
    <t>00-000094</t>
  </si>
  <si>
    <t>Такси</t>
  </si>
  <si>
    <t>00-000080</t>
  </si>
  <si>
    <t>Такси завтраки</t>
  </si>
  <si>
    <t>00-000276</t>
  </si>
  <si>
    <t>Арендные платежи</t>
  </si>
  <si>
    <t>00-000181</t>
  </si>
  <si>
    <t>Аренда алкогольного склада</t>
  </si>
  <si>
    <t>00-000187</t>
  </si>
  <si>
    <t>Аренда гаража</t>
  </si>
  <si>
    <t>00-000298</t>
  </si>
  <si>
    <t>Аренда заведения</t>
  </si>
  <si>
    <t>00-000026</t>
  </si>
  <si>
    <t>Аренда земельного участка</t>
  </si>
  <si>
    <t>00-000348</t>
  </si>
  <si>
    <t>Аренда имущества</t>
  </si>
  <si>
    <t>00-000312</t>
  </si>
  <si>
    <t>Аренда офисов</t>
  </si>
  <si>
    <t>00-000182</t>
  </si>
  <si>
    <t>Аренда парковочных мест</t>
  </si>
  <si>
    <t>00-000332</t>
  </si>
  <si>
    <t>Аренда помещения мусорокамеры (Капитанская 12)</t>
  </si>
  <si>
    <t>00-000193</t>
  </si>
  <si>
    <t>Аренда склада</t>
  </si>
  <si>
    <t>00-000204</t>
  </si>
  <si>
    <t>Аренда склада Гладкова</t>
  </si>
  <si>
    <t>00-000215</t>
  </si>
  <si>
    <t>Аренда цеха</t>
  </si>
  <si>
    <t>00-000203</t>
  </si>
  <si>
    <t>Услуги автопарковки</t>
  </si>
  <si>
    <t>00-000341</t>
  </si>
  <si>
    <t>Коммунальные расходы</t>
  </si>
  <si>
    <t>00-000180</t>
  </si>
  <si>
    <t>Водоснабжение</t>
  </si>
  <si>
    <t>00-000254</t>
  </si>
  <si>
    <t>Вывоз мусора</t>
  </si>
  <si>
    <t>00-000060</t>
  </si>
  <si>
    <t>Коммунальные платежи</t>
  </si>
  <si>
    <t>00-000027</t>
  </si>
  <si>
    <t>Коммунальные расходы офисы</t>
  </si>
  <si>
    <t>00-000257</t>
  </si>
  <si>
    <t>Сброс отходов</t>
  </si>
  <si>
    <t>00-000366</t>
  </si>
  <si>
    <t>Содержание мест общего пользования (эксплуатационные расходы)</t>
  </si>
  <si>
    <t>00-000258</t>
  </si>
  <si>
    <t>Стоки. Водоотведение</t>
  </si>
  <si>
    <t>00-000255</t>
  </si>
  <si>
    <t>Теплоснабжение</t>
  </si>
  <si>
    <t>00-000256</t>
  </si>
  <si>
    <t>Электроэнергия</t>
  </si>
  <si>
    <t>00-000253</t>
  </si>
  <si>
    <t>Прочие ОФР/Деко</t>
  </si>
  <si>
    <t>00-000344</t>
  </si>
  <si>
    <t>HR Маркетинг</t>
  </si>
  <si>
    <t>00-000339</t>
  </si>
  <si>
    <t>00-000329</t>
  </si>
  <si>
    <t>Командировочные расходы</t>
  </si>
  <si>
    <t>00-000074</t>
  </si>
  <si>
    <t>Корпоративные мероприятия</t>
  </si>
  <si>
    <t>00-000293</t>
  </si>
  <si>
    <t>Обучение персонала</t>
  </si>
  <si>
    <t>00-000142</t>
  </si>
  <si>
    <t>Подбор персонала</t>
  </si>
  <si>
    <t>00-000347</t>
  </si>
  <si>
    <t>Развитие насмотренности</t>
  </si>
  <si>
    <t>00-000340</t>
  </si>
  <si>
    <t>Праздники</t>
  </si>
  <si>
    <t>00-000350</t>
  </si>
  <si>
    <t>23 февраля</t>
  </si>
  <si>
    <t>00-000355</t>
  </si>
  <si>
    <t>8 марта</t>
  </si>
  <si>
    <t>00-000354</t>
  </si>
  <si>
    <t>День рождения Беллини</t>
  </si>
  <si>
    <t>00-000353</t>
  </si>
  <si>
    <t>Елка БГ</t>
  </si>
  <si>
    <t>00-000358</t>
  </si>
  <si>
    <t>Новый Год</t>
  </si>
  <si>
    <t>00-000356</t>
  </si>
  <si>
    <t>Транспортные расходы</t>
  </si>
  <si>
    <t>00-000150</t>
  </si>
  <si>
    <t>Амортизация машины экспедитора</t>
  </si>
  <si>
    <t>00-000216</t>
  </si>
  <si>
    <t>Бензин</t>
  </si>
  <si>
    <t>00-000043</t>
  </si>
  <si>
    <t>Содержание а/м</t>
  </si>
  <si>
    <t>00-000140</t>
  </si>
  <si>
    <t>Транспортные расходы текущие</t>
  </si>
  <si>
    <t>00-000089</t>
  </si>
  <si>
    <t>Услуги</t>
  </si>
  <si>
    <t>00-000136</t>
  </si>
  <si>
    <t>Авторское вознаграждение</t>
  </si>
  <si>
    <t>00-000156</t>
  </si>
  <si>
    <t>Агентское вознаграждение</t>
  </si>
  <si>
    <t>00-000179</t>
  </si>
  <si>
    <t>Аренда оборудования</t>
  </si>
  <si>
    <t>00-000317</t>
  </si>
  <si>
    <t>Банковские расходы текущие</t>
  </si>
  <si>
    <t>00-000067</t>
  </si>
  <si>
    <t>Благоустройство</t>
  </si>
  <si>
    <t>00-000313</t>
  </si>
  <si>
    <t>Вентиляция</t>
  </si>
  <si>
    <t>00-000109</t>
  </si>
  <si>
    <t>Ветеринарные исследования</t>
  </si>
  <si>
    <t>00-000300</t>
  </si>
  <si>
    <t>Вознаграждение</t>
  </si>
  <si>
    <t>00-000175</t>
  </si>
  <si>
    <t>Вывоз масла</t>
  </si>
  <si>
    <t>00-000268</t>
  </si>
  <si>
    <t>Госпошлины, разрешительная документация (в т.ч. лицензии), оформление деятельности</t>
  </si>
  <si>
    <t>00-000032</t>
  </si>
  <si>
    <t>Грузчики</t>
  </si>
  <si>
    <t>00-000033</t>
  </si>
  <si>
    <t>Дератизация, дезинсекция</t>
  </si>
  <si>
    <t>00-000072</t>
  </si>
  <si>
    <t>Доставка газет</t>
  </si>
  <si>
    <t>00-000212</t>
  </si>
  <si>
    <t>Интернет, телефония</t>
  </si>
  <si>
    <t>00-000073</t>
  </si>
  <si>
    <t>Консьерж Сервис</t>
  </si>
  <si>
    <t>00-000331</t>
  </si>
  <si>
    <t>Лабораторные исследования</t>
  </si>
  <si>
    <t>00-000164</t>
  </si>
  <si>
    <t>Летняя терраса</t>
  </si>
  <si>
    <t>00-000296</t>
  </si>
  <si>
    <t>Максбонус</t>
  </si>
  <si>
    <t>00-000381</t>
  </si>
  <si>
    <t>Мастер-классы детские</t>
  </si>
  <si>
    <t>00-000011</t>
  </si>
  <si>
    <t>Монтаж/демонтаж летней террасы</t>
  </si>
  <si>
    <t>00-000186</t>
  </si>
  <si>
    <t>Монтажные/демонтажные работы</t>
  </si>
  <si>
    <t>00-000168</t>
  </si>
  <si>
    <t>Мытье окон</t>
  </si>
  <si>
    <t>00-000158</t>
  </si>
  <si>
    <t>Обслуживание инвентаря/посуды</t>
  </si>
  <si>
    <t>00-000314</t>
  </si>
  <si>
    <t>Обучение студентов</t>
  </si>
  <si>
    <t>00-000269</t>
  </si>
  <si>
    <t>Охрана, сигнализация</t>
  </si>
  <si>
    <t>00-000077</t>
  </si>
  <si>
    <t>Правовые системы</t>
  </si>
  <si>
    <t>00-000214</t>
  </si>
  <si>
    <t>Программное обеспечение</t>
  </si>
  <si>
    <t>00-000084</t>
  </si>
  <si>
    <t>Ремонт имущества</t>
  </si>
  <si>
    <t>00-000104</t>
  </si>
  <si>
    <t>Ремонт текущий</t>
  </si>
  <si>
    <t>00-000105</t>
  </si>
  <si>
    <t>Сантехработы</t>
  </si>
  <si>
    <t>00-000245</t>
  </si>
  <si>
    <t>СМС Рассылки</t>
  </si>
  <si>
    <t>00-000394</t>
  </si>
  <si>
    <t>Страхование имущества (страховые взносы)</t>
  </si>
  <si>
    <t>00-000219</t>
  </si>
  <si>
    <t>Строительные работы</t>
  </si>
  <si>
    <t>00-000017</t>
  </si>
  <si>
    <t>Т/о автомобиля</t>
  </si>
  <si>
    <t>00-000160</t>
  </si>
  <si>
    <t>Тайный гость</t>
  </si>
  <si>
    <t>00-000082</t>
  </si>
  <si>
    <t>Телефон</t>
  </si>
  <si>
    <t>00-000081</t>
  </si>
  <si>
    <t>Техническое обслуживание</t>
  </si>
  <si>
    <t>00-000062</t>
  </si>
  <si>
    <t>Трансформация зала, аренда под мероприятия</t>
  </si>
  <si>
    <t>00-000309</t>
  </si>
  <si>
    <t>Уборка</t>
  </si>
  <si>
    <t>00-000152</t>
  </si>
  <si>
    <t>Услуги дизайнера</t>
  </si>
  <si>
    <t>00-000287</t>
  </si>
  <si>
    <t>Услуги комиссионеров</t>
  </si>
  <si>
    <t>00-000162</t>
  </si>
  <si>
    <t>Услуги привлеченных спец-тов</t>
  </si>
  <si>
    <t>00-000057</t>
  </si>
  <si>
    <t>Услуги прочие</t>
  </si>
  <si>
    <t>00-000001</t>
  </si>
  <si>
    <t>Франшизный платеж</t>
  </si>
  <si>
    <t>00-000144</t>
  </si>
  <si>
    <t>Химчистка</t>
  </si>
  <si>
    <t>00-000161</t>
  </si>
  <si>
    <t>Чистка канализации</t>
  </si>
  <si>
    <t>00-000242</t>
  </si>
  <si>
    <t>Чистка ковриков</t>
  </si>
  <si>
    <t>00-000190</t>
  </si>
  <si>
    <t>Электроработы</t>
  </si>
  <si>
    <t>00-000188</t>
  </si>
  <si>
    <t>Хозрасходы</t>
  </si>
  <si>
    <t>00-000134</t>
  </si>
  <si>
    <t>Антиковидные расходы (перчатки, маски, санитайзер)</t>
  </si>
  <si>
    <t>00-000311</t>
  </si>
  <si>
    <t>Бейджи, номерки, таблички, монетницы</t>
  </si>
  <si>
    <t>00-000135</t>
  </si>
  <si>
    <t>Бонусные карты</t>
  </si>
  <si>
    <t>00-000249</t>
  </si>
  <si>
    <t>Бытовая химия</t>
  </si>
  <si>
    <t>00-000071</t>
  </si>
  <si>
    <t>Вода питьевая</t>
  </si>
  <si>
    <t>00-000149</t>
  </si>
  <si>
    <t>Декор</t>
  </si>
  <si>
    <t>00-000137</t>
  </si>
  <si>
    <t>Детская комната (канцелярия, игрушки, браслеты)</t>
  </si>
  <si>
    <t>00-000157</t>
  </si>
  <si>
    <t>Канцелярия</t>
  </si>
  <si>
    <t>00-000063</t>
  </si>
  <si>
    <t>Комплектующие к товарным позициям</t>
  </si>
  <si>
    <t>00-000243</t>
  </si>
  <si>
    <t>Малоценное имущество</t>
  </si>
  <si>
    <t>00-000075</t>
  </si>
  <si>
    <t>Медикаменты</t>
  </si>
  <si>
    <t>00-000076</t>
  </si>
  <si>
    <t>Одноразовые приборы</t>
  </si>
  <si>
    <t>00-000398</t>
  </si>
  <si>
    <t>Почтовые расходы</t>
  </si>
  <si>
    <t>00-000233</t>
  </si>
  <si>
    <t>Расходно-хозяйственные материалы (салфетки, полотенца, бумага, губки, тряпки)</t>
  </si>
  <si>
    <t>00-000244</t>
  </si>
  <si>
    <t>Расходные ленты (принтер чеков, терминал, этикетки)</t>
  </si>
  <si>
    <t>00-000310</t>
  </si>
  <si>
    <t>Салфетки на столы</t>
  </si>
  <si>
    <t>00-000148</t>
  </si>
  <si>
    <t>Сантехматериалы</t>
  </si>
  <si>
    <t>00-000138</t>
  </si>
  <si>
    <t>Сигнализации охранные, пожарные, видеонаблюдение</t>
  </si>
  <si>
    <t>00-000047</t>
  </si>
  <si>
    <t>Система кондиционирования и вентиляции</t>
  </si>
  <si>
    <t>00-000020</t>
  </si>
  <si>
    <t>Списание посуды/имущества</t>
  </si>
  <si>
    <t>00-000092</t>
  </si>
  <si>
    <t>Стройматериалы</t>
  </si>
  <si>
    <t>00-000090</t>
  </si>
  <si>
    <t>Уголь, дрова, газ</t>
  </si>
  <si>
    <t>00-000169</t>
  </si>
  <si>
    <t>Упаковка (посуда однораз., пакеты, коробки, наклейки)</t>
  </si>
  <si>
    <t>00-000088</t>
  </si>
  <si>
    <t>Хоз расходы прочие</t>
  </si>
  <si>
    <t>00-000037</t>
  </si>
  <si>
    <t>Электроматериалы</t>
  </si>
  <si>
    <t>00-000064</t>
  </si>
  <si>
    <t>Прочие расходы</t>
  </si>
  <si>
    <t>00-000185</t>
  </si>
  <si>
    <t>Детский клуб</t>
  </si>
  <si>
    <t>00-000170</t>
  </si>
  <si>
    <t>Материалы/продукты для обучения/мероприятий</t>
  </si>
  <si>
    <t>00-000238</t>
  </si>
  <si>
    <t>Недополученная выручка</t>
  </si>
  <si>
    <t>00-000114</t>
  </si>
  <si>
    <t>Представительские расходы</t>
  </si>
  <si>
    <t>00-000079</t>
  </si>
  <si>
    <t>Прочие текущие расходы</t>
  </si>
  <si>
    <t>00-000086</t>
  </si>
  <si>
    <t>Штрафы</t>
  </si>
  <si>
    <t>00-000383</t>
  </si>
  <si>
    <t>Расходы на маркетинг</t>
  </si>
  <si>
    <t>00-000274</t>
  </si>
  <si>
    <t>Акции и спецпредложения</t>
  </si>
  <si>
    <t>00-000278</t>
  </si>
  <si>
    <t>Блоггеры</t>
  </si>
  <si>
    <t>00-000273</t>
  </si>
  <si>
    <t>Встреча гостей, делегаций</t>
  </si>
  <si>
    <t>00-000333</t>
  </si>
  <si>
    <t>Затраты на расходники для фото/видео сессии</t>
  </si>
  <si>
    <t>00-000321</t>
  </si>
  <si>
    <t>Копирайт материалов\дизайн\услуги отдела производства</t>
  </si>
  <si>
    <t>00-000322</t>
  </si>
  <si>
    <t>Оплата PR агентству</t>
  </si>
  <si>
    <t>00-000323</t>
  </si>
  <si>
    <t>Оплата ведущих и аниматоров</t>
  </si>
  <si>
    <t>00-000324</t>
  </si>
  <si>
    <t>Оплата интернет ресурсов, СМИ</t>
  </si>
  <si>
    <t>00-000246</t>
  </si>
  <si>
    <t>Оплата ПРЕСС ТУРОВ (перелёты, гостиницы и ПР)</t>
  </si>
  <si>
    <t>00-000325</t>
  </si>
  <si>
    <t>Отдел маркетинга (сметы)</t>
  </si>
  <si>
    <t>00-000087</t>
  </si>
  <si>
    <t>Партнерство Маркетинг</t>
  </si>
  <si>
    <t>00-000330</t>
  </si>
  <si>
    <t>Печать POS материалов</t>
  </si>
  <si>
    <t>00-000320</t>
  </si>
  <si>
    <t>Печать меню</t>
  </si>
  <si>
    <t>00-000275</t>
  </si>
  <si>
    <t>Подарки гостям</t>
  </si>
  <si>
    <t>00-000217</t>
  </si>
  <si>
    <t>Производство рекламного контента</t>
  </si>
  <si>
    <t>00-000279</t>
  </si>
  <si>
    <t>Расходы на маркетинг внешних подрядчиков</t>
  </si>
  <si>
    <t>00-000013</t>
  </si>
  <si>
    <t>Реклама</t>
  </si>
  <si>
    <t>00-000103</t>
  </si>
  <si>
    <t>Стандартная сувенирная продукция</t>
  </si>
  <si>
    <t>00-000326</t>
  </si>
  <si>
    <t>Таргетированая\контекстная реклама</t>
  </si>
  <si>
    <t>00-000280</t>
  </si>
  <si>
    <t>Тематическая продукция (спецпроекты)</t>
  </si>
  <si>
    <t>00-000327</t>
  </si>
  <si>
    <t>Бонусы начисленные</t>
  </si>
  <si>
    <t>00-000070</t>
  </si>
  <si>
    <t>Текущие расходы заведения</t>
  </si>
  <si>
    <t>Зарплата доставки</t>
  </si>
  <si>
    <t>00-000118</t>
  </si>
  <si>
    <t>Взносы ФОТ доставки</t>
  </si>
  <si>
    <t>00-000229</t>
  </si>
  <si>
    <t>00-000122</t>
  </si>
  <si>
    <t>НДФЛ ФОТ доставки</t>
  </si>
  <si>
    <t>00-000428</t>
  </si>
  <si>
    <t>Отпускные доставки</t>
  </si>
  <si>
    <t>00-000120</t>
  </si>
  <si>
    <t>Премии доставки</t>
  </si>
  <si>
    <t>00-000342</t>
  </si>
  <si>
    <t>Термосумки</t>
  </si>
  <si>
    <t>00-000123</t>
  </si>
  <si>
    <t>Термосумки приобретение</t>
  </si>
  <si>
    <t>00-000127</t>
  </si>
  <si>
    <t>Термосумки ремонт</t>
  </si>
  <si>
    <t>00-000128</t>
  </si>
  <si>
    <t>Термосумки чистка</t>
  </si>
  <si>
    <t>00-000130</t>
  </si>
  <si>
    <t>Расходы на доставку</t>
  </si>
  <si>
    <t>00-000124</t>
  </si>
  <si>
    <t>Бензин доставки</t>
  </si>
  <si>
    <t>00-000119</t>
  </si>
  <si>
    <t>Вознаграждение курьерам</t>
  </si>
  <si>
    <t>00-000426</t>
  </si>
  <si>
    <t>Комиссия СМЗ и налоги курьеров</t>
  </si>
  <si>
    <t>00-000427</t>
  </si>
  <si>
    <t>Услуги доставки</t>
  </si>
  <si>
    <t>00-000155</t>
  </si>
  <si>
    <t>Банковские расходы доставки</t>
  </si>
  <si>
    <t>00-000141</t>
  </si>
  <si>
    <t>Банковские расходы Интернет-Эквайринг</t>
  </si>
  <si>
    <t>00-000199</t>
  </si>
  <si>
    <t>Канцтовары доставки</t>
  </si>
  <si>
    <t>00-000115</t>
  </si>
  <si>
    <t>Программное обеспечение доставки</t>
  </si>
  <si>
    <t>00-000159</t>
  </si>
  <si>
    <t>Прочие расходы доставки</t>
  </si>
  <si>
    <t>00-000117</t>
  </si>
  <si>
    <t>Расходы службы "Горячая ДОСТАВКА"</t>
  </si>
  <si>
    <t>00-000230</t>
  </si>
  <si>
    <t>Спецодежда доставки</t>
  </si>
  <si>
    <t>00-000129</t>
  </si>
  <si>
    <t>Такси доставки</t>
  </si>
  <si>
    <t>00-000116</t>
  </si>
  <si>
    <t>Упаковка доставки</t>
  </si>
  <si>
    <t>00-000126</t>
  </si>
  <si>
    <t>Расходы доставки</t>
  </si>
  <si>
    <t>00-000096</t>
  </si>
  <si>
    <t>Алкогольный отдел</t>
  </si>
  <si>
    <t>00-000194</t>
  </si>
  <si>
    <t>Веб поддержка</t>
  </si>
  <si>
    <t>00-000399</t>
  </si>
  <si>
    <t>ИТ отдел</t>
  </si>
  <si>
    <t>00-000228</t>
  </si>
  <si>
    <t>Кадры отдел</t>
  </si>
  <si>
    <t>00-000400</t>
  </si>
  <si>
    <t>Логисты отдел</t>
  </si>
  <si>
    <t>00-000099</t>
  </si>
  <si>
    <t>Развитие сайта</t>
  </si>
  <si>
    <t>00-000395</t>
  </si>
  <si>
    <t>Расходы по HR отделу</t>
  </si>
  <si>
    <t>00-000100</t>
  </si>
  <si>
    <t>Содержание СК</t>
  </si>
  <si>
    <t>00-000106</t>
  </si>
  <si>
    <t>Техотдел</t>
  </si>
  <si>
    <t>00-000102</t>
  </si>
  <si>
    <t>Техподдержка сайта и мобильного приложения</t>
  </si>
  <si>
    <t>00-000393</t>
  </si>
  <si>
    <t>Услуги по управлению</t>
  </si>
  <si>
    <t>00-000263</t>
  </si>
  <si>
    <t>Юридический отдел</t>
  </si>
  <si>
    <t>00-000405</t>
  </si>
  <si>
    <t>00-000173</t>
  </si>
  <si>
    <t>Земельный налог</t>
  </si>
  <si>
    <t>00-000299</t>
  </si>
  <si>
    <t>Налог на имущество</t>
  </si>
  <si>
    <t>00-000349</t>
  </si>
  <si>
    <t>Налог на прибыль</t>
  </si>
  <si>
    <t>00-000369</t>
  </si>
  <si>
    <t>Налог по ИП, фикс. платеж</t>
  </si>
  <si>
    <t>00-000191</t>
  </si>
  <si>
    <t>Налог УСН</t>
  </si>
  <si>
    <t>00-000006</t>
  </si>
  <si>
    <t>Налоги прочие</t>
  </si>
  <si>
    <t>00-000419</t>
  </si>
  <si>
    <t>Налоги с дивидендов/вкладов собственников</t>
  </si>
  <si>
    <t>00-000236</t>
  </si>
  <si>
    <t>Патент</t>
  </si>
  <si>
    <t>00-000390</t>
  </si>
  <si>
    <t>НДС</t>
  </si>
  <si>
    <t>00-000368</t>
  </si>
  <si>
    <t>00-000093</t>
  </si>
  <si>
    <t>00-000083</t>
  </si>
  <si>
    <t>00-000260</t>
  </si>
  <si>
    <t>00-000176</t>
  </si>
  <si>
    <t>00-000012</t>
  </si>
  <si>
    <t>00-000101</t>
  </si>
  <si>
    <t>00-000386</t>
  </si>
  <si>
    <t>00-000218</t>
  </si>
  <si>
    <t>Финмотивация</t>
  </si>
  <si>
    <t>00-000234</t>
  </si>
  <si>
    <t>00-000220</t>
  </si>
  <si>
    <t>00-000271</t>
  </si>
  <si>
    <t>Производственные издержки Бар</t>
  </si>
  <si>
    <t>00-000408</t>
  </si>
  <si>
    <t>Бракераж бар</t>
  </si>
  <si>
    <t>00-000414</t>
  </si>
  <si>
    <t>Дегустация бар</t>
  </si>
  <si>
    <t>00-000415</t>
  </si>
  <si>
    <t>Излишки бар</t>
  </si>
  <si>
    <t>00-000401</t>
  </si>
  <si>
    <t>Недостача бар</t>
  </si>
  <si>
    <t>00-000404</t>
  </si>
  <si>
    <t>Проработка бар</t>
  </si>
  <si>
    <t>00-000410</t>
  </si>
  <si>
    <t>Списание продуктов бар</t>
  </si>
  <si>
    <t>00-000411</t>
  </si>
  <si>
    <t>Производственные издержки Кухня</t>
  </si>
  <si>
    <t>00-000407</t>
  </si>
  <si>
    <t>Бракераж кухня</t>
  </si>
  <si>
    <t>00-000413</t>
  </si>
  <si>
    <t>Дегустация кухня</t>
  </si>
  <si>
    <t>00-000416</t>
  </si>
  <si>
    <t>Излишки кухня</t>
  </si>
  <si>
    <t>00-000402</t>
  </si>
  <si>
    <t>Недостача кухня</t>
  </si>
  <si>
    <t>00-000403</t>
  </si>
  <si>
    <t>Проработка кухня</t>
  </si>
  <si>
    <t>00-000085</t>
  </si>
  <si>
    <t>Списание продуктов кухня</t>
  </si>
  <si>
    <t>00-000091</t>
  </si>
  <si>
    <t>Хлеб</t>
  </si>
  <si>
    <t>00-000178</t>
  </si>
  <si>
    <t>Производственные издержки общие</t>
  </si>
  <si>
    <t>00-000409</t>
  </si>
  <si>
    <t>Недовольный гость</t>
  </si>
  <si>
    <t>00-000417</t>
  </si>
  <si>
    <t>Прочая себестоимость</t>
  </si>
  <si>
    <t>00-000418</t>
  </si>
  <si>
    <t>Списание ГП по приказу</t>
  </si>
  <si>
    <t>00-000248</t>
  </si>
  <si>
    <t>00-000151</t>
  </si>
  <si>
    <t>Валовый доход</t>
  </si>
  <si>
    <t>Кол-во заказов</t>
  </si>
  <si>
    <t>Бонусы</t>
  </si>
  <si>
    <t>ЗП</t>
  </si>
  <si>
    <t>Налоги с ЗП</t>
  </si>
  <si>
    <t>Транспорт</t>
  </si>
  <si>
    <t>Колл-центр</t>
  </si>
  <si>
    <t>УК</t>
  </si>
  <si>
    <t>упаковка</t>
  </si>
  <si>
    <t>Марж.прибыль</t>
  </si>
  <si>
    <t>Марж.рентабельность</t>
  </si>
  <si>
    <t>Расходы всего</t>
  </si>
  <si>
    <t>Сумма расходов заведения</t>
  </si>
  <si>
    <t>Аренда.</t>
  </si>
  <si>
    <t>Коммунальные</t>
  </si>
  <si>
    <t>Произв.показатели</t>
  </si>
  <si>
    <t>Разовые расходы</t>
  </si>
  <si>
    <t>Проверка1</t>
  </si>
  <si>
    <t>Вспомогательные цеха</t>
  </si>
  <si>
    <t>в т.ч. ЗП доставки</t>
  </si>
  <si>
    <t>Всего расходы</t>
  </si>
  <si>
    <t>Аренда, в т.ч.</t>
  </si>
  <si>
    <t>Коммунальные платежи, в т.ч.</t>
  </si>
  <si>
    <t>Заработная плата, в т.ч.</t>
  </si>
  <si>
    <t>Налоги, в т.ч.</t>
  </si>
  <si>
    <t>Производственные показатели, в т.ч.</t>
  </si>
  <si>
    <t>Расходы на маркетинг:</t>
  </si>
  <si>
    <t>Расходы подразделения доставки, итого:</t>
  </si>
  <si>
    <t>Заработная плата доставки, в т.ч.</t>
  </si>
  <si>
    <t>Услуги, в т.ч.</t>
  </si>
  <si>
    <t>Текущие расходы доп. Подразделение</t>
  </si>
  <si>
    <t>в т.ч. Прочие расходы доставки</t>
  </si>
  <si>
    <t>Проверка2</t>
  </si>
  <si>
    <t>Финрез всего</t>
  </si>
  <si>
    <t>Проверка3</t>
  </si>
  <si>
    <t>Финрез заведения</t>
  </si>
  <si>
    <t>Финрез доставки</t>
  </si>
  <si>
    <t>Проверка4</t>
  </si>
  <si>
    <t>Расходы вспомогательных отделов</t>
  </si>
  <si>
    <t>Доп. доходы - Вознаграждение от поставщиков</t>
  </si>
  <si>
    <t>Расходы вспомогательных отделов:</t>
  </si>
  <si>
    <t>Вознаграждение от поставщиков</t>
  </si>
  <si>
    <t>Актив</t>
  </si>
  <si>
    <t>Текущие активы</t>
  </si>
  <si>
    <t>руб.</t>
  </si>
  <si>
    <t>Б/нал</t>
  </si>
  <si>
    <t>Подотчеты</t>
  </si>
  <si>
    <t>Покупатели</t>
  </si>
  <si>
    <t>Бонусный счет</t>
  </si>
  <si>
    <t>Запасы (товары на складе)</t>
  </si>
  <si>
    <t>Итого по разделу №1</t>
  </si>
  <si>
    <t>Внеоборотные активы</t>
  </si>
  <si>
    <t>Инвестиционные расходы</t>
  </si>
  <si>
    <t>Имущество</t>
  </si>
  <si>
    <t>Итого по разделу №2</t>
  </si>
  <si>
    <t>Баланс</t>
  </si>
  <si>
    <t>Пассив</t>
  </si>
  <si>
    <t>Привлеченный капитал</t>
  </si>
  <si>
    <t>Кредиторы БГ (67сч)</t>
  </si>
  <si>
    <t>Займы персоналу (73сч)</t>
  </si>
  <si>
    <t>Поставщик продуктов</t>
  </si>
  <si>
    <t>Расчеты с поставщиками хозтоваров и услуг</t>
  </si>
  <si>
    <t>Расчеты с бюджетом</t>
  </si>
  <si>
    <t>Зарплата персонала</t>
  </si>
  <si>
    <t>Прочие дебиторы, кредиторы</t>
  </si>
  <si>
    <t>Займы внутренние</t>
  </si>
  <si>
    <t>Расчеты по кредитам и займам</t>
  </si>
  <si>
    <t>Расчеты с учред.(взносы в УК)</t>
  </si>
  <si>
    <t>Собственный капитал</t>
  </si>
  <si>
    <t>Фонды собственных средств</t>
  </si>
  <si>
    <t>Изменение собственных средств</t>
  </si>
  <si>
    <t>Изменение активов:</t>
  </si>
  <si>
    <t>Справочно:Отчет о фин. рез. "Итоговое изменение активов"</t>
  </si>
  <si>
    <t>Имущество баланс</t>
  </si>
  <si>
    <t>Имущество фин.рез</t>
  </si>
  <si>
    <t>Инвестици баланс</t>
  </si>
  <si>
    <t>Инвестиции, финрез</t>
  </si>
  <si>
    <t>Возврат взносов УК, баланс</t>
  </si>
  <si>
    <t>Возврат взносов УК, финрез</t>
  </si>
  <si>
    <t>Средства, реально располагаемые в обороте</t>
  </si>
  <si>
    <t>без учета бонусного и расчетов с учредителями</t>
  </si>
  <si>
    <t>Средства в обороте, баланс</t>
  </si>
  <si>
    <t>Средства в обороте, финрез</t>
  </si>
  <si>
    <t>Бенедикт</t>
  </si>
  <si>
    <t>Выручка</t>
  </si>
  <si>
    <t>Зал</t>
  </si>
  <si>
    <t>Кухня</t>
  </si>
  <si>
    <t>Бар</t>
  </si>
  <si>
    <t>Доставка</t>
  </si>
  <si>
    <t>Себестоимость</t>
  </si>
  <si>
    <t>Товарный запас</t>
  </si>
  <si>
    <t>Склад</t>
  </si>
  <si>
    <t>Излишки</t>
  </si>
  <si>
    <t>Недостачи</t>
  </si>
  <si>
    <t>Излишки, % от себеса</t>
  </si>
  <si>
    <t>Недостачи, % от себеса</t>
  </si>
  <si>
    <t>Фудкост</t>
  </si>
  <si>
    <t>проверка Выр</t>
  </si>
  <si>
    <t>Проверка себес</t>
  </si>
  <si>
    <t>Проверка ТЗ</t>
  </si>
  <si>
    <t>Себес</t>
  </si>
  <si>
    <t>Наценка</t>
  </si>
  <si>
    <t>ТЗ</t>
  </si>
  <si>
    <t>Оборачиваемость ТЗ</t>
  </si>
  <si>
    <t>год</t>
  </si>
  <si>
    <t>Доля в выручке</t>
  </si>
  <si>
    <t>DjTe3{Q}</t>
  </si>
  <si>
    <t>ГОД</t>
  </si>
  <si>
    <t>факт</t>
  </si>
  <si>
    <t>доля к Выр, %</t>
  </si>
  <si>
    <t>план</t>
  </si>
  <si>
    <t>Доля к Выр, %</t>
  </si>
  <si>
    <t>Факт/План, %</t>
  </si>
  <si>
    <t>26/25, %</t>
  </si>
  <si>
    <t xml:space="preserve"> Бонусы начисленные</t>
  </si>
  <si>
    <t>расходы службы доставки</t>
  </si>
  <si>
    <t>Неоперационные расходы-доходы</t>
  </si>
  <si>
    <t>Доп. доходы прочие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</si>
</sst>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₽&quot;_-;\-* #,##0.00\ &quot;₽&quot;_-;_-* &quot;-&quot;??\ &quot;₽&quot;_-;_-@_-"/>
    <numFmt numFmtId="164" formatCode="[$-419]General"/>
    <numFmt numFmtId="165" formatCode="#,##0.00_р_."/>
    <numFmt numFmtId="166" formatCode="#,##0.0_р_."/>
    <numFmt numFmtId="167" formatCode="_-* #,##0.00\ _₽_-;\-* #,##0.00\ _₽_-;_-* &quot;-&quot;??\ _₽_-;_-@_-"/>
    <numFmt numFmtId="168" formatCode="#,##0_р_."/>
    <numFmt numFmtId="169" formatCode="#,##0.0"/>
    <numFmt numFmtId="170" formatCode="_-* #,##0.0\ _₽_-;\-* #,##0.0\ _₽_-;_-* &quot;-&quot;??\ _₽_-;_-@_-"/>
    <numFmt numFmtId="171" formatCode="_-* #,##0\ _₽_-;\-* #,##0\ _₽_-;_-* &quot;-&quot;??\ _₽_-;_-@_-"/>
    <numFmt numFmtId="172" formatCode="dd\.mm\.yyyy"/>
    <numFmt numFmtId="173" formatCode="#,##0.00&quot;   &quot;"/>
    <numFmt numFmtId="174" formatCode="0.0%"/>
    <numFmt numFmtId="175" formatCode="#,##0.000_р_."/>
  </numFmts>
  <fonts count="98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</font>
    <font>
      <b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1"/>
      <color indexed="8"/>
      <name val="Times New Roman1"/>
      <charset val="204"/>
    </font>
    <font>
      <sz val="12"/>
      <color indexed="8"/>
      <name val="Times New Roman1"/>
      <charset val="204"/>
    </font>
    <font>
      <b/>
      <i/>
      <sz val="12"/>
      <color indexed="8"/>
      <name val="Times New Roman1"/>
      <charset val="204"/>
    </font>
    <font>
      <b/>
      <sz val="12"/>
      <color indexed="8"/>
      <name val="Times New Roman1"/>
      <charset val="204"/>
    </font>
    <font>
      <sz val="11"/>
      <color indexed="8"/>
      <name val="Times New Roman1"/>
      <charset val="204"/>
    </font>
    <font>
      <b/>
      <u/>
      <sz val="12"/>
      <color indexed="8"/>
      <name val="Times New Roman1"/>
      <charset val="204"/>
    </font>
    <font>
      <sz val="10"/>
      <color indexed="8"/>
      <name val="Arial1"/>
      <charset val="204"/>
    </font>
    <font>
      <sz val="12"/>
      <name val="Times New Roman"/>
      <family val="1"/>
      <charset val="1"/>
    </font>
    <font>
      <sz val="11"/>
      <color theme="1"/>
      <name val="Calibri"/>
      <family val="2"/>
      <charset val="204"/>
      <scheme val="minor"/>
    </font>
    <font>
      <u/>
      <sz val="12"/>
      <name val="Times New Roman1"/>
      <charset val="204"/>
    </font>
    <font>
      <sz val="11"/>
      <color indexed="8"/>
      <name val="Arial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color indexed="16"/>
      <name val="Arial"/>
      <family val="2"/>
      <charset val="204"/>
    </font>
    <font>
      <b/>
      <sz val="10"/>
      <color indexed="9"/>
      <name val="Arial"/>
      <family val="2"/>
      <charset val="204"/>
    </font>
    <font>
      <i/>
      <sz val="10"/>
      <color indexed="23"/>
      <name val="Arial"/>
      <family val="2"/>
      <charset val="204"/>
    </font>
    <font>
      <sz val="10"/>
      <color indexed="17"/>
      <name val="Arial"/>
      <family val="2"/>
      <charset val="204"/>
    </font>
    <font>
      <b/>
      <sz val="24"/>
      <color indexed="8"/>
      <name val="Arial"/>
      <family val="2"/>
      <charset val="204"/>
    </font>
    <font>
      <sz val="18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i/>
      <sz val="16"/>
      <color indexed="8"/>
      <name val="Arial"/>
      <family val="2"/>
      <charset val="204"/>
    </font>
    <font>
      <sz val="10"/>
      <color indexed="19"/>
      <name val="Arial"/>
      <family val="2"/>
      <charset val="204"/>
    </font>
    <font>
      <sz val="10"/>
      <color indexed="63"/>
      <name val="Arial"/>
      <family val="2"/>
      <charset val="204"/>
    </font>
    <font>
      <b/>
      <i/>
      <u/>
      <sz val="11"/>
      <color indexed="8"/>
      <name val="Arial"/>
      <family val="2"/>
      <charset val="204"/>
    </font>
    <font>
      <sz val="10"/>
      <color indexed="8"/>
      <name val="Arial Cyr"/>
      <family val="2"/>
      <charset val="204"/>
    </font>
    <font>
      <sz val="10"/>
      <name val="Arial Cyr"/>
      <family val="2"/>
      <charset val="1"/>
    </font>
    <font>
      <b/>
      <sz val="11"/>
      <color theme="0" tint="-0.34998626667073579"/>
      <name val="Times New Roman"/>
      <family val="1"/>
      <charset val="204"/>
    </font>
    <font>
      <sz val="10"/>
      <color theme="0" tint="-0.34998626667073579"/>
      <name val="Arial"/>
      <family val="2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Arial"/>
      <family val="2"/>
      <charset val="204"/>
    </font>
    <font>
      <b/>
      <sz val="14"/>
      <name val="Times New Roman"/>
      <family val="1"/>
      <charset val="204"/>
    </font>
    <font>
      <b/>
      <sz val="14"/>
      <color theme="0" tint="-0.34998626667073579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color theme="0" tint="-0.34998626667073579"/>
      <name val="Times New Roman"/>
      <family val="1"/>
      <charset val="204"/>
    </font>
    <font>
      <sz val="14"/>
      <color theme="0" tint="-0.34998626667073579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0" tint="-0.34998626667073579"/>
      <name val="Calibri"/>
      <family val="2"/>
      <charset val="204"/>
    </font>
    <font>
      <sz val="11"/>
      <color theme="0" tint="-0.34998626667073579"/>
      <name val="Times New Roman1"/>
      <charset val="204"/>
    </font>
    <font>
      <sz val="12"/>
      <color theme="0" tint="-0.34998626667073579"/>
      <name val="Times New Roman1"/>
      <charset val="204"/>
    </font>
    <font>
      <b/>
      <sz val="14"/>
      <color indexed="8"/>
      <name val="Times New Roman1"/>
      <charset val="204"/>
    </font>
    <font>
      <sz val="14"/>
      <color indexed="8"/>
      <name val="Calibri"/>
      <family val="2"/>
      <charset val="204"/>
    </font>
    <font>
      <b/>
      <i/>
      <sz val="14"/>
      <name val="Times New Roman"/>
      <family val="1"/>
      <charset val="1"/>
    </font>
    <font>
      <sz val="10"/>
      <color theme="0" tint="-0.34998626667073579"/>
      <name val="Arial1"/>
      <charset val="204"/>
    </font>
    <font>
      <b/>
      <sz val="16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sz val="10"/>
      <color rgb="FF0070C0"/>
      <name val="Arial"/>
      <family val="2"/>
      <charset val="204"/>
    </font>
    <font>
      <sz val="12"/>
      <name val="Times New Roman1"/>
      <charset val="204"/>
    </font>
    <font>
      <b/>
      <u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color rgb="FF0070C0"/>
      <name val="Arial"/>
      <family val="2"/>
    </font>
    <font>
      <u/>
      <sz val="10"/>
      <color indexed="8"/>
      <name val="Arial1"/>
      <charset val="204"/>
    </font>
    <font>
      <sz val="10"/>
      <name val="Times New Roman1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12"/>
      <color theme="0" tint="-0.34998626667073579"/>
      <name val="Arial"/>
      <family val="2"/>
      <charset val="204"/>
    </font>
    <font>
      <sz val="10"/>
      <color indexed="8"/>
      <name val="Times New Roman1"/>
      <charset val="204"/>
    </font>
    <font>
      <b/>
      <sz val="10"/>
      <color theme="1"/>
      <name val="Times New Roman"/>
      <family val="1"/>
      <charset val="204"/>
    </font>
    <font>
      <sz val="14"/>
      <color indexed="8"/>
      <name val="Times New Roman1"/>
      <charset val="204"/>
    </font>
    <font>
      <b/>
      <sz val="10"/>
      <color indexed="8"/>
      <name val="Times New Roman1"/>
      <charset val="204"/>
    </font>
    <font>
      <b/>
      <i/>
      <sz val="10"/>
      <color indexed="8"/>
      <name val="Times New Roman1"/>
      <charset val="204"/>
    </font>
    <font>
      <b/>
      <sz val="12"/>
      <name val="Times New Roman1"/>
      <charset val="204"/>
    </font>
    <font>
      <b/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8"/>
      <name val="Arial"/>
      <family val="2"/>
    </font>
    <font>
      <sz val="9"/>
      <name val="Arial"/>
      <family val="2"/>
      <charset val="204"/>
    </font>
    <font>
      <sz val="9"/>
      <name val="Arial"/>
      <family val="2"/>
      <charset val="204"/>
    </font>
    <font>
      <sz val="9"/>
      <color indexed="21"/>
      <name val="Arial"/>
      <family val="2"/>
      <charset val="204"/>
    </font>
    <font>
      <sz val="9"/>
      <color indexed="10"/>
      <name val="Arial"/>
      <family val="2"/>
      <charset val="204"/>
    </font>
    <font>
      <b/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name val="Arial"/>
    </font>
  </fonts>
  <fills count="4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47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  <fill>
      <patternFill patternType="solid">
        <fgColor indexed="27"/>
        <bgColor indexed="47"/>
      </patternFill>
    </fill>
    <fill>
      <patternFill patternType="solid">
        <fgColor indexed="16"/>
        <bgColor indexed="10"/>
      </patternFill>
    </fill>
    <fill>
      <patternFill patternType="solid">
        <fgColor indexed="42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26"/>
      </patternFill>
    </fill>
    <fill>
      <patternFill patternType="solid">
        <fgColor theme="9" tint="0.79998168889431442"/>
        <bgColor indexed="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22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63">
    <xf numFmtId="164" fontId="0" fillId="0" borderId="0"/>
    <xf numFmtId="164" fontId="9" fillId="0" borderId="0"/>
    <xf numFmtId="164" fontId="11" fillId="0" borderId="0"/>
    <xf numFmtId="164" fontId="11" fillId="0" borderId="0"/>
    <xf numFmtId="164" fontId="11" fillId="0" borderId="0"/>
    <xf numFmtId="164" fontId="20" fillId="0" borderId="0"/>
    <xf numFmtId="167" fontId="22" fillId="0" borderId="0"/>
    <xf numFmtId="164" fontId="9" fillId="0" borderId="0"/>
    <xf numFmtId="44" fontId="22" fillId="0" borderId="0"/>
    <xf numFmtId="164" fontId="24" fillId="0" borderId="0"/>
    <xf numFmtId="164" fontId="26" fillId="0" borderId="0"/>
    <xf numFmtId="164" fontId="27" fillId="15" borderId="0"/>
    <xf numFmtId="164" fontId="27" fillId="16" borderId="0"/>
    <xf numFmtId="164" fontId="26" fillId="17" borderId="0"/>
    <xf numFmtId="164" fontId="28" fillId="18" borderId="0"/>
    <xf numFmtId="164" fontId="29" fillId="19" borderId="0"/>
    <xf numFmtId="164" fontId="39" fillId="0" borderId="0"/>
    <xf numFmtId="164" fontId="40" fillId="0" borderId="0"/>
    <xf numFmtId="164" fontId="30" fillId="0" borderId="0"/>
    <xf numFmtId="164" fontId="31" fillId="20" borderId="0"/>
    <xf numFmtId="164" fontId="32" fillId="0" borderId="0"/>
    <xf numFmtId="164" fontId="33" fillId="0" borderId="0"/>
    <xf numFmtId="164" fontId="34" fillId="0" borderId="0"/>
    <xf numFmtId="164" fontId="35" fillId="0" borderId="0">
      <alignment horizontal="center" textRotation="90"/>
    </xf>
    <xf numFmtId="164" fontId="36" fillId="21" borderId="0"/>
    <xf numFmtId="164" fontId="37" fillId="21" borderId="10"/>
    <xf numFmtId="164" fontId="38" fillId="0" borderId="0"/>
    <xf numFmtId="164" fontId="38" fillId="0" borderId="0"/>
    <xf numFmtId="164" fontId="24" fillId="0" borderId="0"/>
    <xf numFmtId="164" fontId="24" fillId="0" borderId="0"/>
    <xf numFmtId="164" fontId="28" fillId="0" borderId="0"/>
    <xf numFmtId="44" fontId="25" fillId="0" borderId="0"/>
    <xf numFmtId="164" fontId="22" fillId="0" borderId="0"/>
    <xf numFmtId="164" fontId="25" fillId="0" borderId="0"/>
    <xf numFmtId="167" fontId="25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164" fontId="11" fillId="0" borderId="0"/>
    <xf numFmtId="167" fontId="22" fillId="0" borderId="0"/>
    <xf numFmtId="44" fontId="22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44" fontId="25" fillId="0" borderId="0"/>
    <xf numFmtId="167" fontId="25" fillId="0" borderId="0"/>
    <xf numFmtId="9" fontId="22" fillId="0" borderId="0"/>
    <xf numFmtId="0" fontId="8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</cellStyleXfs>
  <cellXfs count="527">
    <xf numFmtId="164" fontId="0" fillId="0" borderId="0" xfId="0"/>
    <xf numFmtId="165" fontId="2" fillId="0" borderId="0" xfId="0" applyNumberFormat="1" applyFont="1"/>
    <xf numFmtId="49" fontId="16" fillId="11" borderId="5" xfId="2" applyNumberFormat="1" applyFont="1" applyFill="1" applyBorder="1" applyProtection="1">
      <protection locked="0"/>
    </xf>
    <xf numFmtId="49" fontId="11" fillId="0" borderId="0" xfId="2" applyNumberFormat="1"/>
    <xf numFmtId="4" fontId="62" fillId="0" borderId="5" xfId="3" applyNumberFormat="1" applyFont="1" applyBorder="1" applyAlignment="1">
      <alignment horizontal="center"/>
    </xf>
    <xf numFmtId="4" fontId="63" fillId="0" borderId="5" xfId="3" applyNumberFormat="1" applyFont="1" applyBorder="1" applyAlignment="1">
      <alignment horizontal="center"/>
    </xf>
    <xf numFmtId="4" fontId="64" fillId="0" borderId="0" xfId="3" applyNumberFormat="1" applyFont="1"/>
    <xf numFmtId="9" fontId="11" fillId="0" borderId="0" xfId="56" applyFont="1"/>
    <xf numFmtId="17" fontId="66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69" fillId="0" borderId="12" xfId="0" applyNumberFormat="1" applyFont="1" applyBorder="1" applyAlignment="1">
      <alignment vertical="center" wrapText="1"/>
    </xf>
    <xf numFmtId="0" fontId="0" fillId="0" borderId="12" xfId="0" applyNumberFormat="1" applyBorder="1" applyAlignment="1">
      <alignment vertical="center" wrapText="1"/>
    </xf>
    <xf numFmtId="0" fontId="70" fillId="0" borderId="12" xfId="0" applyNumberFormat="1" applyFont="1" applyBorder="1" applyAlignment="1">
      <alignment vertical="center" wrapText="1"/>
    </xf>
    <xf numFmtId="0" fontId="69" fillId="0" borderId="0" xfId="0" applyNumberFormat="1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70" fillId="0" borderId="0" xfId="0" applyNumberFormat="1" applyFont="1" applyAlignment="1">
      <alignment vertical="center" wrapText="1"/>
    </xf>
    <xf numFmtId="4" fontId="2" fillId="0" borderId="0" xfId="0" applyNumberFormat="1" applyFont="1"/>
    <xf numFmtId="4" fontId="63" fillId="0" borderId="11" xfId="3" applyNumberFormat="1" applyFont="1" applyBorder="1" applyAlignment="1">
      <alignment horizontal="center"/>
    </xf>
    <xf numFmtId="4" fontId="63" fillId="0" borderId="15" xfId="3" applyNumberFormat="1" applyFont="1" applyBorder="1" applyAlignment="1">
      <alignment horizontal="center"/>
    </xf>
    <xf numFmtId="4" fontId="0" fillId="31" borderId="0" xfId="0" applyNumberFormat="1" applyFill="1"/>
    <xf numFmtId="9" fontId="0" fillId="0" borderId="0" xfId="56" applyFont="1"/>
    <xf numFmtId="3" fontId="6" fillId="2" borderId="2" xfId="1" applyNumberFormat="1" applyFont="1" applyFill="1" applyBorder="1" applyAlignment="1">
      <alignment horizontal="center" vertical="center"/>
    </xf>
    <xf numFmtId="49" fontId="14" fillId="8" borderId="8" xfId="1" applyNumberFormat="1" applyFont="1" applyFill="1" applyBorder="1" applyAlignment="1">
      <alignment horizontal="center" vertical="center"/>
    </xf>
    <xf numFmtId="4" fontId="66" fillId="31" borderId="0" xfId="0" applyNumberFormat="1" applyFont="1" applyFill="1"/>
    <xf numFmtId="49" fontId="15" fillId="0" borderId="5" xfId="2" applyNumberFormat="1" applyFont="1" applyBorder="1" applyAlignment="1" applyProtection="1">
      <alignment horizontal="left"/>
      <protection locked="0"/>
    </xf>
    <xf numFmtId="49" fontId="15" fillId="0" borderId="9" xfId="2" applyNumberFormat="1" applyFont="1" applyBorder="1" applyAlignment="1" applyProtection="1">
      <alignment horizontal="left"/>
      <protection locked="0"/>
    </xf>
    <xf numFmtId="49" fontId="16" fillId="11" borderId="5" xfId="2" applyNumberFormat="1" applyFont="1" applyFill="1" applyBorder="1" applyAlignment="1">
      <alignment horizontal="left"/>
    </xf>
    <xf numFmtId="49" fontId="15" fillId="0" borderId="5" xfId="2" applyNumberFormat="1" applyFont="1" applyBorder="1" applyAlignment="1" applyProtection="1">
      <alignment horizontal="left" wrapText="1"/>
      <protection locked="0"/>
    </xf>
    <xf numFmtId="49" fontId="61" fillId="0" borderId="5" xfId="2" applyNumberFormat="1" applyFont="1" applyBorder="1" applyAlignment="1" applyProtection="1">
      <alignment horizontal="left"/>
      <protection locked="0"/>
    </xf>
    <xf numFmtId="49" fontId="15" fillId="32" borderId="5" xfId="2" applyNumberFormat="1" applyFont="1" applyFill="1" applyBorder="1" applyAlignment="1" applyProtection="1">
      <alignment horizontal="left"/>
      <protection locked="0"/>
    </xf>
    <xf numFmtId="49" fontId="11" fillId="0" borderId="0" xfId="2" applyNumberFormat="1" applyAlignment="1">
      <alignment horizontal="left"/>
    </xf>
    <xf numFmtId="49" fontId="16" fillId="0" borderId="5" xfId="2" applyNumberFormat="1" applyFont="1" applyBorder="1" applyAlignment="1" applyProtection="1">
      <alignment horizontal="left"/>
      <protection locked="0"/>
    </xf>
    <xf numFmtId="3" fontId="6" fillId="2" borderId="16" xfId="1" applyNumberFormat="1" applyFont="1" applyFill="1" applyBorder="1" applyAlignment="1">
      <alignment horizontal="center" vertical="center"/>
    </xf>
    <xf numFmtId="3" fontId="6" fillId="2" borderId="16" xfId="1" applyNumberFormat="1" applyFont="1" applyFill="1" applyBorder="1" applyAlignment="1">
      <alignment horizontal="center" vertical="center" wrapText="1"/>
    </xf>
    <xf numFmtId="10" fontId="8" fillId="0" borderId="1" xfId="0" applyNumberFormat="1" applyFont="1" applyBorder="1" applyAlignment="1" applyProtection="1">
      <alignment horizontal="right"/>
      <protection locked="0"/>
    </xf>
    <xf numFmtId="10" fontId="6" fillId="0" borderId="0" xfId="0" applyNumberFormat="1" applyFont="1" applyAlignment="1" applyProtection="1">
      <alignment horizontal="right"/>
      <protection locked="0"/>
    </xf>
    <xf numFmtId="165" fontId="8" fillId="0" borderId="1" xfId="0" applyNumberFormat="1" applyFont="1" applyBorder="1" applyAlignment="1" applyProtection="1">
      <alignment horizontal="right"/>
      <protection locked="0"/>
    </xf>
    <xf numFmtId="10" fontId="6" fillId="5" borderId="1" xfId="0" applyNumberFormat="1" applyFont="1" applyFill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3" fillId="0" borderId="1" xfId="0" applyNumberFormat="1" applyFont="1" applyBorder="1" applyAlignment="1">
      <alignment horizontal="right"/>
    </xf>
    <xf numFmtId="10" fontId="3" fillId="34" borderId="1" xfId="0" applyNumberFormat="1" applyFont="1" applyFill="1" applyBorder="1" applyAlignment="1">
      <alignment horizontal="right"/>
    </xf>
    <xf numFmtId="49" fontId="61" fillId="0" borderId="5" xfId="2" applyNumberFormat="1" applyFont="1" applyBorder="1" applyAlignment="1">
      <alignment horizontal="left"/>
    </xf>
    <xf numFmtId="49" fontId="16" fillId="36" borderId="5" xfId="2" applyNumberFormat="1" applyFont="1" applyFill="1" applyBorder="1" applyAlignment="1">
      <alignment horizontal="left"/>
    </xf>
    <xf numFmtId="49" fontId="54" fillId="35" borderId="8" xfId="1" applyNumberFormat="1" applyFont="1" applyFill="1" applyBorder="1" applyAlignment="1">
      <alignment horizontal="center" vertical="center"/>
    </xf>
    <xf numFmtId="49" fontId="54" fillId="11" borderId="5" xfId="2" applyNumberFormat="1" applyFont="1" applyFill="1" applyBorder="1" applyAlignment="1">
      <alignment horizontal="left"/>
    </xf>
    <xf numFmtId="49" fontId="54" fillId="11" borderId="5" xfId="2" applyNumberFormat="1" applyFont="1" applyFill="1" applyBorder="1" applyAlignment="1" applyProtection="1">
      <alignment horizontal="left"/>
      <protection locked="0"/>
    </xf>
    <xf numFmtId="165" fontId="50" fillId="0" borderId="0" xfId="0" applyNumberFormat="1" applyFont="1"/>
    <xf numFmtId="49" fontId="11" fillId="0" borderId="5" xfId="2" applyNumberFormat="1" applyBorder="1" applyAlignment="1">
      <alignment horizontal="left"/>
    </xf>
    <xf numFmtId="49" fontId="61" fillId="0" borderId="9" xfId="2" applyNumberFormat="1" applyFont="1" applyBorder="1" applyAlignment="1" applyProtection="1">
      <alignment horizontal="left"/>
      <protection locked="0"/>
    </xf>
    <xf numFmtId="10" fontId="6" fillId="24" borderId="1" xfId="0" applyNumberFormat="1" applyFont="1" applyFill="1" applyBorder="1" applyAlignment="1">
      <alignment horizontal="right"/>
    </xf>
    <xf numFmtId="10" fontId="77" fillId="34" borderId="1" xfId="0" applyNumberFormat="1" applyFont="1" applyFill="1" applyBorder="1" applyAlignment="1">
      <alignment horizontal="right"/>
    </xf>
    <xf numFmtId="10" fontId="83" fillId="34" borderId="1" xfId="0" applyNumberFormat="1" applyFont="1" applyFill="1" applyBorder="1" applyAlignment="1">
      <alignment horizontal="right"/>
    </xf>
    <xf numFmtId="0" fontId="85" fillId="38" borderId="5" xfId="2" applyNumberFormat="1" applyFont="1" applyFill="1" applyBorder="1" applyAlignment="1">
      <alignment horizontal="left"/>
    </xf>
    <xf numFmtId="10" fontId="78" fillId="0" borderId="1" xfId="0" applyNumberFormat="1" applyFont="1" applyBorder="1" applyAlignment="1">
      <alignment horizontal="right"/>
    </xf>
    <xf numFmtId="10" fontId="75" fillId="0" borderId="1" xfId="0" applyNumberFormat="1" applyFont="1" applyBorder="1" applyAlignment="1">
      <alignment horizontal="right"/>
    </xf>
    <xf numFmtId="0" fontId="85" fillId="24" borderId="5" xfId="2" applyNumberFormat="1" applyFont="1" applyFill="1" applyBorder="1" applyAlignment="1">
      <alignment horizontal="left"/>
    </xf>
    <xf numFmtId="10" fontId="7" fillId="24" borderId="1" xfId="0" applyNumberFormat="1" applyFont="1" applyFill="1" applyBorder="1" applyAlignment="1">
      <alignment horizontal="right"/>
    </xf>
    <xf numFmtId="0" fontId="85" fillId="35" borderId="8" xfId="1" applyNumberFormat="1" applyFont="1" applyFill="1" applyBorder="1" applyAlignment="1">
      <alignment horizontal="left" vertical="center"/>
    </xf>
    <xf numFmtId="0" fontId="86" fillId="36" borderId="5" xfId="2" applyNumberFormat="1" applyFont="1" applyFill="1" applyBorder="1" applyAlignment="1">
      <alignment horizontal="left" indent="1"/>
    </xf>
    <xf numFmtId="0" fontId="14" fillId="35" borderId="8" xfId="1" applyNumberFormat="1" applyFont="1" applyFill="1" applyBorder="1" applyAlignment="1">
      <alignment horizontal="left" vertical="center"/>
    </xf>
    <xf numFmtId="10" fontId="45" fillId="2" borderId="1" xfId="0" applyNumberFormat="1" applyFont="1" applyFill="1" applyBorder="1" applyAlignment="1">
      <alignment horizontal="right"/>
    </xf>
    <xf numFmtId="0" fontId="82" fillId="0" borderId="5" xfId="2" applyNumberFormat="1" applyFont="1" applyBorder="1" applyAlignment="1" applyProtection="1">
      <alignment horizontal="left" indent="2"/>
      <protection locked="0"/>
    </xf>
    <xf numFmtId="49" fontId="15" fillId="0" borderId="5" xfId="2" applyNumberFormat="1" applyFont="1" applyBorder="1" applyAlignment="1" applyProtection="1">
      <alignment horizontal="left" indent="1"/>
      <protection locked="0"/>
    </xf>
    <xf numFmtId="10" fontId="77" fillId="24" borderId="1" xfId="0" applyNumberFormat="1" applyFont="1" applyFill="1" applyBorder="1" applyAlignment="1">
      <alignment horizontal="right"/>
    </xf>
    <xf numFmtId="10" fontId="83" fillId="24" borderId="1" xfId="0" applyNumberFormat="1" applyFont="1" applyFill="1" applyBorder="1" applyAlignment="1">
      <alignment horizontal="right"/>
    </xf>
    <xf numFmtId="10" fontId="45" fillId="5" borderId="1" xfId="0" applyNumberFormat="1" applyFont="1" applyFill="1" applyBorder="1" applyAlignment="1">
      <alignment horizontal="right"/>
    </xf>
    <xf numFmtId="10" fontId="45" fillId="0" borderId="1" xfId="0" applyNumberFormat="1" applyFont="1" applyBorder="1" applyAlignment="1">
      <alignment horizontal="right"/>
    </xf>
    <xf numFmtId="10" fontId="88" fillId="6" borderId="1" xfId="0" applyNumberFormat="1" applyFont="1" applyFill="1" applyBorder="1" applyAlignment="1">
      <alignment horizontal="right"/>
    </xf>
    <xf numFmtId="10" fontId="45" fillId="39" borderId="1" xfId="0" applyNumberFormat="1" applyFont="1" applyFill="1" applyBorder="1" applyAlignment="1">
      <alignment horizontal="right" wrapText="1"/>
    </xf>
    <xf numFmtId="10" fontId="45" fillId="25" borderId="1" xfId="0" applyNumberFormat="1" applyFont="1" applyFill="1" applyBorder="1" applyAlignment="1">
      <alignment horizontal="right" wrapText="1"/>
    </xf>
    <xf numFmtId="10" fontId="3" fillId="24" borderId="1" xfId="0" applyNumberFormat="1" applyFont="1" applyFill="1" applyBorder="1" applyAlignment="1">
      <alignment horizontal="right"/>
    </xf>
    <xf numFmtId="10" fontId="45" fillId="0" borderId="1" xfId="0" applyNumberFormat="1" applyFont="1" applyBorder="1" applyAlignment="1">
      <alignment horizontal="right" wrapText="1"/>
    </xf>
    <xf numFmtId="10" fontId="45" fillId="37" borderId="1" xfId="0" applyNumberFormat="1" applyFont="1" applyFill="1" applyBorder="1" applyAlignment="1" applyProtection="1">
      <alignment horizontal="right"/>
      <protection locked="0"/>
    </xf>
    <xf numFmtId="49" fontId="61" fillId="0" borderId="5" xfId="2" applyNumberFormat="1" applyFont="1" applyBorder="1" applyAlignment="1">
      <alignment horizontal="left" indent="1"/>
    </xf>
    <xf numFmtId="49" fontId="61" fillId="0" borderId="5" xfId="2" applyNumberFormat="1" applyFont="1" applyBorder="1" applyAlignment="1" applyProtection="1">
      <alignment horizontal="left" indent="1"/>
      <protection locked="0"/>
    </xf>
    <xf numFmtId="49" fontId="15" fillId="0" borderId="5" xfId="2" applyNumberFormat="1" applyFont="1" applyBorder="1" applyAlignment="1" applyProtection="1">
      <alignment horizontal="left" wrapText="1" indent="1"/>
      <protection locked="0"/>
    </xf>
    <xf numFmtId="49" fontId="15" fillId="0" borderId="9" xfId="2" applyNumberFormat="1" applyFont="1" applyBorder="1" applyAlignment="1" applyProtection="1">
      <alignment horizontal="left" indent="1"/>
      <protection locked="0"/>
    </xf>
    <xf numFmtId="49" fontId="61" fillId="0" borderId="9" xfId="2" applyNumberFormat="1" applyFont="1" applyBorder="1" applyAlignment="1" applyProtection="1">
      <alignment horizontal="left" indent="1"/>
      <protection locked="0"/>
    </xf>
    <xf numFmtId="49" fontId="15" fillId="32" borderId="5" xfId="2" applyNumberFormat="1" applyFont="1" applyFill="1" applyBorder="1" applyAlignment="1" applyProtection="1">
      <alignment horizontal="left" indent="1"/>
      <protection locked="0"/>
    </xf>
    <xf numFmtId="49" fontId="15" fillId="0" borderId="5" xfId="2" applyNumberFormat="1" applyFont="1" applyBorder="1" applyAlignment="1">
      <alignment horizontal="left" indent="1"/>
    </xf>
    <xf numFmtId="49" fontId="15" fillId="0" borderId="0" xfId="2" applyNumberFormat="1" applyFont="1" applyAlignment="1">
      <alignment horizontal="left" indent="1"/>
    </xf>
    <xf numFmtId="164" fontId="2" fillId="0" borderId="0" xfId="0" applyFont="1"/>
    <xf numFmtId="0" fontId="0" fillId="0" borderId="0" xfId="0" applyNumberFormat="1"/>
    <xf numFmtId="164" fontId="10" fillId="2" borderId="17" xfId="1" applyFont="1" applyFill="1" applyBorder="1" applyAlignment="1">
      <alignment horizontal="centerContinuous" vertical="center"/>
    </xf>
    <xf numFmtId="164" fontId="10" fillId="2" borderId="18" xfId="1" applyFont="1" applyFill="1" applyBorder="1" applyAlignment="1">
      <alignment horizontal="centerContinuous" vertical="center"/>
    </xf>
    <xf numFmtId="164" fontId="2" fillId="0" borderId="0" xfId="0" applyFont="1" applyAlignment="1">
      <alignment wrapText="1"/>
    </xf>
    <xf numFmtId="164" fontId="10" fillId="2" borderId="17" xfId="1" applyFont="1" applyFill="1" applyBorder="1" applyAlignment="1">
      <alignment horizontal="center" vertical="center" wrapText="1"/>
    </xf>
    <xf numFmtId="164" fontId="10" fillId="2" borderId="16" xfId="1" applyFont="1" applyFill="1" applyBorder="1" applyAlignment="1">
      <alignment horizontal="center" vertical="center" wrapText="1"/>
    </xf>
    <xf numFmtId="164" fontId="10" fillId="2" borderId="1" xfId="1" applyFont="1" applyFill="1" applyBorder="1" applyAlignment="1">
      <alignment horizontal="center" vertical="center" wrapText="1"/>
    </xf>
    <xf numFmtId="164" fontId="47" fillId="0" borderId="0" xfId="0" applyFont="1"/>
    <xf numFmtId="164" fontId="45" fillId="5" borderId="1" xfId="0" applyFont="1" applyFill="1" applyBorder="1" applyAlignment="1">
      <alignment horizontal="left"/>
    </xf>
    <xf numFmtId="164" fontId="45" fillId="5" borderId="1" xfId="0" applyFont="1" applyFill="1" applyBorder="1" applyAlignment="1">
      <alignment horizontal="right"/>
    </xf>
    <xf numFmtId="164" fontId="75" fillId="0" borderId="0" xfId="0" applyFont="1" applyProtection="1">
      <protection locked="0"/>
    </xf>
    <xf numFmtId="164" fontId="8" fillId="0" borderId="1" xfId="0" applyFont="1" applyBorder="1" applyAlignment="1" applyProtection="1">
      <alignment horizontal="left" indent="1"/>
      <protection locked="0"/>
    </xf>
    <xf numFmtId="164" fontId="5" fillId="0" borderId="0" xfId="0" applyFont="1"/>
    <xf numFmtId="164" fontId="3" fillId="6" borderId="1" xfId="0" applyFont="1" applyFill="1" applyBorder="1" applyAlignment="1">
      <alignment horizontal="left"/>
    </xf>
    <xf numFmtId="164" fontId="3" fillId="6" borderId="1" xfId="0" applyFont="1" applyFill="1" applyBorder="1" applyAlignment="1">
      <alignment horizontal="right"/>
    </xf>
    <xf numFmtId="164" fontId="8" fillId="0" borderId="1" xfId="0" applyFont="1" applyBorder="1" applyAlignment="1" applyProtection="1">
      <alignment horizontal="right"/>
      <protection locked="0"/>
    </xf>
    <xf numFmtId="164" fontId="3" fillId="24" borderId="1" xfId="0" applyFont="1" applyFill="1" applyBorder="1" applyAlignment="1">
      <alignment horizontal="left"/>
    </xf>
    <xf numFmtId="164" fontId="3" fillId="34" borderId="1" xfId="0" applyFont="1" applyFill="1" applyBorder="1" applyAlignment="1">
      <alignment horizontal="left" indent="1"/>
    </xf>
    <xf numFmtId="164" fontId="8" fillId="0" borderId="1" xfId="0" applyFont="1" applyBorder="1" applyAlignment="1" applyProtection="1">
      <alignment horizontal="left" indent="2"/>
      <protection locked="0"/>
    </xf>
    <xf numFmtId="164" fontId="83" fillId="0" borderId="0" xfId="0" applyFont="1"/>
    <xf numFmtId="164" fontId="77" fillId="0" borderId="1" xfId="0" applyFont="1" applyBorder="1" applyAlignment="1">
      <alignment horizontal="left" indent="1"/>
    </xf>
    <xf numFmtId="164" fontId="75" fillId="0" borderId="0" xfId="0" applyFont="1"/>
    <xf numFmtId="164" fontId="78" fillId="0" borderId="1" xfId="0" applyFont="1" applyBorder="1" applyAlignment="1">
      <alignment horizontal="left" indent="2"/>
    </xf>
    <xf numFmtId="164" fontId="50" fillId="0" borderId="0" xfId="0" applyFont="1"/>
    <xf numFmtId="164" fontId="45" fillId="2" borderId="1" xfId="0" applyFont="1" applyFill="1" applyBorder="1" applyAlignment="1">
      <alignment horizontal="left"/>
    </xf>
    <xf numFmtId="164" fontId="8" fillId="0" borderId="1" xfId="0" applyFont="1" applyBorder="1" applyAlignment="1">
      <alignment horizontal="left" indent="1"/>
    </xf>
    <xf numFmtId="164" fontId="3" fillId="40" borderId="1" xfId="0" applyFont="1" applyFill="1" applyBorder="1" applyAlignment="1">
      <alignment horizontal="left"/>
    </xf>
    <xf numFmtId="164" fontId="3" fillId="40" borderId="1" xfId="0" applyFont="1" applyFill="1" applyBorder="1" applyAlignment="1">
      <alignment horizontal="right"/>
    </xf>
    <xf numFmtId="164" fontId="45" fillId="0" borderId="1" xfId="0" applyFont="1" applyBorder="1" applyAlignment="1">
      <alignment horizontal="left"/>
    </xf>
    <xf numFmtId="164" fontId="89" fillId="0" borderId="0" xfId="0" applyFont="1"/>
    <xf numFmtId="164" fontId="88" fillId="6" borderId="1" xfId="0" applyFont="1" applyFill="1" applyBorder="1" applyAlignment="1">
      <alignment horizontal="left"/>
    </xf>
    <xf numFmtId="164" fontId="79" fillId="0" borderId="0" xfId="0" applyFont="1"/>
    <xf numFmtId="164" fontId="7" fillId="24" borderId="1" xfId="0" applyFont="1" applyFill="1" applyBorder="1" applyAlignment="1">
      <alignment horizontal="left"/>
    </xf>
    <xf numFmtId="164" fontId="0" fillId="0" borderId="1" xfId="0" applyBorder="1"/>
    <xf numFmtId="164" fontId="79" fillId="0" borderId="0" xfId="0" applyFont="1" applyProtection="1">
      <protection locked="0"/>
    </xf>
    <xf numFmtId="164" fontId="6" fillId="0" borderId="0" xfId="0" applyFont="1" applyAlignment="1" applyProtection="1">
      <alignment horizontal="right"/>
      <protection locked="0"/>
    </xf>
    <xf numFmtId="164" fontId="45" fillId="39" borderId="1" xfId="0" applyFont="1" applyFill="1" applyBorder="1" applyAlignment="1">
      <alignment horizontal="left" wrapText="1"/>
    </xf>
    <xf numFmtId="164" fontId="3" fillId="0" borderId="1" xfId="0" applyFont="1" applyBorder="1" applyAlignment="1">
      <alignment horizontal="left"/>
    </xf>
    <xf numFmtId="164" fontId="3" fillId="0" borderId="1" xfId="0" applyFont="1" applyBorder="1" applyAlignment="1">
      <alignment horizontal="right"/>
    </xf>
    <xf numFmtId="164" fontId="10" fillId="0" borderId="0" xfId="0" applyFont="1"/>
    <xf numFmtId="164" fontId="6" fillId="5" borderId="1" xfId="0" applyFont="1" applyFill="1" applyBorder="1"/>
    <xf numFmtId="164" fontId="50" fillId="0" borderId="0" xfId="0" applyFont="1" applyProtection="1">
      <protection locked="0"/>
    </xf>
    <xf numFmtId="164" fontId="45" fillId="25" borderId="1" xfId="0" applyFont="1" applyFill="1" applyBorder="1" applyAlignment="1">
      <alignment horizontal="left" wrapText="1"/>
    </xf>
    <xf numFmtId="164" fontId="45" fillId="0" borderId="1" xfId="0" applyFont="1" applyBorder="1" applyAlignment="1">
      <alignment horizontal="left" wrapText="1"/>
    </xf>
    <xf numFmtId="164" fontId="45" fillId="37" borderId="1" xfId="0" applyFont="1" applyFill="1" applyBorder="1" applyProtection="1">
      <protection locked="0"/>
    </xf>
    <xf numFmtId="164" fontId="45" fillId="37" borderId="1" xfId="0" applyFont="1" applyFill="1" applyBorder="1" applyAlignment="1" applyProtection="1">
      <alignment horizontal="right"/>
      <protection locked="0"/>
    </xf>
    <xf numFmtId="164" fontId="43" fillId="0" borderId="0" xfId="0" applyFont="1"/>
    <xf numFmtId="164" fontId="10" fillId="2" borderId="1" xfId="1" applyFont="1" applyFill="1" applyBorder="1" applyAlignment="1">
      <alignment horizontal="center" vertical="center"/>
    </xf>
    <xf numFmtId="164" fontId="10" fillId="2" borderId="4" xfId="1" applyFont="1" applyFill="1" applyBorder="1" applyAlignment="1">
      <alignment horizontal="center" vertical="center"/>
    </xf>
    <xf numFmtId="164" fontId="14" fillId="29" borderId="5" xfId="1" applyFont="1" applyFill="1" applyBorder="1" applyAlignment="1">
      <alignment horizontal="center" vertical="center"/>
    </xf>
    <xf numFmtId="164" fontId="41" fillId="22" borderId="0" xfId="16" applyFont="1" applyFill="1" applyAlignment="1">
      <alignment horizontal="center" vertical="center"/>
    </xf>
    <xf numFmtId="164" fontId="2" fillId="0" borderId="0" xfId="0" applyFont="1" applyProtection="1">
      <protection locked="0"/>
    </xf>
    <xf numFmtId="164" fontId="1" fillId="0" borderId="1" xfId="0" applyFont="1" applyBorder="1" applyAlignment="1" applyProtection="1">
      <alignment horizontal="left" indent="2"/>
      <protection locked="0"/>
    </xf>
    <xf numFmtId="164" fontId="3" fillId="4" borderId="1" xfId="0" applyFont="1" applyFill="1" applyBorder="1" applyAlignment="1">
      <alignment horizontal="left"/>
    </xf>
    <xf numFmtId="164" fontId="3" fillId="34" borderId="1" xfId="0" applyFont="1" applyFill="1" applyBorder="1" applyAlignment="1">
      <alignment horizontal="left"/>
    </xf>
    <xf numFmtId="164" fontId="3" fillId="2" borderId="1" xfId="0" applyFont="1" applyFill="1" applyBorder="1" applyAlignment="1">
      <alignment horizontal="left"/>
    </xf>
    <xf numFmtId="164" fontId="3" fillId="5" borderId="1" xfId="0" applyFont="1" applyFill="1" applyBorder="1" applyAlignment="1">
      <alignment horizontal="left"/>
    </xf>
    <xf numFmtId="164" fontId="3" fillId="4" borderId="1" xfId="0" applyFont="1" applyFill="1" applyBorder="1" applyAlignment="1">
      <alignment horizontal="left" indent="2"/>
    </xf>
    <xf numFmtId="164" fontId="3" fillId="4" borderId="1" xfId="0" applyFont="1" applyFill="1" applyBorder="1" applyAlignment="1" applyProtection="1">
      <alignment horizontal="left" indent="2"/>
      <protection locked="0"/>
    </xf>
    <xf numFmtId="164" fontId="3" fillId="7" borderId="1" xfId="0" applyFont="1" applyFill="1" applyBorder="1" applyAlignment="1">
      <alignment horizontal="left" wrapText="1"/>
    </xf>
    <xf numFmtId="164" fontId="1" fillId="0" borderId="1" xfId="0" applyFont="1" applyBorder="1" applyAlignment="1">
      <alignment horizontal="left" indent="2"/>
    </xf>
    <xf numFmtId="164" fontId="3" fillId="37" borderId="1" xfId="0" applyFont="1" applyFill="1" applyBorder="1"/>
    <xf numFmtId="164" fontId="3" fillId="0" borderId="1" xfId="0" applyFont="1" applyBorder="1"/>
    <xf numFmtId="164" fontId="3" fillId="5" borderId="1" xfId="0" applyFont="1" applyFill="1" applyBorder="1"/>
    <xf numFmtId="164" fontId="1" fillId="0" borderId="1" xfId="0" applyFont="1" applyBorder="1" applyAlignment="1" applyProtection="1">
      <alignment horizontal="left" indent="1"/>
      <protection locked="0"/>
    </xf>
    <xf numFmtId="164" fontId="58" fillId="25" borderId="1" xfId="0" applyFont="1" applyFill="1" applyBorder="1" applyProtection="1">
      <protection locked="0"/>
    </xf>
    <xf numFmtId="164" fontId="3" fillId="4" borderId="1" xfId="0" applyFont="1" applyFill="1" applyBorder="1" applyAlignment="1" applyProtection="1">
      <alignment horizontal="center"/>
      <protection locked="0"/>
    </xf>
    <xf numFmtId="164" fontId="45" fillId="7" borderId="1" xfId="0" applyFont="1" applyFill="1" applyBorder="1" applyAlignment="1">
      <alignment horizontal="center"/>
    </xf>
    <xf numFmtId="164" fontId="4" fillId="5" borderId="1" xfId="0" applyFont="1" applyFill="1" applyBorder="1" applyAlignment="1">
      <alignment horizontal="center"/>
    </xf>
    <xf numFmtId="164" fontId="3" fillId="0" borderId="1" xfId="0" applyFont="1" applyBorder="1" applyProtection="1">
      <protection locked="0"/>
    </xf>
    <xf numFmtId="164" fontId="19" fillId="30" borderId="5" xfId="2" applyFont="1" applyFill="1" applyBorder="1" applyAlignment="1">
      <alignment horizontal="center"/>
    </xf>
    <xf numFmtId="164" fontId="7" fillId="2" borderId="1" xfId="0" applyFont="1" applyFill="1" applyBorder="1"/>
    <xf numFmtId="164" fontId="12" fillId="0" borderId="0" xfId="3" applyFont="1"/>
    <xf numFmtId="164" fontId="2" fillId="33" borderId="0" xfId="0" applyFont="1" applyFill="1"/>
    <xf numFmtId="164" fontId="51" fillId="0" borderId="0" xfId="2" applyFont="1"/>
    <xf numFmtId="164" fontId="11" fillId="0" borderId="0" xfId="2"/>
    <xf numFmtId="164" fontId="15" fillId="0" borderId="0" xfId="2" applyFont="1"/>
    <xf numFmtId="164" fontId="43" fillId="23" borderId="0" xfId="3" applyFont="1" applyFill="1"/>
    <xf numFmtId="164" fontId="84" fillId="0" borderId="0" xfId="2" applyFont="1"/>
    <xf numFmtId="164" fontId="11" fillId="0" borderId="0" xfId="2" applyProtection="1">
      <protection locked="0"/>
    </xf>
    <xf numFmtId="164" fontId="55" fillId="0" borderId="0" xfId="2" applyFont="1" applyProtection="1">
      <protection locked="0"/>
    </xf>
    <xf numFmtId="164" fontId="65" fillId="0" borderId="0" xfId="2" applyFont="1" applyProtection="1">
      <protection locked="0"/>
    </xf>
    <xf numFmtId="164" fontId="65" fillId="0" borderId="0" xfId="2" applyFont="1"/>
    <xf numFmtId="164" fontId="65" fillId="0" borderId="0" xfId="2" applyFont="1" applyAlignment="1" applyProtection="1">
      <alignment horizontal="right"/>
      <protection locked="0"/>
    </xf>
    <xf numFmtId="164" fontId="65" fillId="0" borderId="0" xfId="2" applyFont="1" applyAlignment="1">
      <alignment horizontal="right"/>
    </xf>
    <xf numFmtId="164" fontId="11" fillId="0" borderId="0" xfId="2" applyAlignment="1">
      <alignment horizontal="right"/>
    </xf>
    <xf numFmtId="164" fontId="11" fillId="0" borderId="0" xfId="2" applyAlignment="1" applyProtection="1">
      <alignment horizontal="right"/>
      <protection locked="0"/>
    </xf>
    <xf numFmtId="164" fontId="45" fillId="4" borderId="1" xfId="0" applyFont="1" applyFill="1" applyBorder="1" applyAlignment="1" applyProtection="1">
      <alignment horizontal="left"/>
      <protection locked="0"/>
    </xf>
    <xf numFmtId="164" fontId="55" fillId="0" borderId="0" xfId="3" applyFont="1"/>
    <xf numFmtId="164" fontId="54" fillId="9" borderId="5" xfId="3" applyFont="1" applyFill="1" applyBorder="1" applyAlignment="1">
      <alignment horizontal="left"/>
    </xf>
    <xf numFmtId="164" fontId="51" fillId="0" borderId="1" xfId="2" applyFont="1" applyBorder="1" applyProtection="1">
      <protection locked="0"/>
    </xf>
    <xf numFmtId="164" fontId="0" fillId="0" borderId="0" xfId="0"/>
    <xf numFmtId="164" fontId="52" fillId="0" borderId="0" xfId="2" applyFont="1"/>
    <xf numFmtId="164" fontId="56" fillId="14" borderId="5" xfId="2" applyFont="1" applyFill="1" applyBorder="1" applyAlignment="1" applyProtection="1">
      <alignment horizontal="left"/>
      <protection locked="0"/>
    </xf>
    <xf numFmtId="164" fontId="10" fillId="2" borderId="1" xfId="1" applyFont="1" applyFill="1" applyBorder="1" applyAlignment="1">
      <alignment horizontal="left" vertical="center"/>
    </xf>
    <xf numFmtId="164" fontId="74" fillId="0" borderId="0" xfId="2" applyFont="1" applyProtection="1">
      <protection locked="0"/>
    </xf>
    <xf numFmtId="164" fontId="74" fillId="0" borderId="0" xfId="2" applyFont="1"/>
    <xf numFmtId="164" fontId="3" fillId="4" borderId="1" xfId="0" applyFont="1" applyFill="1" applyBorder="1" applyAlignment="1" applyProtection="1">
      <alignment horizontal="right"/>
      <protection locked="0"/>
    </xf>
    <xf numFmtId="164" fontId="3" fillId="3" borderId="1" xfId="0" applyFont="1" applyFill="1" applyBorder="1" applyAlignment="1">
      <alignment horizontal="right"/>
    </xf>
    <xf numFmtId="164" fontId="15" fillId="12" borderId="5" xfId="4" applyFont="1" applyFill="1" applyBorder="1" applyAlignment="1">
      <alignment vertical="top" wrapText="1"/>
    </xf>
    <xf numFmtId="164" fontId="16" fillId="9" borderId="9" xfId="4" applyFont="1" applyFill="1" applyBorder="1"/>
    <xf numFmtId="164" fontId="17" fillId="8" borderId="9" xfId="4" applyFont="1" applyFill="1" applyBorder="1"/>
    <xf numFmtId="164" fontId="15" fillId="0" borderId="5" xfId="4" applyFont="1" applyBorder="1" applyProtection="1">
      <protection locked="0"/>
    </xf>
    <xf numFmtId="164" fontId="17" fillId="9" borderId="5" xfId="4" applyFont="1" applyFill="1" applyBorder="1"/>
    <xf numFmtId="164" fontId="17" fillId="8" borderId="5" xfId="4" applyFont="1" applyFill="1" applyBorder="1"/>
    <xf numFmtId="164" fontId="17" fillId="10" borderId="5" xfId="4" applyFont="1" applyFill="1" applyBorder="1"/>
    <xf numFmtId="164" fontId="16" fillId="9" borderId="5" xfId="4" applyFont="1" applyFill="1" applyBorder="1"/>
    <xf numFmtId="164" fontId="15" fillId="0" borderId="5" xfId="4" applyFont="1" applyBorder="1" applyAlignment="1" applyProtection="1">
      <alignment horizontal="left"/>
      <protection locked="0"/>
    </xf>
    <xf numFmtId="164" fontId="15" fillId="0" borderId="5" xfId="4" applyFont="1" applyBorder="1"/>
    <xf numFmtId="164" fontId="0" fillId="0" borderId="5" xfId="0" applyBorder="1"/>
    <xf numFmtId="164" fontId="17" fillId="13" borderId="5" xfId="4" applyFont="1" applyFill="1" applyBorder="1" applyAlignment="1">
      <alignment horizontal="right" vertical="center"/>
    </xf>
    <xf numFmtId="164" fontId="20" fillId="0" borderId="0" xfId="5"/>
    <xf numFmtId="164" fontId="72" fillId="0" borderId="7" xfId="4" applyFont="1" applyBorder="1" applyAlignment="1" applyProtection="1">
      <alignment horizontal="left" wrapText="1"/>
      <protection locked="0"/>
    </xf>
    <xf numFmtId="164" fontId="71" fillId="0" borderId="0" xfId="5" applyFont="1"/>
    <xf numFmtId="164" fontId="53" fillId="0" borderId="0" xfId="2" applyFont="1"/>
    <xf numFmtId="164" fontId="57" fillId="0" borderId="0" xfId="5" applyFont="1"/>
    <xf numFmtId="164" fontId="59" fillId="0" borderId="0" xfId="3" applyFont="1"/>
    <xf numFmtId="164" fontId="43" fillId="0" borderId="0" xfId="3" applyFont="1"/>
    <xf numFmtId="164" fontId="13" fillId="26" borderId="0" xfId="3" applyFont="1" applyFill="1" applyAlignment="1">
      <alignment wrapText="1"/>
    </xf>
    <xf numFmtId="164" fontId="13" fillId="27" borderId="0" xfId="3" applyFont="1" applyFill="1" applyAlignment="1">
      <alignment wrapText="1"/>
    </xf>
    <xf numFmtId="164" fontId="0" fillId="0" borderId="0" xfId="0" applyAlignment="1">
      <alignment horizontal="center" vertical="center"/>
    </xf>
    <xf numFmtId="164" fontId="66" fillId="0" borderId="0" xfId="0" applyFont="1"/>
    <xf numFmtId="164" fontId="66" fillId="0" borderId="0" xfId="0" applyFont="1" applyAlignment="1">
      <alignment wrapText="1"/>
    </xf>
    <xf numFmtId="164" fontId="0" fillId="0" borderId="0" xfId="0" applyAlignment="1">
      <alignment wrapText="1"/>
    </xf>
    <xf numFmtId="164" fontId="67" fillId="0" borderId="0" xfId="0" applyFont="1"/>
    <xf numFmtId="164" fontId="68" fillId="0" borderId="0" xfId="0" applyFont="1"/>
    <xf numFmtId="164" fontId="66" fillId="0" borderId="0" xfId="0" applyFont="1" applyAlignment="1">
      <alignment horizontal="center" vertical="center"/>
    </xf>
    <xf numFmtId="164" fontId="73" fillId="0" borderId="0" xfId="0" applyFont="1"/>
    <xf numFmtId="4" fontId="91" fillId="0" borderId="13" xfId="58" applyNumberFormat="1" applyFont="1" applyBorder="1" applyAlignment="1">
      <alignment horizontal="right" vertical="top" wrapText="1"/>
    </xf>
    <xf numFmtId="2" fontId="91" fillId="0" borderId="13" xfId="58" applyNumberFormat="1" applyFont="1" applyBorder="1" applyAlignment="1">
      <alignment horizontal="right" vertical="top" wrapText="1"/>
    </xf>
    <xf numFmtId="4" fontId="92" fillId="0" borderId="13" xfId="58" applyNumberFormat="1" applyFont="1" applyBorder="1" applyAlignment="1">
      <alignment horizontal="right" vertical="top" wrapText="1"/>
    </xf>
    <xf numFmtId="4" fontId="93" fillId="28" borderId="13" xfId="59" applyNumberFormat="1" applyFont="1" applyFill="1" applyBorder="1" applyAlignment="1">
      <alignment horizontal="right" vertical="top" wrapText="1"/>
    </xf>
    <xf numFmtId="4" fontId="91" fillId="0" borderId="13" xfId="59" applyNumberFormat="1" applyFont="1" applyBorder="1" applyAlignment="1">
      <alignment horizontal="right" vertical="top" wrapText="1"/>
    </xf>
    <xf numFmtId="2" fontId="91" fillId="0" borderId="13" xfId="59" applyNumberFormat="1" applyFont="1" applyBorder="1" applyAlignment="1">
      <alignment horizontal="right" vertical="top" wrapText="1"/>
    </xf>
    <xf numFmtId="4" fontId="91" fillId="33" borderId="13" xfId="58" applyNumberFormat="1" applyFont="1" applyFill="1" applyBorder="1" applyAlignment="1">
      <alignment horizontal="right" vertical="top" wrapText="1"/>
    </xf>
    <xf numFmtId="4" fontId="92" fillId="33" borderId="13" xfId="58" applyNumberFormat="1" applyFont="1" applyFill="1" applyBorder="1" applyAlignment="1">
      <alignment horizontal="right" vertical="top" wrapText="1"/>
    </xf>
    <xf numFmtId="4" fontId="91" fillId="33" borderId="5" xfId="58" applyNumberFormat="1" applyFont="1" applyFill="1" applyBorder="1" applyAlignment="1">
      <alignment horizontal="right" vertical="top" wrapText="1"/>
    </xf>
    <xf numFmtId="4" fontId="94" fillId="0" borderId="13" xfId="58" applyNumberFormat="1" applyFont="1" applyBorder="1" applyAlignment="1">
      <alignment horizontal="right" vertical="top" wrapText="1"/>
    </xf>
    <xf numFmtId="4" fontId="91" fillId="0" borderId="13" xfId="60" applyNumberFormat="1" applyFont="1" applyBorder="1" applyAlignment="1">
      <alignment horizontal="right" vertical="top" wrapText="1"/>
    </xf>
    <xf numFmtId="4" fontId="95" fillId="24" borderId="13" xfId="58" applyNumberFormat="1" applyFont="1" applyFill="1" applyBorder="1" applyAlignment="1">
      <alignment horizontal="right" vertical="top" wrapText="1"/>
    </xf>
    <xf numFmtId="4" fontId="92" fillId="0" borderId="13" xfId="61" applyNumberFormat="1" applyFont="1" applyBorder="1" applyAlignment="1">
      <alignment horizontal="right" vertical="top" wrapText="1"/>
    </xf>
    <xf numFmtId="4" fontId="94" fillId="0" borderId="13" xfId="62" applyNumberFormat="1" applyFont="1" applyBorder="1" applyAlignment="1">
      <alignment horizontal="right" vertical="top" wrapText="1"/>
    </xf>
    <xf numFmtId="4" fontId="91" fillId="0" borderId="13" xfId="62" applyNumberFormat="1" applyFont="1" applyBorder="1" applyAlignment="1">
      <alignment horizontal="right" vertical="top" wrapText="1"/>
    </xf>
    <xf numFmtId="4" fontId="91" fillId="0" borderId="13" xfId="61" applyNumberFormat="1" applyFont="1" applyBorder="1" applyAlignment="1">
      <alignment horizontal="right" vertical="top" wrapText="1"/>
    </xf>
    <xf numFmtId="164" fontId="10" fillId="2" borderId="17" xfId="0" applyFont="1" applyFill="1" applyBorder="1" applyAlignment="1">
      <alignment horizontal="centerContinuous" vertical="center"/>
    </xf>
    <xf numFmtId="164" fontId="10" fillId="2" borderId="18" xfId="0" applyFont="1" applyFill="1" applyBorder="1" applyAlignment="1">
      <alignment horizontal="centerContinuous" vertical="center"/>
    </xf>
    <xf numFmtId="164" fontId="10" fillId="2" borderId="17" xfId="0" applyFont="1" applyFill="1" applyBorder="1" applyAlignment="1">
      <alignment horizontal="center" vertical="center" wrapText="1"/>
    </xf>
    <xf numFmtId="164" fontId="10" fillId="2" borderId="16" xfId="0" applyFont="1" applyFill="1" applyBorder="1" applyAlignment="1">
      <alignment horizontal="center" vertical="center" wrapText="1"/>
    </xf>
    <xf numFmtId="164" fontId="8" fillId="0" borderId="1" xfId="0" applyFont="1" applyBorder="1" applyAlignment="1">
      <alignment horizontal="right"/>
    </xf>
    <xf numFmtId="10" fontId="6" fillId="0" borderId="0" xfId="0" applyNumberFormat="1" applyFont="1" applyAlignment="1">
      <alignment horizontal="right"/>
    </xf>
    <xf numFmtId="164" fontId="45" fillId="37" borderId="1" xfId="0" applyFont="1" applyFill="1" applyBorder="1" applyAlignment="1">
      <alignment horizontal="right"/>
    </xf>
    <xf numFmtId="10" fontId="45" fillId="37" borderId="1" xfId="0" applyNumberFormat="1" applyFont="1" applyFill="1" applyBorder="1" applyAlignment="1">
      <alignment horizontal="right"/>
    </xf>
    <xf numFmtId="166" fontId="45" fillId="5" borderId="1" xfId="0" applyNumberFormat="1" applyFont="1" applyFill="1" applyBorder="1" applyAlignment="1">
      <alignment horizontal="center"/>
    </xf>
    <xf numFmtId="167" fontId="46" fillId="0" borderId="0" xfId="6" applyFont="1" applyAlignment="1">
      <alignment horizontal="center"/>
    </xf>
    <xf numFmtId="166" fontId="1" fillId="0" borderId="1" xfId="0" applyNumberFormat="1" applyFont="1" applyBorder="1" applyAlignment="1" applyProtection="1">
      <alignment horizontal="center"/>
      <protection locked="0"/>
    </xf>
    <xf numFmtId="167" fontId="42" fillId="0" borderId="0" xfId="6" applyFont="1" applyAlignment="1" applyProtection="1">
      <alignment horizontal="center"/>
      <protection locked="0"/>
    </xf>
    <xf numFmtId="166" fontId="8" fillId="0" borderId="1" xfId="0" applyNumberFormat="1" applyFont="1" applyBorder="1" applyAlignment="1" applyProtection="1">
      <alignment horizontal="right"/>
      <protection locked="0"/>
    </xf>
    <xf numFmtId="166" fontId="3" fillId="6" borderId="1" xfId="0" applyNumberFormat="1" applyFont="1" applyFill="1" applyBorder="1" applyAlignment="1">
      <alignment horizontal="center"/>
    </xf>
    <xf numFmtId="167" fontId="48" fillId="0" borderId="0" xfId="6" applyFont="1"/>
    <xf numFmtId="167" fontId="43" fillId="0" borderId="0" xfId="6" applyFont="1" applyProtection="1">
      <protection locked="0"/>
    </xf>
    <xf numFmtId="166" fontId="3" fillId="4" borderId="1" xfId="0" applyNumberFormat="1" applyFont="1" applyFill="1" applyBorder="1" applyAlignment="1" applyProtection="1">
      <alignment horizontal="center"/>
      <protection locked="0"/>
    </xf>
    <xf numFmtId="166" fontId="3" fillId="34" borderId="1" xfId="0" applyNumberFormat="1" applyFont="1" applyFill="1" applyBorder="1" applyAlignment="1">
      <alignment horizontal="center"/>
    </xf>
    <xf numFmtId="167" fontId="44" fillId="0" borderId="0" xfId="6" applyFont="1" applyAlignment="1">
      <alignment horizontal="center"/>
    </xf>
    <xf numFmtId="166" fontId="3" fillId="34" borderId="1" xfId="0" applyNumberFormat="1" applyFont="1" applyFill="1" applyBorder="1" applyAlignment="1" applyProtection="1">
      <alignment horizontal="center"/>
      <protection locked="0"/>
    </xf>
    <xf numFmtId="166" fontId="45" fillId="2" borderId="1" xfId="0" applyNumberFormat="1" applyFont="1" applyFill="1" applyBorder="1" applyAlignment="1">
      <alignment horizontal="center"/>
    </xf>
    <xf numFmtId="167" fontId="49" fillId="0" borderId="0" xfId="6" applyFont="1" applyAlignment="1" applyProtection="1">
      <alignment horizontal="center"/>
      <protection locked="0"/>
    </xf>
    <xf numFmtId="166" fontId="1" fillId="0" borderId="1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6" fontId="1" fillId="4" borderId="3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 applyProtection="1">
      <alignment horizontal="center"/>
      <protection locked="0"/>
    </xf>
    <xf numFmtId="166" fontId="45" fillId="7" borderId="1" xfId="0" applyNumberFormat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37" borderId="1" xfId="0" applyNumberFormat="1" applyFont="1" applyFill="1" applyBorder="1" applyAlignment="1">
      <alignment horizontal="center"/>
    </xf>
    <xf numFmtId="166" fontId="3" fillId="37" borderId="3" xfId="0" applyNumberFormat="1" applyFont="1" applyFill="1" applyBorder="1" applyAlignment="1">
      <alignment horizontal="center"/>
    </xf>
    <xf numFmtId="167" fontId="81" fillId="0" borderId="0" xfId="6" applyFont="1" applyAlignment="1" applyProtection="1">
      <alignment horizontal="center"/>
      <protection locked="0"/>
    </xf>
    <xf numFmtId="166" fontId="15" fillId="0" borderId="11" xfId="2" applyNumberFormat="1" applyFont="1" applyBorder="1" applyAlignment="1" applyProtection="1">
      <alignment horizontal="center"/>
      <protection locked="0"/>
    </xf>
    <xf numFmtId="166" fontId="3" fillId="7" borderId="1" xfId="0" applyNumberFormat="1" applyFont="1" applyFill="1" applyBorder="1" applyAlignment="1">
      <alignment horizontal="right"/>
    </xf>
    <xf numFmtId="166" fontId="58" fillId="25" borderId="1" xfId="0" applyNumberFormat="1" applyFont="1" applyFill="1" applyBorder="1" applyAlignment="1" applyProtection="1">
      <alignment horizontal="center"/>
      <protection locked="0"/>
    </xf>
    <xf numFmtId="166" fontId="58" fillId="25" borderId="3" xfId="0" applyNumberFormat="1" applyFont="1" applyFill="1" applyBorder="1" applyAlignment="1" applyProtection="1">
      <alignment horizontal="center"/>
      <protection locked="0"/>
    </xf>
    <xf numFmtId="166" fontId="3" fillId="4" borderId="3" xfId="0" applyNumberFormat="1" applyFont="1" applyFill="1" applyBorder="1" applyAlignment="1" applyProtection="1">
      <alignment horizontal="center"/>
      <protection locked="0"/>
    </xf>
    <xf numFmtId="166" fontId="3" fillId="5" borderId="3" xfId="0" applyNumberFormat="1" applyFont="1" applyFill="1" applyBorder="1" applyAlignment="1">
      <alignment horizontal="center"/>
    </xf>
    <xf numFmtId="166" fontId="15" fillId="0" borderId="5" xfId="2" applyNumberFormat="1" applyFont="1" applyBorder="1" applyAlignment="1" applyProtection="1">
      <alignment horizontal="center"/>
      <protection locked="0"/>
    </xf>
    <xf numFmtId="167" fontId="12" fillId="0" borderId="5" xfId="6" applyFont="1" applyBorder="1" applyProtection="1">
      <protection locked="0"/>
    </xf>
    <xf numFmtId="166" fontId="3" fillId="0" borderId="3" xfId="0" applyNumberFormat="1" applyFont="1" applyBorder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166" fontId="15" fillId="23" borderId="5" xfId="2" applyNumberFormat="1" applyFont="1" applyFill="1" applyBorder="1" applyAlignment="1" applyProtection="1">
      <alignment horizontal="center"/>
      <protection locked="0"/>
    </xf>
    <xf numFmtId="166" fontId="15" fillId="23" borderId="0" xfId="2" applyNumberFormat="1" applyFont="1" applyFill="1" applyAlignment="1" applyProtection="1">
      <alignment horizontal="center"/>
      <protection locked="0"/>
    </xf>
    <xf numFmtId="166" fontId="1" fillId="23" borderId="1" xfId="0" applyNumberFormat="1" applyFont="1" applyFill="1" applyBorder="1" applyAlignment="1" applyProtection="1">
      <alignment horizontal="center"/>
      <protection locked="0"/>
    </xf>
    <xf numFmtId="166" fontId="3" fillId="23" borderId="3" xfId="0" applyNumberFormat="1" applyFont="1" applyFill="1" applyBorder="1" applyAlignment="1" applyProtection="1">
      <alignment horizontal="center"/>
      <protection locked="0"/>
    </xf>
    <xf numFmtId="166" fontId="8" fillId="2" borderId="1" xfId="0" applyNumberFormat="1" applyFont="1" applyFill="1" applyBorder="1" applyAlignment="1">
      <alignment horizontal="center"/>
    </xf>
    <xf numFmtId="166" fontId="8" fillId="2" borderId="3" xfId="0" applyNumberFormat="1" applyFont="1" applyFill="1" applyBorder="1" applyAlignment="1">
      <alignment horizontal="center"/>
    </xf>
    <xf numFmtId="166" fontId="12" fillId="0" borderId="0" xfId="3" applyNumberFormat="1" applyFont="1"/>
    <xf numFmtId="166" fontId="2" fillId="0" borderId="0" xfId="0" applyNumberFormat="1" applyFont="1"/>
    <xf numFmtId="167" fontId="11" fillId="0" borderId="0" xfId="6" applyFont="1" applyAlignment="1">
      <alignment horizontal="right"/>
    </xf>
    <xf numFmtId="167" fontId="10" fillId="2" borderId="1" xfId="6" applyFont="1" applyFill="1" applyBorder="1" applyAlignment="1">
      <alignment horizontal="right" vertical="center"/>
    </xf>
    <xf numFmtId="167" fontId="49" fillId="0" borderId="1" xfId="8" applyNumberFormat="1" applyFont="1" applyBorder="1" applyAlignment="1" applyProtection="1">
      <alignment horizontal="center"/>
      <protection locked="0"/>
    </xf>
    <xf numFmtId="167" fontId="42" fillId="0" borderId="1" xfId="8" applyNumberFormat="1" applyFont="1" applyBorder="1" applyAlignment="1" applyProtection="1">
      <alignment horizontal="center"/>
      <protection locked="0"/>
    </xf>
    <xf numFmtId="167" fontId="17" fillId="34" borderId="5" xfId="6" applyFont="1" applyFill="1" applyBorder="1" applyAlignment="1">
      <alignment horizontal="right"/>
    </xf>
    <xf numFmtId="167" fontId="15" fillId="0" borderId="5" xfId="6" applyFont="1" applyBorder="1" applyAlignment="1" applyProtection="1">
      <alignment horizontal="right"/>
      <protection locked="0"/>
    </xf>
    <xf numFmtId="167" fontId="17" fillId="0" borderId="5" xfId="6" applyFont="1" applyBorder="1" applyAlignment="1" applyProtection="1">
      <alignment horizontal="right"/>
      <protection locked="0"/>
    </xf>
    <xf numFmtId="167" fontId="54" fillId="24" borderId="5" xfId="6" applyFont="1" applyFill="1" applyBorder="1" applyAlignment="1">
      <alignment horizontal="right"/>
    </xf>
    <xf numFmtId="167" fontId="25" fillId="0" borderId="1" xfId="8" applyNumberFormat="1" applyFont="1" applyBorder="1" applyAlignment="1" applyProtection="1">
      <alignment horizontal="center"/>
      <protection locked="0"/>
    </xf>
    <xf numFmtId="167" fontId="61" fillId="0" borderId="5" xfId="6" applyFont="1" applyBorder="1" applyAlignment="1" applyProtection="1">
      <alignment horizontal="right"/>
      <protection locked="0"/>
    </xf>
    <xf numFmtId="167" fontId="15" fillId="0" borderId="5" xfId="6" applyFont="1" applyBorder="1" applyAlignment="1" applyProtection="1">
      <alignment horizontal="right" vertical="center"/>
      <protection locked="0"/>
    </xf>
    <xf numFmtId="167" fontId="61" fillId="0" borderId="5" xfId="6" applyFont="1" applyBorder="1" applyAlignment="1" applyProtection="1">
      <alignment horizontal="right" vertical="center"/>
      <protection locked="0"/>
    </xf>
    <xf numFmtId="167" fontId="54" fillId="24" borderId="5" xfId="6" applyFont="1" applyFill="1" applyBorder="1" applyAlignment="1" applyProtection="1">
      <alignment horizontal="right"/>
      <protection locked="0"/>
    </xf>
    <xf numFmtId="167" fontId="54" fillId="11" borderId="5" xfId="6" applyFont="1" applyFill="1" applyBorder="1" applyAlignment="1" applyProtection="1">
      <alignment horizontal="right"/>
      <protection locked="0"/>
    </xf>
    <xf numFmtId="167" fontId="54" fillId="9" borderId="5" xfId="6" applyFont="1" applyFill="1" applyBorder="1" applyAlignment="1">
      <alignment horizontal="right"/>
    </xf>
    <xf numFmtId="167" fontId="17" fillId="24" borderId="5" xfId="6" applyFont="1" applyFill="1" applyBorder="1" applyAlignment="1">
      <alignment horizontal="right"/>
    </xf>
    <xf numFmtId="167" fontId="0" fillId="0" borderId="12" xfId="6" applyFont="1" applyBorder="1" applyAlignment="1">
      <alignment horizontal="right" vertical="center" wrapText="1"/>
    </xf>
    <xf numFmtId="167" fontId="21" fillId="10" borderId="5" xfId="6" applyFont="1" applyFill="1" applyBorder="1" applyAlignment="1" applyProtection="1">
      <alignment horizontal="right"/>
      <protection locked="0"/>
    </xf>
    <xf numFmtId="167" fontId="69" fillId="0" borderId="0" xfId="6" applyFont="1" applyAlignment="1">
      <alignment horizontal="right" vertical="center" wrapText="1"/>
    </xf>
    <xf numFmtId="167" fontId="11" fillId="0" borderId="0" xfId="6" applyFont="1" applyAlignment="1">
      <alignment horizontal="center"/>
    </xf>
    <xf numFmtId="167" fontId="51" fillId="0" borderId="0" xfId="6" applyFont="1"/>
    <xf numFmtId="167" fontId="11" fillId="0" borderId="0" xfId="6" applyFont="1"/>
    <xf numFmtId="167" fontId="0" fillId="0" borderId="0" xfId="6" applyFont="1" applyAlignment="1">
      <alignment horizontal="right"/>
    </xf>
    <xf numFmtId="167" fontId="17" fillId="0" borderId="6" xfId="6" applyFont="1" applyBorder="1"/>
    <xf numFmtId="167" fontId="17" fillId="0" borderId="0" xfId="6" applyFont="1"/>
    <xf numFmtId="167" fontId="15" fillId="0" borderId="0" xfId="6" applyFont="1"/>
    <xf numFmtId="167" fontId="1" fillId="0" borderId="1" xfId="6" applyFont="1" applyBorder="1" applyAlignment="1">
      <alignment wrapText="1"/>
    </xf>
    <xf numFmtId="167" fontId="1" fillId="0" borderId="0" xfId="6" applyFont="1" applyAlignment="1">
      <alignment wrapText="1"/>
    </xf>
    <xf numFmtId="167" fontId="12" fillId="0" borderId="1" xfId="6" applyFont="1" applyBorder="1" applyProtection="1">
      <protection locked="0"/>
    </xf>
    <xf numFmtId="167" fontId="12" fillId="0" borderId="0" xfId="6" applyFont="1" applyProtection="1">
      <protection locked="0"/>
    </xf>
    <xf numFmtId="167" fontId="17" fillId="9" borderId="11" xfId="6" applyFont="1" applyFill="1" applyBorder="1"/>
    <xf numFmtId="167" fontId="15" fillId="0" borderId="5" xfId="6" applyFont="1" applyBorder="1"/>
    <xf numFmtId="167" fontId="1" fillId="0" borderId="14" xfId="6" applyFont="1" applyBorder="1" applyAlignment="1">
      <alignment wrapText="1"/>
    </xf>
    <xf numFmtId="167" fontId="17" fillId="9" borderId="5" xfId="6" applyFont="1" applyFill="1" applyBorder="1"/>
    <xf numFmtId="167" fontId="17" fillId="9" borderId="0" xfId="6" applyFont="1" applyFill="1"/>
    <xf numFmtId="167" fontId="17" fillId="10" borderId="5" xfId="6" applyFont="1" applyFill="1" applyBorder="1"/>
    <xf numFmtId="167" fontId="17" fillId="10" borderId="0" xfId="6" applyFont="1" applyFill="1"/>
    <xf numFmtId="167" fontId="17" fillId="9" borderId="6" xfId="6" applyFont="1" applyFill="1" applyBorder="1"/>
    <xf numFmtId="167" fontId="1" fillId="0" borderId="1" xfId="6" applyFont="1" applyBorder="1"/>
    <xf numFmtId="167" fontId="1" fillId="0" borderId="0" xfId="6" applyFont="1"/>
    <xf numFmtId="167" fontId="25" fillId="28" borderId="1" xfId="6" applyFont="1" applyFill="1" applyBorder="1" applyAlignment="1">
      <alignment wrapText="1"/>
    </xf>
    <xf numFmtId="167" fontId="1" fillId="28" borderId="1" xfId="6" applyFont="1" applyFill="1" applyBorder="1" applyAlignment="1">
      <alignment wrapText="1"/>
    </xf>
    <xf numFmtId="167" fontId="1" fillId="0" borderId="1" xfId="6" applyFont="1" applyBorder="1" applyProtection="1">
      <protection locked="0"/>
    </xf>
    <xf numFmtId="167" fontId="1" fillId="0" borderId="0" xfId="6" applyFont="1" applyProtection="1">
      <protection locked="0"/>
    </xf>
    <xf numFmtId="167" fontId="1" fillId="28" borderId="0" xfId="6" applyFont="1" applyFill="1" applyAlignment="1">
      <alignment wrapText="1"/>
    </xf>
    <xf numFmtId="167" fontId="17" fillId="0" borderId="5" xfId="6" applyFont="1" applyBorder="1"/>
    <xf numFmtId="167" fontId="17" fillId="13" borderId="5" xfId="6" applyFont="1" applyFill="1" applyBorder="1"/>
    <xf numFmtId="167" fontId="17" fillId="13" borderId="0" xfId="6" applyFont="1" applyFill="1"/>
    <xf numFmtId="167" fontId="61" fillId="0" borderId="0" xfId="6" applyFont="1"/>
    <xf numFmtId="167" fontId="23" fillId="0" borderId="0" xfId="6" applyFont="1"/>
    <xf numFmtId="167" fontId="44" fillId="0" borderId="0" xfId="6" applyFont="1" applyProtection="1">
      <protection locked="0"/>
    </xf>
    <xf numFmtId="167" fontId="53" fillId="0" borderId="0" xfId="6" applyFont="1"/>
    <xf numFmtId="167" fontId="20" fillId="0" borderId="0" xfId="6" applyFont="1"/>
    <xf numFmtId="167" fontId="25" fillId="0" borderId="0" xfId="6" applyFont="1"/>
    <xf numFmtId="167" fontId="60" fillId="0" borderId="0" xfId="6" applyFont="1"/>
    <xf numFmtId="167" fontId="43" fillId="0" borderId="0" xfId="6" applyFont="1"/>
    <xf numFmtId="167" fontId="12" fillId="0" borderId="0" xfId="6" applyFont="1"/>
    <xf numFmtId="167" fontId="13" fillId="26" borderId="0" xfId="6" applyFont="1" applyFill="1"/>
    <xf numFmtId="167" fontId="13" fillId="27" borderId="0" xfId="6" applyFont="1" applyFill="1"/>
    <xf numFmtId="167" fontId="66" fillId="0" borderId="1" xfId="6" applyFont="1" applyBorder="1" applyAlignment="1">
      <alignment horizontal="center" vertical="center"/>
    </xf>
    <xf numFmtId="167" fontId="22" fillId="0" borderId="1" xfId="6" applyBorder="1" applyAlignment="1">
      <alignment horizontal="center" vertical="center"/>
    </xf>
    <xf numFmtId="167" fontId="0" fillId="0" borderId="1" xfId="6" applyFont="1" applyBorder="1" applyAlignment="1">
      <alignment horizontal="center" vertical="center"/>
    </xf>
    <xf numFmtId="167" fontId="22" fillId="0" borderId="0" xfId="6" applyAlignment="1">
      <alignment horizontal="center" vertical="center"/>
    </xf>
    <xf numFmtId="167" fontId="0" fillId="0" borderId="0" xfId="6" applyFont="1" applyAlignment="1">
      <alignment horizontal="center" vertical="center"/>
    </xf>
    <xf numFmtId="167" fontId="0" fillId="0" borderId="0" xfId="6" applyFont="1"/>
    <xf numFmtId="166" fontId="45" fillId="5" borderId="1" xfId="0" applyNumberFormat="1" applyFont="1" applyFill="1" applyBorder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3" fillId="24" borderId="1" xfId="0" applyNumberFormat="1" applyFont="1" applyFill="1" applyBorder="1" applyAlignment="1">
      <alignment horizontal="right"/>
    </xf>
    <xf numFmtId="166" fontId="3" fillId="34" borderId="1" xfId="0" applyNumberFormat="1" applyFont="1" applyFill="1" applyBorder="1" applyAlignment="1">
      <alignment horizontal="right"/>
    </xf>
    <xf numFmtId="166" fontId="45" fillId="2" borderId="1" xfId="0" applyNumberFormat="1" applyFont="1" applyFill="1" applyBorder="1" applyAlignment="1">
      <alignment horizontal="right"/>
    </xf>
    <xf numFmtId="166" fontId="3" fillId="40" borderId="1" xfId="0" applyNumberFormat="1" applyFont="1" applyFill="1" applyBorder="1" applyAlignment="1">
      <alignment horizontal="right"/>
    </xf>
    <xf numFmtId="166" fontId="45" fillId="0" borderId="1" xfId="0" applyNumberFormat="1" applyFont="1" applyBorder="1" applyAlignment="1">
      <alignment horizontal="right"/>
    </xf>
    <xf numFmtId="166" fontId="88" fillId="6" borderId="1" xfId="0" applyNumberFormat="1" applyFont="1" applyFill="1" applyBorder="1" applyAlignment="1">
      <alignment horizontal="right"/>
    </xf>
    <xf numFmtId="166" fontId="6" fillId="24" borderId="1" xfId="0" applyNumberFormat="1" applyFont="1" applyFill="1" applyBorder="1" applyAlignment="1">
      <alignment horizontal="right"/>
    </xf>
    <xf numFmtId="167" fontId="77" fillId="34" borderId="1" xfId="6" applyFont="1" applyFill="1" applyBorder="1" applyAlignment="1">
      <alignment horizontal="right"/>
    </xf>
    <xf numFmtId="167" fontId="75" fillId="0" borderId="1" xfId="6" applyFont="1" applyBorder="1" applyAlignment="1">
      <alignment horizontal="right"/>
    </xf>
    <xf numFmtId="167" fontId="83" fillId="34" borderId="1" xfId="6" applyFont="1" applyFill="1" applyBorder="1" applyAlignment="1">
      <alignment horizontal="right"/>
    </xf>
    <xf numFmtId="167" fontId="78" fillId="0" borderId="1" xfId="6" applyFont="1" applyBorder="1" applyAlignment="1">
      <alignment horizontal="right"/>
    </xf>
    <xf numFmtId="167" fontId="77" fillId="24" borderId="1" xfId="6" applyFont="1" applyFill="1" applyBorder="1" applyAlignment="1">
      <alignment horizontal="right"/>
    </xf>
    <xf numFmtId="167" fontId="8" fillId="0" borderId="1" xfId="6" applyFont="1" applyBorder="1" applyAlignment="1">
      <alignment horizontal="right"/>
    </xf>
    <xf numFmtId="167" fontId="83" fillId="24" borderId="1" xfId="6" applyFont="1" applyFill="1" applyBorder="1" applyAlignment="1">
      <alignment horizontal="right"/>
    </xf>
    <xf numFmtId="166" fontId="7" fillId="24" borderId="1" xfId="0" applyNumberFormat="1" applyFont="1" applyFill="1" applyBorder="1" applyAlignment="1">
      <alignment horizontal="right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Alignment="1">
      <alignment horizontal="right"/>
    </xf>
    <xf numFmtId="166" fontId="45" fillId="39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6" fillId="5" borderId="1" xfId="0" applyNumberFormat="1" applyFont="1" applyFill="1" applyBorder="1" applyAlignment="1">
      <alignment horizontal="right"/>
    </xf>
    <xf numFmtId="166" fontId="45" fillId="25" borderId="1" xfId="0" applyNumberFormat="1" applyFont="1" applyFill="1" applyBorder="1" applyAlignment="1">
      <alignment horizontal="right"/>
    </xf>
    <xf numFmtId="166" fontId="45" fillId="37" borderId="1" xfId="0" applyNumberFormat="1" applyFont="1" applyFill="1" applyBorder="1" applyAlignment="1" applyProtection="1">
      <alignment horizontal="right"/>
      <protection locked="0"/>
    </xf>
    <xf numFmtId="168" fontId="8" fillId="0" borderId="1" xfId="0" applyNumberFormat="1" applyFont="1" applyBorder="1" applyAlignment="1" applyProtection="1">
      <alignment horizontal="right"/>
      <protection locked="0"/>
    </xf>
    <xf numFmtId="168" fontId="3" fillId="6" borderId="1" xfId="0" applyNumberFormat="1" applyFont="1" applyFill="1" applyBorder="1" applyAlignment="1">
      <alignment horizontal="right"/>
    </xf>
    <xf numFmtId="169" fontId="45" fillId="7" borderId="1" xfId="0" applyNumberFormat="1" applyFont="1" applyFill="1" applyBorder="1" applyAlignment="1">
      <alignment horizontal="center"/>
    </xf>
    <xf numFmtId="169" fontId="2" fillId="0" borderId="0" xfId="0" applyNumberFormat="1" applyFont="1"/>
    <xf numFmtId="170" fontId="11" fillId="0" borderId="0" xfId="6" applyNumberFormat="1" applyFont="1"/>
    <xf numFmtId="170" fontId="11" fillId="0" borderId="0" xfId="6" applyNumberFormat="1" applyFont="1" applyAlignment="1">
      <alignment horizontal="center"/>
    </xf>
    <xf numFmtId="170" fontId="10" fillId="2" borderId="1" xfId="6" applyNumberFormat="1" applyFont="1" applyFill="1" applyBorder="1" applyAlignment="1">
      <alignment horizontal="center" vertical="center"/>
    </xf>
    <xf numFmtId="170" fontId="10" fillId="2" borderId="4" xfId="6" applyNumberFormat="1" applyFont="1" applyFill="1" applyBorder="1" applyAlignment="1">
      <alignment horizontal="center" vertical="center"/>
    </xf>
    <xf numFmtId="170" fontId="14" fillId="29" borderId="5" xfId="6" applyNumberFormat="1" applyFont="1" applyFill="1" applyBorder="1" applyAlignment="1">
      <alignment horizontal="center" vertical="center"/>
    </xf>
    <xf numFmtId="170" fontId="47" fillId="24" borderId="0" xfId="6" applyNumberFormat="1" applyFont="1" applyFill="1" applyAlignment="1">
      <alignment horizontal="center" vertical="center"/>
    </xf>
    <xf numFmtId="170" fontId="17" fillId="34" borderId="5" xfId="6" applyNumberFormat="1" applyFont="1" applyFill="1" applyBorder="1" applyAlignment="1">
      <alignment horizontal="center"/>
    </xf>
    <xf numFmtId="170" fontId="17" fillId="36" borderId="9" xfId="6" applyNumberFormat="1" applyFont="1" applyFill="1" applyBorder="1" applyAlignment="1">
      <alignment horizontal="center"/>
    </xf>
    <xf numFmtId="170" fontId="15" fillId="0" borderId="5" xfId="6" applyNumberFormat="1" applyFont="1" applyBorder="1" applyAlignment="1" applyProtection="1">
      <alignment horizontal="center" vertical="center"/>
      <protection locked="0"/>
    </xf>
    <xf numFmtId="170" fontId="15" fillId="0" borderId="5" xfId="6" applyNumberFormat="1" applyFont="1" applyBorder="1" applyProtection="1">
      <protection locked="0"/>
    </xf>
    <xf numFmtId="170" fontId="17" fillId="0" borderId="9" xfId="6" applyNumberFormat="1" applyFont="1" applyBorder="1" applyAlignment="1" applyProtection="1">
      <alignment horizontal="center"/>
      <protection locked="0"/>
    </xf>
    <xf numFmtId="170" fontId="17" fillId="0" borderId="5" xfId="6" applyNumberFormat="1" applyFont="1" applyBorder="1" applyAlignment="1" applyProtection="1">
      <alignment horizontal="center"/>
      <protection locked="0"/>
    </xf>
    <xf numFmtId="170" fontId="54" fillId="24" borderId="5" xfId="6" applyNumberFormat="1" applyFont="1" applyFill="1" applyBorder="1" applyAlignment="1">
      <alignment horizontal="center" vertical="center"/>
    </xf>
    <xf numFmtId="170" fontId="54" fillId="24" borderId="5" xfId="6" applyNumberFormat="1" applyFont="1" applyFill="1" applyBorder="1" applyAlignment="1">
      <alignment horizontal="center"/>
    </xf>
    <xf numFmtId="170" fontId="87" fillId="0" borderId="9" xfId="6" applyNumberFormat="1" applyFont="1" applyBorder="1" applyAlignment="1" applyProtection="1">
      <alignment horizontal="center"/>
      <protection locked="0"/>
    </xf>
    <xf numFmtId="170" fontId="15" fillId="31" borderId="5" xfId="6" applyNumberFormat="1" applyFont="1" applyFill="1" applyBorder="1" applyAlignment="1" applyProtection="1">
      <alignment horizontal="center"/>
      <protection locked="0"/>
    </xf>
    <xf numFmtId="170" fontId="54" fillId="24" borderId="5" xfId="6" applyNumberFormat="1" applyFont="1" applyFill="1" applyBorder="1" applyAlignment="1" applyProtection="1">
      <alignment horizontal="center" vertical="center"/>
      <protection locked="0"/>
    </xf>
    <xf numFmtId="170" fontId="54" fillId="24" borderId="5" xfId="6" applyNumberFormat="1" applyFont="1" applyFill="1" applyBorder="1" applyAlignment="1" applyProtection="1">
      <alignment horizontal="center"/>
      <protection locked="0"/>
    </xf>
    <xf numFmtId="170" fontId="54" fillId="11" borderId="5" xfId="6" applyNumberFormat="1" applyFont="1" applyFill="1" applyBorder="1" applyAlignment="1" applyProtection="1">
      <alignment horizontal="center" vertical="center"/>
      <protection locked="0"/>
    </xf>
    <xf numFmtId="170" fontId="54" fillId="38" borderId="5" xfId="6" applyNumberFormat="1" applyFont="1" applyFill="1" applyBorder="1" applyAlignment="1" applyProtection="1">
      <alignment horizontal="center"/>
      <protection locked="0"/>
    </xf>
    <xf numFmtId="170" fontId="54" fillId="11" borderId="5" xfId="6" applyNumberFormat="1" applyFont="1" applyFill="1" applyBorder="1" applyAlignment="1" applyProtection="1">
      <alignment horizontal="center"/>
      <protection locked="0"/>
    </xf>
    <xf numFmtId="170" fontId="45" fillId="4" borderId="1" xfId="6" applyNumberFormat="1" applyFont="1" applyFill="1" applyBorder="1" applyAlignment="1" applyProtection="1">
      <alignment horizontal="center"/>
      <protection locked="0"/>
    </xf>
    <xf numFmtId="170" fontId="54" fillId="9" borderId="5" xfId="6" applyNumberFormat="1" applyFont="1" applyFill="1" applyBorder="1" applyAlignment="1">
      <alignment horizontal="center"/>
    </xf>
    <xf numFmtId="170" fontId="15" fillId="0" borderId="5" xfId="6" applyNumberFormat="1" applyFont="1" applyBorder="1" applyAlignment="1" applyProtection="1">
      <alignment horizontal="center"/>
      <protection locked="0"/>
    </xf>
    <xf numFmtId="170" fontId="0" fillId="0" borderId="0" xfId="6" applyNumberFormat="1" applyFont="1"/>
    <xf numFmtId="170" fontId="18" fillId="0" borderId="0" xfId="6" applyNumberFormat="1" applyFont="1" applyAlignment="1">
      <alignment horizontal="center"/>
    </xf>
    <xf numFmtId="170" fontId="17" fillId="24" borderId="5" xfId="6" applyNumberFormat="1" applyFont="1" applyFill="1" applyBorder="1" applyAlignment="1">
      <alignment horizontal="center"/>
    </xf>
    <xf numFmtId="170" fontId="17" fillId="24" borderId="5" xfId="6" applyNumberFormat="1" applyFont="1" applyFill="1" applyBorder="1" applyAlignment="1">
      <alignment horizontal="center" vertical="center"/>
    </xf>
    <xf numFmtId="170" fontId="15" fillId="0" borderId="9" xfId="6" applyNumberFormat="1" applyFont="1" applyBorder="1" applyAlignment="1" applyProtection="1">
      <alignment horizontal="center"/>
      <protection locked="0"/>
    </xf>
    <xf numFmtId="170" fontId="15" fillId="0" borderId="0" xfId="6" applyNumberFormat="1" applyFont="1" applyAlignment="1" applyProtection="1">
      <alignment horizontal="center" vertical="center"/>
      <protection locked="0"/>
    </xf>
    <xf numFmtId="170" fontId="15" fillId="0" borderId="0" xfId="6" applyNumberFormat="1" applyFont="1" applyProtection="1">
      <protection locked="0"/>
    </xf>
    <xf numFmtId="170" fontId="15" fillId="0" borderId="0" xfId="6" applyNumberFormat="1" applyFont="1" applyAlignment="1" applyProtection="1">
      <alignment horizontal="center"/>
      <protection locked="0"/>
    </xf>
    <xf numFmtId="170" fontId="11" fillId="0" borderId="5" xfId="6" applyNumberFormat="1" applyFont="1" applyBorder="1"/>
    <xf numFmtId="170" fontId="11" fillId="0" borderId="9" xfId="6" applyNumberFormat="1" applyFont="1" applyBorder="1" applyAlignment="1">
      <alignment horizontal="center"/>
    </xf>
    <xf numFmtId="171" fontId="0" fillId="0" borderId="0" xfId="6" applyNumberFormat="1" applyFont="1"/>
    <xf numFmtId="171" fontId="11" fillId="0" borderId="0" xfId="6" applyNumberFormat="1" applyFont="1"/>
    <xf numFmtId="171" fontId="65" fillId="0" borderId="0" xfId="6" applyNumberFormat="1" applyFont="1"/>
    <xf numFmtId="170" fontId="69" fillId="0" borderId="12" xfId="6" applyNumberFormat="1" applyFont="1" applyBorder="1" applyAlignment="1">
      <alignment vertical="center" wrapText="1"/>
    </xf>
    <xf numFmtId="170" fontId="0" fillId="0" borderId="12" xfId="6" applyNumberFormat="1" applyFont="1" applyBorder="1" applyAlignment="1">
      <alignment vertical="center" wrapText="1"/>
    </xf>
    <xf numFmtId="170" fontId="0" fillId="0" borderId="12" xfId="6" applyNumberFormat="1" applyFont="1" applyBorder="1" applyAlignment="1">
      <alignment horizontal="right" vertical="center" wrapText="1"/>
    </xf>
    <xf numFmtId="170" fontId="69" fillId="0" borderId="0" xfId="6" applyNumberFormat="1" applyFont="1" applyAlignment="1">
      <alignment vertical="center" wrapText="1"/>
    </xf>
    <xf numFmtId="170" fontId="16" fillId="11" borderId="5" xfId="6" applyNumberFormat="1" applyFont="1" applyFill="1" applyBorder="1"/>
    <xf numFmtId="170" fontId="15" fillId="0" borderId="5" xfId="6" applyNumberFormat="1" applyFont="1" applyBorder="1" applyAlignment="1" applyProtection="1">
      <alignment horizontal="right"/>
      <protection locked="0"/>
    </xf>
    <xf numFmtId="170" fontId="16" fillId="0" borderId="5" xfId="6" applyNumberFormat="1" applyFont="1" applyBorder="1" applyAlignment="1">
      <alignment horizontal="right"/>
    </xf>
    <xf numFmtId="170" fontId="16" fillId="11" borderId="5" xfId="6" applyNumberFormat="1" applyFont="1" applyFill="1" applyBorder="1" applyProtection="1">
      <protection locked="0"/>
    </xf>
    <xf numFmtId="170" fontId="0" fillId="0" borderId="0" xfId="6" applyNumberFormat="1" applyFont="1" applyAlignment="1">
      <alignment vertical="center" wrapText="1"/>
    </xf>
    <xf numFmtId="170" fontId="10" fillId="2" borderId="0" xfId="6" applyNumberFormat="1" applyFont="1" applyFill="1" applyAlignment="1">
      <alignment horizontal="center" vertical="center"/>
    </xf>
    <xf numFmtId="170" fontId="15" fillId="0" borderId="5" xfId="6" applyNumberFormat="1" applyFont="1" applyBorder="1" applyAlignment="1" applyProtection="1">
      <alignment horizontal="right" vertical="center"/>
      <protection locked="0"/>
    </xf>
    <xf numFmtId="170" fontId="17" fillId="0" borderId="5" xfId="6" applyNumberFormat="1" applyFont="1" applyBorder="1" applyAlignment="1" applyProtection="1">
      <alignment horizontal="center" vertical="center"/>
      <protection locked="0"/>
    </xf>
    <xf numFmtId="170" fontId="61" fillId="0" borderId="5" xfId="6" applyNumberFormat="1" applyFont="1" applyBorder="1" applyAlignment="1" applyProtection="1">
      <alignment horizontal="center" vertical="center"/>
      <protection locked="0"/>
    </xf>
    <xf numFmtId="170" fontId="61" fillId="0" borderId="5" xfId="6" applyNumberFormat="1" applyFont="1" applyBorder="1" applyProtection="1">
      <protection locked="0"/>
    </xf>
    <xf numFmtId="170" fontId="61" fillId="0" borderId="5" xfId="6" applyNumberFormat="1" applyFont="1" applyBorder="1" applyAlignment="1" applyProtection="1">
      <alignment horizontal="center"/>
      <protection locked="0"/>
    </xf>
    <xf numFmtId="170" fontId="61" fillId="0" borderId="9" xfId="6" applyNumberFormat="1" applyFont="1" applyBorder="1" applyAlignment="1" applyProtection="1">
      <alignment horizontal="center"/>
      <protection locked="0"/>
    </xf>
    <xf numFmtId="170" fontId="61" fillId="31" borderId="5" xfId="6" applyNumberFormat="1" applyFont="1" applyFill="1" applyBorder="1" applyProtection="1">
      <protection locked="0"/>
    </xf>
    <xf numFmtId="170" fontId="61" fillId="0" borderId="5" xfId="6" applyNumberFormat="1" applyFont="1" applyBorder="1" applyAlignment="1">
      <alignment horizontal="center" vertical="center"/>
    </xf>
    <xf numFmtId="170" fontId="15" fillId="0" borderId="5" xfId="6" applyNumberFormat="1" applyFont="1" applyBorder="1" applyAlignment="1">
      <alignment horizontal="right"/>
    </xf>
    <xf numFmtId="170" fontId="15" fillId="0" borderId="5" xfId="6" applyNumberFormat="1" applyFont="1" applyBorder="1" applyAlignment="1">
      <alignment horizontal="center" vertical="center"/>
    </xf>
    <xf numFmtId="170" fontId="15" fillId="0" borderId="5" xfId="6" applyNumberFormat="1" applyFont="1" applyBorder="1" applyAlignment="1">
      <alignment vertical="center"/>
    </xf>
    <xf numFmtId="170" fontId="15" fillId="0" borderId="5" xfId="6" applyNumberFormat="1" applyFont="1" applyBorder="1" applyAlignment="1" applyProtection="1">
      <alignment vertical="center"/>
      <protection locked="0"/>
    </xf>
    <xf numFmtId="170" fontId="12" fillId="0" borderId="5" xfId="6" applyNumberFormat="1" applyFont="1" applyBorder="1" applyAlignment="1" applyProtection="1">
      <alignment horizontal="center" vertical="center"/>
      <protection locked="0"/>
    </xf>
    <xf numFmtId="170" fontId="12" fillId="0" borderId="5" xfId="6" applyNumberFormat="1" applyFont="1" applyBorder="1" applyProtection="1">
      <protection locked="0"/>
    </xf>
    <xf numFmtId="170" fontId="12" fillId="0" borderId="6" xfId="6" applyNumberFormat="1" applyFont="1" applyBorder="1" applyAlignment="1" applyProtection="1">
      <alignment horizontal="center" vertical="center"/>
      <protection locked="0"/>
    </xf>
    <xf numFmtId="170" fontId="15" fillId="0" borderId="6" xfId="6" applyNumberFormat="1" applyFont="1" applyBorder="1" applyAlignment="1" applyProtection="1">
      <alignment horizontal="center" vertical="center"/>
      <protection locked="0"/>
    </xf>
    <xf numFmtId="170" fontId="1" fillId="0" borderId="1" xfId="6" applyNumberFormat="1" applyFont="1" applyBorder="1" applyAlignment="1">
      <alignment horizontal="center" vertical="center" wrapText="1"/>
    </xf>
    <xf numFmtId="170" fontId="12" fillId="0" borderId="8" xfId="6" applyNumberFormat="1" applyFont="1" applyBorder="1" applyProtection="1">
      <protection locked="0"/>
    </xf>
    <xf numFmtId="170" fontId="12" fillId="0" borderId="5" xfId="6" applyNumberFormat="1" applyFont="1" applyBorder="1" applyAlignment="1" applyProtection="1">
      <alignment horizontal="center"/>
      <protection locked="0"/>
    </xf>
    <xf numFmtId="170" fontId="1" fillId="0" borderId="8" xfId="6" applyNumberFormat="1" applyFont="1" applyBorder="1" applyProtection="1">
      <protection locked="0"/>
    </xf>
    <xf numFmtId="170" fontId="1" fillId="0" borderId="5" xfId="6" applyNumberFormat="1" applyFont="1" applyBorder="1" applyProtection="1">
      <protection locked="0"/>
    </xf>
    <xf numFmtId="170" fontId="1" fillId="0" borderId="5" xfId="6" applyNumberFormat="1" applyFont="1" applyBorder="1" applyAlignment="1" applyProtection="1">
      <alignment horizontal="center"/>
      <protection locked="0"/>
    </xf>
    <xf numFmtId="170" fontId="15" fillId="31" borderId="5" xfId="6" applyNumberFormat="1" applyFont="1" applyFill="1" applyBorder="1" applyAlignment="1" applyProtection="1">
      <alignment horizontal="center" vertical="center"/>
      <protection locked="0"/>
    </xf>
    <xf numFmtId="172" fontId="14" fillId="12" borderId="5" xfId="4" applyNumberFormat="1" applyFont="1" applyFill="1" applyBorder="1" applyAlignment="1">
      <alignment horizontal="center" vertical="center"/>
    </xf>
    <xf numFmtId="172" fontId="14" fillId="12" borderId="0" xfId="4" applyNumberFormat="1" applyFont="1" applyFill="1" applyAlignment="1">
      <alignment horizontal="center" vertical="center"/>
    </xf>
    <xf numFmtId="173" fontId="16" fillId="9" borderId="6" xfId="4" applyNumberFormat="1" applyFont="1" applyFill="1" applyBorder="1" applyAlignment="1">
      <alignment horizontal="right"/>
    </xf>
    <xf numFmtId="173" fontId="16" fillId="9" borderId="0" xfId="4" applyNumberFormat="1" applyFont="1" applyFill="1" applyAlignment="1">
      <alignment horizontal="right"/>
    </xf>
    <xf numFmtId="171" fontId="66" fillId="0" borderId="1" xfId="6" applyNumberFormat="1" applyFont="1" applyBorder="1" applyAlignment="1">
      <alignment horizontal="center" vertical="center"/>
    </xf>
    <xf numFmtId="171" fontId="22" fillId="0" borderId="1" xfId="6" applyNumberFormat="1" applyBorder="1" applyAlignment="1">
      <alignment horizontal="center" vertical="center"/>
    </xf>
    <xf numFmtId="171" fontId="0" fillId="0" borderId="1" xfId="6" applyNumberFormat="1" applyFont="1" applyBorder="1" applyAlignment="1">
      <alignment horizontal="center" vertical="center"/>
    </xf>
    <xf numFmtId="171" fontId="0" fillId="0" borderId="0" xfId="6" applyNumberFormat="1" applyFont="1" applyAlignment="1">
      <alignment horizontal="center" vertical="center"/>
    </xf>
    <xf numFmtId="171" fontId="22" fillId="0" borderId="0" xfId="6" applyNumberFormat="1" applyAlignment="1">
      <alignment horizontal="center" vertical="center"/>
    </xf>
    <xf numFmtId="174" fontId="0" fillId="0" borderId="1" xfId="6" applyNumberFormat="1" applyFont="1" applyBorder="1" applyAlignment="1">
      <alignment horizontal="center" vertical="center"/>
    </xf>
    <xf numFmtId="171" fontId="67" fillId="0" borderId="0" xfId="6" applyNumberFormat="1" applyFont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70" fontId="66" fillId="0" borderId="0" xfId="6" applyNumberFormat="1" applyFont="1"/>
    <xf numFmtId="171" fontId="67" fillId="0" borderId="0" xfId="6" applyNumberFormat="1" applyFont="1"/>
    <xf numFmtId="174" fontId="0" fillId="0" borderId="0" xfId="56" applyNumberFormat="1" applyFont="1" applyAlignment="1">
      <alignment horizontal="center" vertical="center"/>
    </xf>
    <xf numFmtId="174" fontId="66" fillId="0" borderId="0" xfId="56" applyNumberFormat="1" applyFont="1" applyAlignment="1">
      <alignment horizontal="center" vertical="center"/>
    </xf>
    <xf numFmtId="171" fontId="66" fillId="0" borderId="0" xfId="6" applyNumberFormat="1" applyFont="1"/>
    <xf numFmtId="174" fontId="45" fillId="5" borderId="1" xfId="56" applyNumberFormat="1" applyFont="1" applyFill="1" applyBorder="1" applyAlignment="1">
      <alignment horizontal="right"/>
    </xf>
    <xf numFmtId="174" fontId="8" fillId="0" borderId="1" xfId="0" applyNumberFormat="1" applyFont="1" applyBorder="1" applyAlignment="1" applyProtection="1">
      <alignment horizontal="right"/>
      <protection locked="0"/>
    </xf>
    <xf numFmtId="174" fontId="3" fillId="6" borderId="1" xfId="0" applyNumberFormat="1" applyFont="1" applyFill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174" fontId="3" fillId="24" borderId="1" xfId="0" applyNumberFormat="1" applyFont="1" applyFill="1" applyBorder="1" applyAlignment="1">
      <alignment horizontal="right"/>
    </xf>
    <xf numFmtId="174" fontId="3" fillId="34" borderId="1" xfId="0" applyNumberFormat="1" applyFont="1" applyFill="1" applyBorder="1" applyAlignment="1">
      <alignment horizontal="right"/>
    </xf>
    <xf numFmtId="170" fontId="83" fillId="0" borderId="1" xfId="6" applyNumberFormat="1" applyFont="1" applyBorder="1" applyAlignment="1">
      <alignment horizontal="right"/>
    </xf>
    <xf numFmtId="174" fontId="83" fillId="0" borderId="1" xfId="0" applyNumberFormat="1" applyFont="1" applyBorder="1" applyAlignment="1">
      <alignment horizontal="right"/>
    </xf>
    <xf numFmtId="170" fontId="83" fillId="0" borderId="1" xfId="0" applyNumberFormat="1" applyFont="1" applyBorder="1" applyAlignment="1">
      <alignment horizontal="right"/>
    </xf>
    <xf numFmtId="170" fontId="75" fillId="0" borderId="1" xfId="6" applyNumberFormat="1" applyFont="1" applyBorder="1" applyAlignment="1">
      <alignment horizontal="right"/>
    </xf>
    <xf numFmtId="174" fontId="75" fillId="0" borderId="1" xfId="0" applyNumberFormat="1" applyFont="1" applyBorder="1" applyAlignment="1">
      <alignment horizontal="right"/>
    </xf>
    <xf numFmtId="174" fontId="45" fillId="2" borderId="1" xfId="0" applyNumberFormat="1" applyFont="1" applyFill="1" applyBorder="1" applyAlignment="1">
      <alignment horizontal="right"/>
    </xf>
    <xf numFmtId="174" fontId="8" fillId="0" borderId="1" xfId="0" applyNumberFormat="1" applyFont="1" applyBorder="1" applyAlignment="1">
      <alignment horizontal="right"/>
    </xf>
    <xf numFmtId="171" fontId="3" fillId="40" borderId="1" xfId="6" applyNumberFormat="1" applyFont="1" applyFill="1" applyBorder="1" applyAlignment="1">
      <alignment horizontal="right"/>
    </xf>
    <xf numFmtId="171" fontId="8" fillId="0" borderId="1" xfId="6" applyNumberFormat="1" applyFont="1" applyBorder="1" applyAlignment="1" applyProtection="1">
      <alignment horizontal="right"/>
      <protection locked="0"/>
    </xf>
    <xf numFmtId="174" fontId="45" fillId="5" borderId="1" xfId="0" applyNumberFormat="1" applyFont="1" applyFill="1" applyBorder="1" applyAlignment="1">
      <alignment horizontal="right"/>
    </xf>
    <xf numFmtId="174" fontId="45" fillId="0" borderId="1" xfId="0" applyNumberFormat="1" applyFont="1" applyBorder="1" applyAlignment="1">
      <alignment horizontal="right"/>
    </xf>
    <xf numFmtId="174" fontId="88" fillId="6" borderId="1" xfId="0" applyNumberFormat="1" applyFont="1" applyFill="1" applyBorder="1" applyAlignment="1">
      <alignment horizontal="right"/>
    </xf>
    <xf numFmtId="174" fontId="6" fillId="24" borderId="1" xfId="0" applyNumberFormat="1" applyFont="1" applyFill="1" applyBorder="1" applyAlignment="1">
      <alignment horizontal="right"/>
    </xf>
    <xf numFmtId="170" fontId="77" fillId="34" borderId="1" xfId="6" applyNumberFormat="1" applyFont="1" applyFill="1" applyBorder="1" applyAlignment="1">
      <alignment horizontal="right"/>
    </xf>
    <xf numFmtId="174" fontId="83" fillId="34" borderId="1" xfId="0" applyNumberFormat="1" applyFont="1" applyFill="1" applyBorder="1" applyAlignment="1">
      <alignment horizontal="right"/>
    </xf>
    <xf numFmtId="170" fontId="77" fillId="34" borderId="1" xfId="0" applyNumberFormat="1" applyFont="1" applyFill="1" applyBorder="1" applyAlignment="1">
      <alignment horizontal="right"/>
    </xf>
    <xf numFmtId="170" fontId="83" fillId="34" borderId="1" xfId="6" applyNumberFormat="1" applyFont="1" applyFill="1" applyBorder="1" applyAlignment="1">
      <alignment horizontal="right"/>
    </xf>
    <xf numFmtId="170" fontId="83" fillId="34" borderId="1" xfId="0" applyNumberFormat="1" applyFont="1" applyFill="1" applyBorder="1" applyAlignment="1">
      <alignment horizontal="right"/>
    </xf>
    <xf numFmtId="170" fontId="77" fillId="24" borderId="1" xfId="6" applyNumberFormat="1" applyFont="1" applyFill="1" applyBorder="1" applyAlignment="1">
      <alignment horizontal="right"/>
    </xf>
    <xf numFmtId="174" fontId="83" fillId="24" borderId="1" xfId="0" applyNumberFormat="1" applyFont="1" applyFill="1" applyBorder="1" applyAlignment="1">
      <alignment horizontal="right"/>
    </xf>
    <xf numFmtId="170" fontId="77" fillId="24" borderId="1" xfId="0" applyNumberFormat="1" applyFont="1" applyFill="1" applyBorder="1" applyAlignment="1">
      <alignment horizontal="right"/>
    </xf>
    <xf numFmtId="170" fontId="83" fillId="24" borderId="1" xfId="6" applyNumberFormat="1" applyFont="1" applyFill="1" applyBorder="1" applyAlignment="1">
      <alignment horizontal="right"/>
    </xf>
    <xf numFmtId="170" fontId="83" fillId="24" borderId="1" xfId="0" applyNumberFormat="1" applyFont="1" applyFill="1" applyBorder="1" applyAlignment="1">
      <alignment horizontal="right"/>
    </xf>
    <xf numFmtId="170" fontId="75" fillId="0" borderId="1" xfId="0" applyNumberFormat="1" applyFont="1" applyBorder="1" applyAlignment="1">
      <alignment horizontal="right"/>
    </xf>
    <xf numFmtId="174" fontId="7" fillId="24" borderId="1" xfId="0" applyNumberFormat="1" applyFont="1" applyFill="1" applyBorder="1" applyAlignment="1">
      <alignment horizontal="right"/>
    </xf>
    <xf numFmtId="170" fontId="2" fillId="0" borderId="1" xfId="6" applyNumberFormat="1" applyFont="1" applyBorder="1" applyAlignment="1">
      <alignment horizontal="right"/>
    </xf>
    <xf numFmtId="174" fontId="2" fillId="0" borderId="1" xfId="0" applyNumberFormat="1" applyFont="1" applyBorder="1" applyAlignment="1">
      <alignment horizontal="right"/>
    </xf>
    <xf numFmtId="170" fontId="2" fillId="0" borderId="1" xfId="0" applyNumberFormat="1" applyFont="1" applyBorder="1" applyAlignment="1">
      <alignment horizontal="right"/>
    </xf>
    <xf numFmtId="174" fontId="6" fillId="0" borderId="0" xfId="0" applyNumberFormat="1" applyFont="1" applyAlignment="1" applyProtection="1">
      <alignment horizontal="right"/>
      <protection locked="0"/>
    </xf>
    <xf numFmtId="174" fontId="45" fillId="39" borderId="1" xfId="0" applyNumberFormat="1" applyFont="1" applyFill="1" applyBorder="1" applyAlignment="1">
      <alignment horizontal="right" wrapText="1"/>
    </xf>
    <xf numFmtId="174" fontId="3" fillId="0" borderId="1" xfId="0" applyNumberFormat="1" applyFont="1" applyBorder="1" applyAlignment="1">
      <alignment horizontal="right"/>
    </xf>
    <xf numFmtId="174" fontId="6" fillId="5" borderId="1" xfId="0" applyNumberFormat="1" applyFont="1" applyFill="1" applyBorder="1" applyAlignment="1">
      <alignment horizontal="right"/>
    </xf>
    <xf numFmtId="170" fontId="8" fillId="0" borderId="1" xfId="6" applyNumberFormat="1" applyFont="1" applyBorder="1" applyAlignment="1">
      <alignment horizontal="right"/>
    </xf>
    <xf numFmtId="174" fontId="45" fillId="25" borderId="1" xfId="0" applyNumberFormat="1" applyFont="1" applyFill="1" applyBorder="1" applyAlignment="1">
      <alignment horizontal="right" wrapText="1"/>
    </xf>
    <xf numFmtId="174" fontId="45" fillId="0" borderId="1" xfId="0" applyNumberFormat="1" applyFont="1" applyBorder="1" applyAlignment="1">
      <alignment horizontal="right" wrapText="1"/>
    </xf>
    <xf numFmtId="174" fontId="45" fillId="37" borderId="1" xfId="0" applyNumberFormat="1" applyFont="1" applyFill="1" applyBorder="1" applyAlignment="1" applyProtection="1">
      <alignment horizontal="right"/>
      <protection locked="0"/>
    </xf>
    <xf numFmtId="175" fontId="3" fillId="34" borderId="1" xfId="0" applyNumberFormat="1" applyFont="1" applyFill="1" applyBorder="1" applyAlignment="1" applyProtection="1">
      <alignment horizontal="center"/>
      <protection locked="0"/>
    </xf>
    <xf numFmtId="167" fontId="1" fillId="31" borderId="1" xfId="6" applyFont="1" applyFill="1" applyBorder="1"/>
    <xf numFmtId="4" fontId="92" fillId="31" borderId="13" xfId="61" applyNumberFormat="1" applyFont="1" applyFill="1" applyBorder="1" applyAlignment="1">
      <alignment horizontal="right" vertical="top" wrapText="1"/>
    </xf>
    <xf numFmtId="4" fontId="91" fillId="31" borderId="13" xfId="61" applyNumberFormat="1" applyFont="1" applyFill="1" applyBorder="1" applyAlignment="1">
      <alignment horizontal="right" vertical="top" wrapText="1"/>
    </xf>
    <xf numFmtId="167" fontId="1" fillId="31" borderId="1" xfId="6" applyFont="1" applyFill="1" applyBorder="1" applyProtection="1">
      <protection locked="0"/>
    </xf>
    <xf numFmtId="4" fontId="96" fillId="31" borderId="13" xfId="61" applyNumberFormat="1" applyFont="1" applyFill="1" applyBorder="1" applyAlignment="1">
      <alignment horizontal="right" vertical="top" wrapText="1"/>
    </xf>
    <xf numFmtId="167" fontId="1" fillId="31" borderId="1" xfId="6" applyFont="1" applyFill="1" applyBorder="1" applyAlignment="1">
      <alignment wrapText="1"/>
    </xf>
    <xf numFmtId="167" fontId="12" fillId="31" borderId="1" xfId="6" applyFont="1" applyFill="1" applyBorder="1" applyProtection="1">
      <protection locked="0"/>
    </xf>
    <xf numFmtId="4" fontId="91" fillId="6" borderId="13" xfId="58" applyNumberFormat="1" applyFont="1" applyFill="1" applyBorder="1" applyAlignment="1">
      <alignment horizontal="right" vertical="top" wrapText="1"/>
    </xf>
    <xf numFmtId="2" fontId="91" fillId="6" borderId="13" xfId="58" applyNumberFormat="1" applyFont="1" applyFill="1" applyBorder="1" applyAlignment="1">
      <alignment horizontal="right" vertical="top" wrapText="1"/>
    </xf>
    <xf numFmtId="4" fontId="91" fillId="37" borderId="13" xfId="58" applyNumberFormat="1" applyFont="1" applyFill="1" applyBorder="1" applyAlignment="1">
      <alignment horizontal="right" vertical="top" wrapText="1"/>
    </xf>
    <xf numFmtId="2" fontId="91" fillId="37" borderId="13" xfId="58" applyNumberFormat="1" applyFont="1" applyFill="1" applyBorder="1" applyAlignment="1">
      <alignment horizontal="right" vertical="top" wrapText="1"/>
    </xf>
    <xf numFmtId="170" fontId="15" fillId="0" borderId="11" xfId="6" applyNumberFormat="1" applyFont="1" applyBorder="1" applyProtection="1">
      <protection locked="0"/>
    </xf>
    <xf numFmtId="4" fontId="91" fillId="37" borderId="22" xfId="58" applyNumberFormat="1" applyFont="1" applyFill="1" applyBorder="1" applyAlignment="1">
      <alignment horizontal="right" vertical="top" wrapText="1"/>
    </xf>
    <xf numFmtId="4" fontId="91" fillId="37" borderId="21" xfId="58" applyNumberFormat="1" applyFont="1" applyFill="1" applyBorder="1" applyAlignment="1">
      <alignment horizontal="right" vertical="top" wrapText="1"/>
    </xf>
    <xf numFmtId="2" fontId="91" fillId="37" borderId="20" xfId="58" applyNumberFormat="1" applyFont="1" applyFill="1" applyBorder="1" applyAlignment="1">
      <alignment horizontal="right" vertical="top" wrapText="1"/>
    </xf>
    <xf numFmtId="4" fontId="91" fillId="41" borderId="13" xfId="58" applyNumberFormat="1" applyFont="1" applyFill="1" applyBorder="1" applyAlignment="1">
      <alignment horizontal="right" vertical="top" wrapText="1"/>
    </xf>
    <xf numFmtId="4" fontId="94" fillId="41" borderId="13" xfId="58" applyNumberFormat="1" applyFont="1" applyFill="1" applyBorder="1" applyAlignment="1">
      <alignment horizontal="right" vertical="top" wrapText="1"/>
    </xf>
    <xf numFmtId="4" fontId="91" fillId="31" borderId="13" xfId="58" applyNumberFormat="1" applyFont="1" applyFill="1" applyBorder="1" applyAlignment="1">
      <alignment horizontal="right" vertical="top" wrapText="1"/>
    </xf>
    <xf numFmtId="4" fontId="97" fillId="0" borderId="13" xfId="61" applyNumberFormat="1" applyFont="1" applyBorder="1" applyAlignment="1">
      <alignment horizontal="right" vertical="top" wrapText="1"/>
    </xf>
    <xf numFmtId="175" fontId="45" fillId="7" borderId="1" xfId="0" applyNumberFormat="1" applyFont="1" applyFill="1" applyBorder="1" applyAlignment="1">
      <alignment horizontal="center"/>
    </xf>
    <xf numFmtId="14" fontId="15" fillId="0" borderId="0" xfId="2" applyNumberFormat="1" applyFont="1"/>
    <xf numFmtId="4" fontId="97" fillId="0" borderId="13" xfId="58" applyNumberFormat="1" applyFont="1" applyBorder="1" applyAlignment="1">
      <alignment horizontal="right" vertical="top" wrapText="1"/>
    </xf>
    <xf numFmtId="164" fontId="76" fillId="2" borderId="1" xfId="0" applyFont="1" applyFill="1" applyBorder="1" applyAlignment="1">
      <alignment horizontal="center" vertical="center"/>
    </xf>
    <xf numFmtId="0" fontId="0" fillId="0" borderId="19" xfId="0" applyNumberFormat="1" applyBorder="1"/>
    <xf numFmtId="0" fontId="0" fillId="0" borderId="4" xfId="0" applyNumberFormat="1" applyBorder="1"/>
    <xf numFmtId="164" fontId="76" fillId="2" borderId="1" xfId="1" applyFont="1" applyFill="1" applyBorder="1" applyAlignment="1">
      <alignment horizontal="center" vertical="center"/>
    </xf>
  </cellXfs>
  <cellStyles count="63">
    <cellStyle name="Accent" xfId="10" xr:uid="{00000000-0005-0000-0000-00000A000000}"/>
    <cellStyle name="Accent 1" xfId="11" xr:uid="{00000000-0005-0000-0000-00000B000000}"/>
    <cellStyle name="Accent 2" xfId="12" xr:uid="{00000000-0005-0000-0000-00000C000000}"/>
    <cellStyle name="Accent 3" xfId="13" xr:uid="{00000000-0005-0000-0000-00000D000000}"/>
    <cellStyle name="Bad" xfId="14" xr:uid="{00000000-0005-0000-0000-00000E000000}"/>
    <cellStyle name="Error" xfId="15" xr:uid="{00000000-0005-0000-0000-00000F000000}"/>
    <cellStyle name="Excel Built-in Normal" xfId="2" xr:uid="{00000000-0005-0000-0000-000002000000}"/>
    <cellStyle name="Excel Built-in Normal 1" xfId="1" xr:uid="{00000000-0005-0000-0000-000001000000}"/>
    <cellStyle name="Excel Built-in Normal 1 2" xfId="7" xr:uid="{00000000-0005-0000-0000-000007000000}"/>
    <cellStyle name="Excel Built-in Normal 1 3" xfId="17" xr:uid="{00000000-0005-0000-0000-000011000000}"/>
    <cellStyle name="Excel Built-in Normal 1 4" xfId="16" xr:uid="{00000000-0005-0000-0000-000010000000}"/>
    <cellStyle name="Excel Built-in Normal 2" xfId="3" xr:uid="{00000000-0005-0000-0000-000003000000}"/>
    <cellStyle name="Excel Built-in Normal 3" xfId="4" xr:uid="{00000000-0005-0000-0000-000004000000}"/>
    <cellStyle name="Excel Built-in Normal 4" xfId="43" xr:uid="{00000000-0005-0000-0000-00002B000000}"/>
    <cellStyle name="Footnote" xfId="18" xr:uid="{00000000-0005-0000-0000-000012000000}"/>
    <cellStyle name="Good" xfId="19" xr:uid="{00000000-0005-0000-0000-000013000000}"/>
    <cellStyle name="Heading" xfId="20" xr:uid="{00000000-0005-0000-0000-000014000000}"/>
    <cellStyle name="Heading 1" xfId="21" xr:uid="{00000000-0005-0000-0000-000015000000}"/>
    <cellStyle name="Heading 2" xfId="22" xr:uid="{00000000-0005-0000-0000-000016000000}"/>
    <cellStyle name="Heading1" xfId="23" xr:uid="{00000000-0005-0000-0000-000017000000}"/>
    <cellStyle name="Neutral" xfId="24" xr:uid="{00000000-0005-0000-0000-000018000000}"/>
    <cellStyle name="Note" xfId="25" xr:uid="{00000000-0005-0000-0000-000019000000}"/>
    <cellStyle name="Result" xfId="26" xr:uid="{00000000-0005-0000-0000-00001A000000}"/>
    <cellStyle name="Result2" xfId="27" xr:uid="{00000000-0005-0000-0000-00001B000000}"/>
    <cellStyle name="Status" xfId="28" xr:uid="{00000000-0005-0000-0000-00001C000000}"/>
    <cellStyle name="Text" xfId="29" xr:uid="{00000000-0005-0000-0000-00001D000000}"/>
    <cellStyle name="Warning" xfId="30" xr:uid="{00000000-0005-0000-0000-00001E000000}"/>
    <cellStyle name="Денежный" xfId="8" builtinId="4"/>
    <cellStyle name="Денежный 2" xfId="31" xr:uid="{00000000-0005-0000-0000-00001F000000}"/>
    <cellStyle name="Денежный 2 2" xfId="46" xr:uid="{00000000-0005-0000-0000-00002E000000}"/>
    <cellStyle name="Денежный 3" xfId="35" xr:uid="{00000000-0005-0000-0000-000023000000}"/>
    <cellStyle name="Денежный 3 2" xfId="48" xr:uid="{00000000-0005-0000-0000-000030000000}"/>
    <cellStyle name="Денежный 4" xfId="37" xr:uid="{00000000-0005-0000-0000-000025000000}"/>
    <cellStyle name="Денежный 4 2" xfId="50" xr:uid="{00000000-0005-0000-0000-000032000000}"/>
    <cellStyle name="Денежный 5" xfId="39" xr:uid="{00000000-0005-0000-0000-000027000000}"/>
    <cellStyle name="Денежный 5 2" xfId="52" xr:uid="{00000000-0005-0000-0000-000034000000}"/>
    <cellStyle name="Денежный 6" xfId="41" xr:uid="{00000000-0005-0000-0000-000029000000}"/>
    <cellStyle name="Денежный 6 2" xfId="54" xr:uid="{00000000-0005-0000-0000-000036000000}"/>
    <cellStyle name="Денежный 7" xfId="45" xr:uid="{00000000-0005-0000-0000-00002D000000}"/>
    <cellStyle name="Обычный" xfId="0" builtinId="0"/>
    <cellStyle name="Обычный 2" xfId="5" xr:uid="{00000000-0005-0000-0000-000005000000}"/>
    <cellStyle name="Обычный 2 2" xfId="32" xr:uid="{00000000-0005-0000-0000-000020000000}"/>
    <cellStyle name="Обычный 3" xfId="33" xr:uid="{00000000-0005-0000-0000-000021000000}"/>
    <cellStyle name="Обычный 4" xfId="9" xr:uid="{00000000-0005-0000-0000-000009000000}"/>
    <cellStyle name="Обычный 5" xfId="57" xr:uid="{00000000-0005-0000-0000-000039000000}"/>
    <cellStyle name="Обычный_баланс" xfId="61" xr:uid="{00000000-0005-0000-0000-00003D000000}"/>
    <cellStyle name="Обычный_Деление БарКухня" xfId="62" xr:uid="{00000000-0005-0000-0000-00003E000000}"/>
    <cellStyle name="Обычный_Лист2" xfId="59" xr:uid="{00000000-0005-0000-0000-00003B000000}"/>
    <cellStyle name="Обычный_Отчет о фин.рез." xfId="60" xr:uid="{00000000-0005-0000-0000-00003C000000}"/>
    <cellStyle name="Обычный_Расходы" xfId="58" xr:uid="{00000000-0005-0000-0000-00003A000000}"/>
    <cellStyle name="Процентный" xfId="56" builtinId="5"/>
    <cellStyle name="Финансовый" xfId="6" builtinId="3"/>
    <cellStyle name="Финансовый 2" xfId="34" xr:uid="{00000000-0005-0000-0000-000022000000}"/>
    <cellStyle name="Финансовый 2 2" xfId="47" xr:uid="{00000000-0005-0000-0000-00002F000000}"/>
    <cellStyle name="Финансовый 3" xfId="36" xr:uid="{00000000-0005-0000-0000-000024000000}"/>
    <cellStyle name="Финансовый 3 2" xfId="49" xr:uid="{00000000-0005-0000-0000-000031000000}"/>
    <cellStyle name="Финансовый 4" xfId="38" xr:uid="{00000000-0005-0000-0000-000026000000}"/>
    <cellStyle name="Финансовый 4 2" xfId="51" xr:uid="{00000000-0005-0000-0000-000033000000}"/>
    <cellStyle name="Финансовый 5" xfId="40" xr:uid="{00000000-0005-0000-0000-000028000000}"/>
    <cellStyle name="Финансовый 5 2" xfId="53" xr:uid="{00000000-0005-0000-0000-000035000000}"/>
    <cellStyle name="Финансовый 6" xfId="42" xr:uid="{00000000-0005-0000-0000-00002A000000}"/>
    <cellStyle name="Финансовый 6 2" xfId="55" xr:uid="{00000000-0005-0000-0000-000037000000}"/>
    <cellStyle name="Финансовый 7" xfId="44" xr:uid="{00000000-0005-0000-0000-00002C000000}"/>
  </cellStyles>
  <dxfs count="31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'Деление БарКухня'!$D$40</c:f>
              <c:strCache>
                <c:ptCount val="1"/>
                <c:pt idx="0">
                  <c:v>Бар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'Деление БарКухня'!$E$39:$P$39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'Деление БарКухня'!$E$40:$P$40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0.33359397880213193</c:v>
                </c:pt>
                <c:pt idx="3">
                  <c:v>0.33565113315719391</c:v>
                </c:pt>
                <c:pt idx="4">
                  <c:v>0.32504575098265448</c:v>
                </c:pt>
                <c:pt idx="5">
                  <c:v>0.3102892985246356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8-4098-B67F-1D53F021A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402543"/>
        <c:axId val="1544508767"/>
      </c:lineChart>
      <c:dateAx>
        <c:axId val="15194025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508767"/>
        <c:crosses val="autoZero"/>
        <c:auto val="1"/>
        <c:lblOffset val="100"/>
        <c:baseTimeUnit val="months"/>
      </c:dateAx>
      <c:valAx>
        <c:axId val="15445087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940254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792480</xdr:colOff>
      <xdr:row>40</xdr:row>
      <xdr:rowOff>129540</xdr:rowOff>
    </xdr:from>
    <xdr:to>
      <xdr:col>11</xdr:col>
      <xdr:colOff>396240</xdr:colOff>
      <xdr:row>55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.localhost\Ubuntu\Private%20Documents\&#1043;&#1083;.&#1041;&#1091;&#1093;\&#1054;&#1090;&#1095;&#1077;&#1090;&#1099;%202021\&#1041;&#1077;&#1085;&#1077;&#1076;&#1080;&#1082;&#1090;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 о фин.рез."/>
      <sheetName val="расшифровка расходов"/>
      <sheetName val="баланс"/>
      <sheetName val="Гладкова или Фит"/>
      <sheetName val="Деление кухняБар"/>
    </sheetNames>
    <sheetDataSet>
      <sheetData sheetId="0"/>
      <sheetData sheetId="1"/>
      <sheetData sheetId="2">
        <row r="38">
          <cell r="P38">
            <v>33798.320000004023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zoomScale="80" zoomScaleNormal="80" workbookViewId="0">
      <pane xSplit="1" ySplit="1" topLeftCell="B38" activePane="bottomRight" state="frozen"/>
      <selection pane="topRight" activeCell="B1" sqref="B1"/>
      <selection pane="bottomLeft" activeCell="A3" sqref="A3"/>
      <selection pane="bottomRight" activeCell="Q64" sqref="Q64"/>
    </sheetView>
  </sheetViews>
  <sheetFormatPr defaultColWidth="9.140625" defaultRowHeight="15.75"/>
  <cols>
    <col min="1" max="1" width="32.5703125" style="81" customWidth="1"/>
    <col min="2" max="2" width="12.28515625" style="81" customWidth="1"/>
    <col min="3" max="3" width="16.140625" style="81" customWidth="1"/>
    <col min="4" max="4" width="19" style="81" customWidth="1"/>
    <col min="5" max="5" width="17.85546875" style="81" customWidth="1"/>
    <col min="6" max="6" width="20.5703125" style="81" customWidth="1"/>
    <col min="7" max="7" width="16.42578125" style="81" customWidth="1"/>
    <col min="8" max="13" width="12.28515625" style="81" customWidth="1"/>
    <col min="14" max="14" width="17.85546875" style="81" customWidth="1"/>
    <col min="15" max="15" width="21.140625" style="128" customWidth="1"/>
    <col min="16" max="27" width="9.140625" style="81" customWidth="1"/>
    <col min="28" max="16384" width="9.140625" style="81"/>
  </cols>
  <sheetData>
    <row r="1" spans="1:15">
      <c r="A1" s="21" t="s">
        <v>0</v>
      </c>
      <c r="B1" s="129" t="s">
        <v>1</v>
      </c>
      <c r="C1" s="130" t="s">
        <v>2</v>
      </c>
      <c r="D1" s="130" t="s">
        <v>3</v>
      </c>
      <c r="E1" s="130" t="s">
        <v>4</v>
      </c>
      <c r="F1" s="129" t="s">
        <v>5</v>
      </c>
      <c r="G1" s="129" t="s">
        <v>6</v>
      </c>
      <c r="H1" s="129" t="s">
        <v>7</v>
      </c>
      <c r="I1" s="129" t="s">
        <v>8</v>
      </c>
      <c r="J1" s="129" t="s">
        <v>9</v>
      </c>
      <c r="K1" s="129" t="s">
        <v>10</v>
      </c>
      <c r="L1" s="129" t="s">
        <v>11</v>
      </c>
      <c r="M1" s="129" t="s">
        <v>12</v>
      </c>
      <c r="N1" s="131" t="s">
        <v>13</v>
      </c>
      <c r="O1" s="132" t="s">
        <v>14</v>
      </c>
    </row>
    <row r="2" spans="1:15" s="89" customFormat="1" ht="17.45" customHeight="1">
      <c r="A2" s="90" t="s">
        <v>15</v>
      </c>
      <c r="B2" s="234">
        <f t="shared" ref="B2:N2" si="0">SUM(B3:B5)</f>
        <v>0</v>
      </c>
      <c r="C2" s="234">
        <f t="shared" si="0"/>
        <v>0</v>
      </c>
      <c r="D2" s="234">
        <f t="shared" si="0"/>
        <v>5929.9</v>
      </c>
      <c r="E2" s="234">
        <f t="shared" si="0"/>
        <v>13713.2</v>
      </c>
      <c r="F2" s="234">
        <f t="shared" si="0"/>
        <v>15712.59</v>
      </c>
      <c r="G2" s="234">
        <f t="shared" si="0"/>
        <v>14253.351000000001</v>
      </c>
      <c r="H2" s="234">
        <f t="shared" si="0"/>
        <v>0</v>
      </c>
      <c r="I2" s="234">
        <f t="shared" si="0"/>
        <v>0</v>
      </c>
      <c r="J2" s="234">
        <f t="shared" si="0"/>
        <v>0</v>
      </c>
      <c r="K2" s="234">
        <f t="shared" si="0"/>
        <v>0</v>
      </c>
      <c r="L2" s="234">
        <f t="shared" si="0"/>
        <v>0</v>
      </c>
      <c r="M2" s="234">
        <f t="shared" si="0"/>
        <v>0</v>
      </c>
      <c r="N2" s="234">
        <f t="shared" si="0"/>
        <v>49609.041000000005</v>
      </c>
      <c r="O2" s="235">
        <f t="shared" ref="O2:O9" si="1">+SUM($B2:$M2)-N2</f>
        <v>0</v>
      </c>
    </row>
    <row r="3" spans="1:15" s="133" customFormat="1">
      <c r="A3" s="134" t="s">
        <v>16</v>
      </c>
      <c r="B3" s="36">
        <v>0</v>
      </c>
      <c r="C3" s="236"/>
      <c r="D3" s="236">
        <v>5929.9</v>
      </c>
      <c r="E3" s="220">
        <v>13713.2</v>
      </c>
      <c r="F3" s="220">
        <v>15712.59</v>
      </c>
      <c r="G3" s="236">
        <v>14253.351000000001</v>
      </c>
      <c r="H3" s="236"/>
      <c r="I3" s="236"/>
      <c r="J3" s="236"/>
      <c r="K3" s="236"/>
      <c r="L3" s="236"/>
      <c r="M3" s="236"/>
      <c r="N3" s="236">
        <f>SUM(B3:M3)</f>
        <v>49609.041000000005</v>
      </c>
      <c r="O3" s="237">
        <f t="shared" si="1"/>
        <v>0</v>
      </c>
    </row>
    <row r="4" spans="1:15" s="133" customFormat="1">
      <c r="A4" s="134" t="s">
        <v>17</v>
      </c>
      <c r="B4" s="238">
        <v>0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>
        <f>SUM(B4:M4)</f>
        <v>0</v>
      </c>
      <c r="O4" s="237">
        <f t="shared" si="1"/>
        <v>0</v>
      </c>
    </row>
    <row r="5" spans="1:15" s="133" customFormat="1" ht="15.6" customHeight="1">
      <c r="A5" s="134" t="s">
        <v>18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>
        <f>SUM(B5:M5)</f>
        <v>0</v>
      </c>
      <c r="O5" s="237">
        <f t="shared" si="1"/>
        <v>0</v>
      </c>
    </row>
    <row r="6" spans="1:15" s="94" customFormat="1">
      <c r="A6" s="95" t="s">
        <v>19</v>
      </c>
      <c r="B6" s="239">
        <f t="shared" ref="B6:N6" si="2">+SUM(B7:B9)</f>
        <v>0</v>
      </c>
      <c r="C6" s="239">
        <f t="shared" si="2"/>
        <v>0</v>
      </c>
      <c r="D6" s="239">
        <f t="shared" si="2"/>
        <v>3807</v>
      </c>
      <c r="E6" s="239">
        <f t="shared" si="2"/>
        <v>8253</v>
      </c>
      <c r="F6" s="239">
        <f t="shared" si="2"/>
        <v>9177</v>
      </c>
      <c r="G6" s="239">
        <f t="shared" si="2"/>
        <v>9166</v>
      </c>
      <c r="H6" s="239">
        <f t="shared" si="2"/>
        <v>0</v>
      </c>
      <c r="I6" s="239">
        <f t="shared" si="2"/>
        <v>0</v>
      </c>
      <c r="J6" s="239">
        <f t="shared" si="2"/>
        <v>0</v>
      </c>
      <c r="K6" s="239">
        <f t="shared" si="2"/>
        <v>0</v>
      </c>
      <c r="L6" s="239">
        <f t="shared" si="2"/>
        <v>0</v>
      </c>
      <c r="M6" s="239">
        <f t="shared" si="2"/>
        <v>0</v>
      </c>
      <c r="N6" s="239">
        <f t="shared" si="2"/>
        <v>30403</v>
      </c>
      <c r="O6" s="240">
        <f t="shared" si="1"/>
        <v>0</v>
      </c>
    </row>
    <row r="7" spans="1:15" s="133" customFormat="1">
      <c r="A7" s="134" t="s">
        <v>16</v>
      </c>
      <c r="B7" s="367">
        <v>0</v>
      </c>
      <c r="C7" s="236"/>
      <c r="D7" s="236">
        <v>3807</v>
      </c>
      <c r="E7" s="236">
        <v>8253</v>
      </c>
      <c r="F7" s="236">
        <v>9177</v>
      </c>
      <c r="G7" s="236">
        <v>9085</v>
      </c>
      <c r="H7" s="236"/>
      <c r="I7" s="236"/>
      <c r="J7" s="236"/>
      <c r="K7" s="236"/>
      <c r="L7" s="236"/>
      <c r="M7" s="236"/>
      <c r="N7" s="236">
        <f>SUM(B7:M7)</f>
        <v>30322</v>
      </c>
      <c r="O7" s="241">
        <f t="shared" si="1"/>
        <v>0</v>
      </c>
    </row>
    <row r="8" spans="1:15" s="133" customFormat="1">
      <c r="A8" s="134" t="s">
        <v>17</v>
      </c>
      <c r="B8" s="367">
        <v>0</v>
      </c>
      <c r="C8" s="236"/>
      <c r="D8" s="236"/>
      <c r="E8" s="236"/>
      <c r="F8" s="236"/>
      <c r="G8" s="236">
        <v>81</v>
      </c>
      <c r="H8" s="236"/>
      <c r="I8" s="236"/>
      <c r="J8" s="236"/>
      <c r="K8" s="236"/>
      <c r="L8" s="236"/>
      <c r="M8" s="236"/>
      <c r="N8" s="236">
        <f>SUM(B8:M8)</f>
        <v>81</v>
      </c>
      <c r="O8" s="241">
        <f t="shared" si="1"/>
        <v>0</v>
      </c>
    </row>
    <row r="9" spans="1:15" s="133" customFormat="1" ht="17.45" customHeight="1">
      <c r="A9" s="134" t="s">
        <v>18</v>
      </c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>
        <f>SUM(B9:M9)</f>
        <v>0</v>
      </c>
      <c r="O9" s="241">
        <f t="shared" si="1"/>
        <v>0</v>
      </c>
    </row>
    <row r="10" spans="1:15" s="133" customFormat="1" ht="17.45" customHeight="1">
      <c r="A10" s="95" t="s">
        <v>20</v>
      </c>
      <c r="B10" s="368" t="str">
        <f t="shared" ref="B10:N10" si="3">IFERROR(B2*1000/B6,"")</f>
        <v/>
      </c>
      <c r="C10" s="368" t="str">
        <f t="shared" si="3"/>
        <v/>
      </c>
      <c r="D10" s="368">
        <f t="shared" si="3"/>
        <v>1557.6306803257157</v>
      </c>
      <c r="E10" s="368">
        <f t="shared" si="3"/>
        <v>1661.6018417545135</v>
      </c>
      <c r="F10" s="368">
        <f t="shared" si="3"/>
        <v>1712.1706440013077</v>
      </c>
      <c r="G10" s="368">
        <f t="shared" si="3"/>
        <v>1555.024110844425</v>
      </c>
      <c r="H10" s="368" t="str">
        <f t="shared" si="3"/>
        <v/>
      </c>
      <c r="I10" s="368" t="str">
        <f t="shared" si="3"/>
        <v/>
      </c>
      <c r="J10" s="368" t="str">
        <f t="shared" si="3"/>
        <v/>
      </c>
      <c r="K10" s="368" t="str">
        <f t="shared" si="3"/>
        <v/>
      </c>
      <c r="L10" s="368" t="str">
        <f t="shared" si="3"/>
        <v/>
      </c>
      <c r="M10" s="368" t="str">
        <f t="shared" si="3"/>
        <v/>
      </c>
      <c r="N10" s="368">
        <f t="shared" si="3"/>
        <v>1631.7153241456438</v>
      </c>
      <c r="O10" s="241"/>
    </row>
    <row r="11" spans="1:15" s="133" customFormat="1" ht="17.45" customHeight="1">
      <c r="A11" s="134" t="s">
        <v>16</v>
      </c>
      <c r="B11" s="367" t="str">
        <f t="shared" ref="B11:N11" si="4">IFERROR(B3*1000/B7,"-")</f>
        <v>-</v>
      </c>
      <c r="C11" s="367" t="str">
        <f t="shared" si="4"/>
        <v>-</v>
      </c>
      <c r="D11" s="367">
        <f t="shared" si="4"/>
        <v>1557.6306803257157</v>
      </c>
      <c r="E11" s="367">
        <f t="shared" si="4"/>
        <v>1661.6018417545135</v>
      </c>
      <c r="F11" s="367">
        <f t="shared" si="4"/>
        <v>1712.1706440013077</v>
      </c>
      <c r="G11" s="367">
        <f t="shared" si="4"/>
        <v>1568.8883874518438</v>
      </c>
      <c r="H11" s="367" t="str">
        <f t="shared" si="4"/>
        <v>-</v>
      </c>
      <c r="I11" s="367" t="str">
        <f t="shared" si="4"/>
        <v>-</v>
      </c>
      <c r="J11" s="367" t="str">
        <f t="shared" si="4"/>
        <v>-</v>
      </c>
      <c r="K11" s="367" t="str">
        <f t="shared" si="4"/>
        <v>-</v>
      </c>
      <c r="L11" s="367" t="str">
        <f t="shared" si="4"/>
        <v>-</v>
      </c>
      <c r="M11" s="367" t="str">
        <f t="shared" si="4"/>
        <v>-</v>
      </c>
      <c r="N11" s="367">
        <f t="shared" si="4"/>
        <v>1636.074170569224</v>
      </c>
      <c r="O11" s="241"/>
    </row>
    <row r="12" spans="1:15" s="133" customFormat="1" ht="17.45" customHeight="1">
      <c r="A12" s="134" t="s">
        <v>17</v>
      </c>
      <c r="B12" s="367" t="str">
        <f t="shared" ref="B12:N12" si="5">IFERROR(B4*1000/B8,"-")</f>
        <v>-</v>
      </c>
      <c r="C12" s="367" t="str">
        <f t="shared" si="5"/>
        <v>-</v>
      </c>
      <c r="D12" s="367" t="str">
        <f t="shared" si="5"/>
        <v>-</v>
      </c>
      <c r="E12" s="367" t="str">
        <f t="shared" si="5"/>
        <v>-</v>
      </c>
      <c r="F12" s="367" t="str">
        <f t="shared" si="5"/>
        <v>-</v>
      </c>
      <c r="G12" s="367">
        <f t="shared" si="5"/>
        <v>0</v>
      </c>
      <c r="H12" s="367" t="str">
        <f t="shared" si="5"/>
        <v>-</v>
      </c>
      <c r="I12" s="367" t="str">
        <f t="shared" si="5"/>
        <v>-</v>
      </c>
      <c r="J12" s="367" t="str">
        <f t="shared" si="5"/>
        <v>-</v>
      </c>
      <c r="K12" s="367" t="str">
        <f t="shared" si="5"/>
        <v>-</v>
      </c>
      <c r="L12" s="367" t="str">
        <f t="shared" si="5"/>
        <v>-</v>
      </c>
      <c r="M12" s="367" t="str">
        <f t="shared" si="5"/>
        <v>-</v>
      </c>
      <c r="N12" s="367">
        <f t="shared" si="5"/>
        <v>0</v>
      </c>
      <c r="O12" s="241"/>
    </row>
    <row r="13" spans="1:15" s="133" customFormat="1" ht="17.45" customHeight="1">
      <c r="A13" s="134" t="s">
        <v>18</v>
      </c>
      <c r="B13" s="367" t="str">
        <f t="shared" ref="B13:N13" si="6">IFERROR(B5*1000/B9,"-")</f>
        <v>-</v>
      </c>
      <c r="C13" s="367" t="str">
        <f t="shared" si="6"/>
        <v>-</v>
      </c>
      <c r="D13" s="367" t="str">
        <f t="shared" si="6"/>
        <v>-</v>
      </c>
      <c r="E13" s="367" t="str">
        <f t="shared" si="6"/>
        <v>-</v>
      </c>
      <c r="F13" s="367" t="str">
        <f t="shared" si="6"/>
        <v>-</v>
      </c>
      <c r="G13" s="367" t="str">
        <f t="shared" si="6"/>
        <v>-</v>
      </c>
      <c r="H13" s="367" t="str">
        <f t="shared" si="6"/>
        <v>-</v>
      </c>
      <c r="I13" s="367" t="str">
        <f t="shared" si="6"/>
        <v>-</v>
      </c>
      <c r="J13" s="367" t="str">
        <f t="shared" si="6"/>
        <v>-</v>
      </c>
      <c r="K13" s="367" t="str">
        <f t="shared" si="6"/>
        <v>-</v>
      </c>
      <c r="L13" s="367" t="str">
        <f t="shared" si="6"/>
        <v>-</v>
      </c>
      <c r="M13" s="367" t="str">
        <f t="shared" si="6"/>
        <v>-</v>
      </c>
      <c r="N13" s="367" t="str">
        <f t="shared" si="6"/>
        <v>-</v>
      </c>
      <c r="O13" s="241"/>
    </row>
    <row r="14" spans="1:15" s="133" customFormat="1" ht="17.45" customHeight="1">
      <c r="A14" s="135" t="s">
        <v>21</v>
      </c>
      <c r="B14" s="242">
        <f t="shared" ref="B14:N14" si="7">+B15+B19</f>
        <v>0</v>
      </c>
      <c r="C14" s="242">
        <f t="shared" si="7"/>
        <v>0</v>
      </c>
      <c r="D14" s="242">
        <f t="shared" si="7"/>
        <v>2056.6998199999998</v>
      </c>
      <c r="E14" s="242">
        <f t="shared" si="7"/>
        <v>3982.4001499999999</v>
      </c>
      <c r="F14" s="242">
        <f t="shared" si="7"/>
        <v>4620.2512800000004</v>
      </c>
      <c r="G14" s="242">
        <f t="shared" si="7"/>
        <v>4111.6563299999998</v>
      </c>
      <c r="H14" s="242">
        <f t="shared" si="7"/>
        <v>0</v>
      </c>
      <c r="I14" s="242">
        <f t="shared" si="7"/>
        <v>0</v>
      </c>
      <c r="J14" s="242">
        <f t="shared" si="7"/>
        <v>0</v>
      </c>
      <c r="K14" s="242">
        <f t="shared" si="7"/>
        <v>0</v>
      </c>
      <c r="L14" s="242">
        <f t="shared" si="7"/>
        <v>0</v>
      </c>
      <c r="M14" s="242">
        <f t="shared" si="7"/>
        <v>0</v>
      </c>
      <c r="N14" s="242">
        <f t="shared" si="7"/>
        <v>14771.007580000001</v>
      </c>
      <c r="O14" s="237">
        <f t="shared" ref="O14:O23" si="8">+SUM($B14:$M14)-N14</f>
        <v>0</v>
      </c>
    </row>
    <row r="15" spans="1:15" s="94" customFormat="1">
      <c r="A15" s="136" t="s">
        <v>22</v>
      </c>
      <c r="B15" s="243">
        <f t="shared" ref="B15:N15" si="9">+SUM(B16:B18)</f>
        <v>0</v>
      </c>
      <c r="C15" s="243">
        <f t="shared" si="9"/>
        <v>0</v>
      </c>
      <c r="D15" s="243">
        <f t="shared" si="9"/>
        <v>1600.5609999999997</v>
      </c>
      <c r="E15" s="243">
        <f t="shared" si="9"/>
        <v>3746.317</v>
      </c>
      <c r="F15" s="243">
        <f t="shared" si="9"/>
        <v>4343.2700000000004</v>
      </c>
      <c r="G15" s="243">
        <f t="shared" si="9"/>
        <v>3960.7840000000001</v>
      </c>
      <c r="H15" s="243">
        <f t="shared" si="9"/>
        <v>0</v>
      </c>
      <c r="I15" s="243">
        <f t="shared" si="9"/>
        <v>0</v>
      </c>
      <c r="J15" s="243">
        <f t="shared" si="9"/>
        <v>0</v>
      </c>
      <c r="K15" s="243">
        <f t="shared" si="9"/>
        <v>0</v>
      </c>
      <c r="L15" s="243">
        <f t="shared" si="9"/>
        <v>0</v>
      </c>
      <c r="M15" s="243">
        <f t="shared" si="9"/>
        <v>0</v>
      </c>
      <c r="N15" s="243">
        <f t="shared" si="9"/>
        <v>13650.932000000001</v>
      </c>
      <c r="O15" s="244">
        <f t="shared" si="8"/>
        <v>0</v>
      </c>
    </row>
    <row r="16" spans="1:15" s="133" customFormat="1">
      <c r="A16" s="134" t="s">
        <v>16</v>
      </c>
      <c r="B16" s="36">
        <v>0</v>
      </c>
      <c r="C16" s="236"/>
      <c r="D16" s="236">
        <f>2056.7-456.139</f>
        <v>1600.5609999999997</v>
      </c>
      <c r="E16" s="236">
        <f>3982.4-236.083</f>
        <v>3746.317</v>
      </c>
      <c r="F16" s="236">
        <v>4343.2700000000004</v>
      </c>
      <c r="G16" s="236">
        <v>3960.7840000000001</v>
      </c>
      <c r="H16" s="236"/>
      <c r="I16" s="236"/>
      <c r="J16" s="236"/>
      <c r="K16" s="236"/>
      <c r="L16" s="236"/>
      <c r="M16" s="236"/>
      <c r="N16" s="236">
        <f>SUM(B16:M16)</f>
        <v>13650.932000000001</v>
      </c>
      <c r="O16" s="237">
        <f t="shared" si="8"/>
        <v>0</v>
      </c>
    </row>
    <row r="17" spans="1:15" s="133" customFormat="1">
      <c r="A17" s="134" t="s">
        <v>17</v>
      </c>
      <c r="B17" s="238">
        <v>0</v>
      </c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>
        <f>SUM(B17:M17)</f>
        <v>0</v>
      </c>
      <c r="O17" s="237">
        <f t="shared" si="8"/>
        <v>0</v>
      </c>
    </row>
    <row r="18" spans="1:15" s="133" customFormat="1" ht="16.350000000000001" customHeight="1">
      <c r="A18" s="134" t="s">
        <v>18</v>
      </c>
      <c r="B18" s="238">
        <v>0</v>
      </c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>
        <f>SUM(B18:M18)</f>
        <v>0</v>
      </c>
      <c r="O18" s="237">
        <f t="shared" si="8"/>
        <v>0</v>
      </c>
    </row>
    <row r="19" spans="1:15" s="133" customFormat="1" ht="16.350000000000001" customHeight="1">
      <c r="A19" s="136" t="s">
        <v>23</v>
      </c>
      <c r="B19" s="245">
        <f>+Расходы!B269/1000</f>
        <v>0</v>
      </c>
      <c r="C19" s="245">
        <f>+Расходы!C269/1000</f>
        <v>0</v>
      </c>
      <c r="D19" s="500">
        <f>+Расходы!D269/1000</f>
        <v>456.13882000000001</v>
      </c>
      <c r="E19" s="500">
        <f>+Расходы!E269/1000</f>
        <v>236.08315000000002</v>
      </c>
      <c r="F19" s="245">
        <f>+Расходы!F269/1000</f>
        <v>276.98128000000003</v>
      </c>
      <c r="G19" s="245">
        <f>+Расходы!G269/1000</f>
        <v>150.87232999999998</v>
      </c>
      <c r="H19" s="245">
        <f>+Расходы!H269/1000</f>
        <v>0</v>
      </c>
      <c r="I19" s="245">
        <f>+Расходы!I269/1000</f>
        <v>0</v>
      </c>
      <c r="J19" s="245">
        <f>+Расходы!J269/1000</f>
        <v>0</v>
      </c>
      <c r="K19" s="245">
        <f>+Расходы!K269/1000</f>
        <v>0</v>
      </c>
      <c r="L19" s="245">
        <f>+Расходы!L269/1000</f>
        <v>0</v>
      </c>
      <c r="M19" s="245">
        <f>+Расходы!M269/1000</f>
        <v>0</v>
      </c>
      <c r="N19" s="245">
        <f>SUM(B19:M19)</f>
        <v>1120.0755799999999</v>
      </c>
      <c r="O19" s="237">
        <f t="shared" si="8"/>
        <v>0</v>
      </c>
    </row>
    <row r="20" spans="1:15" s="105" customFormat="1" ht="18" customHeight="1">
      <c r="A20" s="137" t="s">
        <v>24</v>
      </c>
      <c r="B20" s="246">
        <f t="shared" ref="B20:N20" si="10">SUM(B21:B23)</f>
        <v>0</v>
      </c>
      <c r="C20" s="246">
        <f t="shared" si="10"/>
        <v>0</v>
      </c>
      <c r="D20" s="246">
        <f t="shared" si="10"/>
        <v>3873.2001799999998</v>
      </c>
      <c r="E20" s="246">
        <f t="shared" si="10"/>
        <v>9730.7998500000012</v>
      </c>
      <c r="F20" s="246">
        <f t="shared" si="10"/>
        <v>11092.33872</v>
      </c>
      <c r="G20" s="246">
        <f t="shared" si="10"/>
        <v>10141.694670000001</v>
      </c>
      <c r="H20" s="246">
        <f t="shared" si="10"/>
        <v>0</v>
      </c>
      <c r="I20" s="246">
        <f t="shared" si="10"/>
        <v>0</v>
      </c>
      <c r="J20" s="246">
        <f t="shared" si="10"/>
        <v>0</v>
      </c>
      <c r="K20" s="246">
        <f t="shared" si="10"/>
        <v>0</v>
      </c>
      <c r="L20" s="246">
        <f t="shared" si="10"/>
        <v>0</v>
      </c>
      <c r="M20" s="246">
        <f t="shared" si="10"/>
        <v>0</v>
      </c>
      <c r="N20" s="246">
        <f t="shared" si="10"/>
        <v>34838.033420000007</v>
      </c>
      <c r="O20" s="247">
        <f t="shared" si="8"/>
        <v>0</v>
      </c>
    </row>
    <row r="21" spans="1:15">
      <c r="A21" s="134" t="s">
        <v>16</v>
      </c>
      <c r="B21" s="248">
        <f t="shared" ref="B21:N21" si="11">SUM(B3-B16-B19)</f>
        <v>0</v>
      </c>
      <c r="C21" s="248">
        <f t="shared" si="11"/>
        <v>0</v>
      </c>
      <c r="D21" s="248">
        <f t="shared" si="11"/>
        <v>3873.2001799999998</v>
      </c>
      <c r="E21" s="248">
        <f t="shared" si="11"/>
        <v>9730.7998500000012</v>
      </c>
      <c r="F21" s="248">
        <f t="shared" si="11"/>
        <v>11092.33872</v>
      </c>
      <c r="G21" s="248">
        <f t="shared" si="11"/>
        <v>10141.694670000001</v>
      </c>
      <c r="H21" s="248">
        <f t="shared" si="11"/>
        <v>0</v>
      </c>
      <c r="I21" s="248">
        <f t="shared" si="11"/>
        <v>0</v>
      </c>
      <c r="J21" s="248">
        <f t="shared" si="11"/>
        <v>0</v>
      </c>
      <c r="K21" s="248">
        <f t="shared" si="11"/>
        <v>0</v>
      </c>
      <c r="L21" s="248">
        <f t="shared" si="11"/>
        <v>0</v>
      </c>
      <c r="M21" s="248">
        <f t="shared" si="11"/>
        <v>0</v>
      </c>
      <c r="N21" s="248">
        <f t="shared" si="11"/>
        <v>34838.033420000007</v>
      </c>
      <c r="O21" s="237">
        <f t="shared" si="8"/>
        <v>0</v>
      </c>
    </row>
    <row r="22" spans="1:15">
      <c r="A22" s="134" t="s">
        <v>17</v>
      </c>
      <c r="B22" s="248">
        <f t="shared" ref="B22:N22" si="12">SUM(B4-B17)</f>
        <v>0</v>
      </c>
      <c r="C22" s="248">
        <f t="shared" si="12"/>
        <v>0</v>
      </c>
      <c r="D22" s="248">
        <f t="shared" si="12"/>
        <v>0</v>
      </c>
      <c r="E22" s="248">
        <f t="shared" si="12"/>
        <v>0</v>
      </c>
      <c r="F22" s="248">
        <f t="shared" si="12"/>
        <v>0</v>
      </c>
      <c r="G22" s="248">
        <f t="shared" si="12"/>
        <v>0</v>
      </c>
      <c r="H22" s="248">
        <f t="shared" si="12"/>
        <v>0</v>
      </c>
      <c r="I22" s="248">
        <f t="shared" si="12"/>
        <v>0</v>
      </c>
      <c r="J22" s="248">
        <f t="shared" si="12"/>
        <v>0</v>
      </c>
      <c r="K22" s="248">
        <f t="shared" si="12"/>
        <v>0</v>
      </c>
      <c r="L22" s="248">
        <f t="shared" si="12"/>
        <v>0</v>
      </c>
      <c r="M22" s="248">
        <f t="shared" si="12"/>
        <v>0</v>
      </c>
      <c r="N22" s="249">
        <f t="shared" si="12"/>
        <v>0</v>
      </c>
      <c r="O22" s="237">
        <f t="shared" si="8"/>
        <v>0</v>
      </c>
    </row>
    <row r="23" spans="1:15" ht="14.45" customHeight="1">
      <c r="A23" s="134" t="s">
        <v>18</v>
      </c>
      <c r="B23" s="248">
        <f t="shared" ref="B23:N23" si="13">SUM(B5-B18)</f>
        <v>0</v>
      </c>
      <c r="C23" s="248">
        <f t="shared" si="13"/>
        <v>0</v>
      </c>
      <c r="D23" s="248">
        <f t="shared" si="13"/>
        <v>0</v>
      </c>
      <c r="E23" s="248">
        <f t="shared" si="13"/>
        <v>0</v>
      </c>
      <c r="F23" s="248">
        <f t="shared" si="13"/>
        <v>0</v>
      </c>
      <c r="G23" s="248">
        <f t="shared" si="13"/>
        <v>0</v>
      </c>
      <c r="H23" s="248">
        <f t="shared" si="13"/>
        <v>0</v>
      </c>
      <c r="I23" s="248">
        <f t="shared" si="13"/>
        <v>0</v>
      </c>
      <c r="J23" s="248">
        <f t="shared" si="13"/>
        <v>0</v>
      </c>
      <c r="K23" s="248">
        <f t="shared" si="13"/>
        <v>0</v>
      </c>
      <c r="L23" s="248">
        <f t="shared" si="13"/>
        <v>0</v>
      </c>
      <c r="M23" s="248">
        <f t="shared" si="13"/>
        <v>0</v>
      </c>
      <c r="N23" s="249">
        <f t="shared" si="13"/>
        <v>0</v>
      </c>
      <c r="O23" s="237">
        <f t="shared" si="8"/>
        <v>0</v>
      </c>
    </row>
    <row r="24" spans="1:15">
      <c r="A24" s="138" t="s">
        <v>25</v>
      </c>
      <c r="B24" s="250" t="str">
        <f t="shared" ref="B24:N24" si="14">IFERROR((B2/B15-1)*100,"-")</f>
        <v>-</v>
      </c>
      <c r="C24" s="250" t="str">
        <f t="shared" si="14"/>
        <v>-</v>
      </c>
      <c r="D24" s="250">
        <f t="shared" si="14"/>
        <v>270.48884734789868</v>
      </c>
      <c r="E24" s="250">
        <f t="shared" si="14"/>
        <v>266.04483817039511</v>
      </c>
      <c r="F24" s="250">
        <f t="shared" si="14"/>
        <v>261.76866738655434</v>
      </c>
      <c r="G24" s="250">
        <f t="shared" si="14"/>
        <v>259.8618606821276</v>
      </c>
      <c r="H24" s="250" t="str">
        <f t="shared" si="14"/>
        <v>-</v>
      </c>
      <c r="I24" s="250" t="str">
        <f t="shared" si="14"/>
        <v>-</v>
      </c>
      <c r="J24" s="250" t="str">
        <f t="shared" si="14"/>
        <v>-</v>
      </c>
      <c r="K24" s="250" t="str">
        <f t="shared" si="14"/>
        <v>-</v>
      </c>
      <c r="L24" s="250" t="str">
        <f t="shared" si="14"/>
        <v>-</v>
      </c>
      <c r="M24" s="250" t="str">
        <f t="shared" si="14"/>
        <v>-</v>
      </c>
      <c r="N24" s="250">
        <f t="shared" si="14"/>
        <v>263.41138465857131</v>
      </c>
      <c r="O24" s="237"/>
    </row>
    <row r="25" spans="1:15" s="133" customFormat="1">
      <c r="A25" s="134" t="s">
        <v>16</v>
      </c>
      <c r="B25" s="236" t="str">
        <f t="shared" ref="B25:N25" si="15">IFERROR((B3/B16-1)*100,"-")</f>
        <v>-</v>
      </c>
      <c r="C25" s="236" t="str">
        <f t="shared" si="15"/>
        <v>-</v>
      </c>
      <c r="D25" s="236">
        <f t="shared" si="15"/>
        <v>270.48884734789868</v>
      </c>
      <c r="E25" s="236">
        <f t="shared" si="15"/>
        <v>266.04483817039511</v>
      </c>
      <c r="F25" s="236">
        <f t="shared" si="15"/>
        <v>261.76866738655434</v>
      </c>
      <c r="G25" s="236">
        <f t="shared" si="15"/>
        <v>259.8618606821276</v>
      </c>
      <c r="H25" s="236" t="str">
        <f t="shared" si="15"/>
        <v>-</v>
      </c>
      <c r="I25" s="236" t="str">
        <f t="shared" si="15"/>
        <v>-</v>
      </c>
      <c r="J25" s="236" t="str">
        <f t="shared" si="15"/>
        <v>-</v>
      </c>
      <c r="K25" s="236" t="str">
        <f t="shared" si="15"/>
        <v>-</v>
      </c>
      <c r="L25" s="236" t="str">
        <f t="shared" si="15"/>
        <v>-</v>
      </c>
      <c r="M25" s="236" t="str">
        <f t="shared" si="15"/>
        <v>-</v>
      </c>
      <c r="N25" s="236">
        <f t="shared" si="15"/>
        <v>263.41138465857131</v>
      </c>
      <c r="O25" s="237"/>
    </row>
    <row r="26" spans="1:15" s="133" customFormat="1">
      <c r="A26" s="134" t="s">
        <v>17</v>
      </c>
      <c r="B26" s="236" t="str">
        <f t="shared" ref="B26:N26" si="16">IFERROR((B4/B17-1)*100,"-")</f>
        <v>-</v>
      </c>
      <c r="C26" s="236" t="str">
        <f t="shared" si="16"/>
        <v>-</v>
      </c>
      <c r="D26" s="236" t="str">
        <f t="shared" si="16"/>
        <v>-</v>
      </c>
      <c r="E26" s="236" t="str">
        <f t="shared" si="16"/>
        <v>-</v>
      </c>
      <c r="F26" s="236" t="str">
        <f t="shared" si="16"/>
        <v>-</v>
      </c>
      <c r="G26" s="236" t="str">
        <f t="shared" si="16"/>
        <v>-</v>
      </c>
      <c r="H26" s="236" t="str">
        <f t="shared" si="16"/>
        <v>-</v>
      </c>
      <c r="I26" s="236" t="str">
        <f t="shared" si="16"/>
        <v>-</v>
      </c>
      <c r="J26" s="236" t="str">
        <f t="shared" si="16"/>
        <v>-</v>
      </c>
      <c r="K26" s="236" t="str">
        <f t="shared" si="16"/>
        <v>-</v>
      </c>
      <c r="L26" s="236" t="str">
        <f t="shared" si="16"/>
        <v>-</v>
      </c>
      <c r="M26" s="236" t="str">
        <f t="shared" si="16"/>
        <v>-</v>
      </c>
      <c r="N26" s="236" t="str">
        <f t="shared" si="16"/>
        <v>-</v>
      </c>
      <c r="O26" s="241"/>
    </row>
    <row r="27" spans="1:15" s="133" customFormat="1" ht="16.350000000000001" customHeight="1">
      <c r="A27" s="134" t="s">
        <v>18</v>
      </c>
      <c r="B27" s="236" t="str">
        <f t="shared" ref="B27:N27" si="17">IFERROR((B5/B18-1)*100,"-")</f>
        <v>-</v>
      </c>
      <c r="C27" s="236" t="str">
        <f t="shared" si="17"/>
        <v>-</v>
      </c>
      <c r="D27" s="236" t="str">
        <f t="shared" si="17"/>
        <v>-</v>
      </c>
      <c r="E27" s="236" t="str">
        <f t="shared" si="17"/>
        <v>-</v>
      </c>
      <c r="F27" s="236" t="str">
        <f t="shared" si="17"/>
        <v>-</v>
      </c>
      <c r="G27" s="236" t="str">
        <f t="shared" si="17"/>
        <v>-</v>
      </c>
      <c r="H27" s="236" t="str">
        <f t="shared" si="17"/>
        <v>-</v>
      </c>
      <c r="I27" s="236" t="str">
        <f t="shared" si="17"/>
        <v>-</v>
      </c>
      <c r="J27" s="236" t="str">
        <f t="shared" si="17"/>
        <v>-</v>
      </c>
      <c r="K27" s="236" t="str">
        <f t="shared" si="17"/>
        <v>-</v>
      </c>
      <c r="L27" s="236" t="str">
        <f t="shared" si="17"/>
        <v>-</v>
      </c>
      <c r="M27" s="236" t="str">
        <f t="shared" si="17"/>
        <v>-</v>
      </c>
      <c r="N27" s="236" t="str">
        <f t="shared" si="17"/>
        <v>-</v>
      </c>
      <c r="O27" s="241"/>
    </row>
    <row r="28" spans="1:15" s="105" customFormat="1" ht="18" customHeight="1">
      <c r="A28" s="138" t="s">
        <v>26</v>
      </c>
      <c r="B28" s="234">
        <f t="shared" ref="B28:N28" si="18">SUM(B29:B31)</f>
        <v>0</v>
      </c>
      <c r="C28" s="234">
        <f t="shared" si="18"/>
        <v>0</v>
      </c>
      <c r="D28" s="234">
        <f t="shared" si="18"/>
        <v>2581.37192</v>
      </c>
      <c r="E28" s="234">
        <f t="shared" si="18"/>
        <v>7143.4246899999998</v>
      </c>
      <c r="F28" s="234">
        <f t="shared" si="18"/>
        <v>8278.0935199999985</v>
      </c>
      <c r="G28" s="234">
        <f t="shared" si="18"/>
        <v>7690.9786399999984</v>
      </c>
      <c r="H28" s="234">
        <f t="shared" si="18"/>
        <v>0</v>
      </c>
      <c r="I28" s="234">
        <f t="shared" si="18"/>
        <v>0</v>
      </c>
      <c r="J28" s="234">
        <f t="shared" si="18"/>
        <v>0</v>
      </c>
      <c r="K28" s="234">
        <f t="shared" si="18"/>
        <v>0</v>
      </c>
      <c r="L28" s="234">
        <f t="shared" si="18"/>
        <v>0</v>
      </c>
      <c r="M28" s="234">
        <f t="shared" si="18"/>
        <v>0</v>
      </c>
      <c r="N28" s="234">
        <f t="shared" si="18"/>
        <v>25693.868769999997</v>
      </c>
      <c r="O28" s="247">
        <f t="shared" ref="O28:O37" si="19">+SUM($B28:$M28)-N28</f>
        <v>0</v>
      </c>
    </row>
    <row r="29" spans="1:15">
      <c r="A29" s="139" t="s">
        <v>27</v>
      </c>
      <c r="B29" s="251">
        <f>+Расходы!B178/1000</f>
        <v>0</v>
      </c>
      <c r="C29" s="251">
        <f>Расходы!C178/1000</f>
        <v>0</v>
      </c>
      <c r="D29" s="251">
        <f>Расходы!D178/1000</f>
        <v>2581.37192</v>
      </c>
      <c r="E29" s="251">
        <f>Расходы!E178/1000</f>
        <v>7143.4246899999998</v>
      </c>
      <c r="F29" s="251">
        <f>Расходы!F178/1000</f>
        <v>8247.9887399999989</v>
      </c>
      <c r="G29" s="251">
        <f>Расходы!G178/1000</f>
        <v>7678.8271499999983</v>
      </c>
      <c r="H29" s="251">
        <f>Расходы!H178/1000</f>
        <v>0</v>
      </c>
      <c r="I29" s="251">
        <f>Расходы!I178/1000</f>
        <v>0</v>
      </c>
      <c r="J29" s="251">
        <f>Расходы!J178/1000</f>
        <v>0</v>
      </c>
      <c r="K29" s="251">
        <f>Расходы!K178/1000</f>
        <v>0</v>
      </c>
      <c r="L29" s="251">
        <f>Расходы!L178/1000</f>
        <v>0</v>
      </c>
      <c r="M29" s="251">
        <f>Расходы!M178/1000</f>
        <v>0</v>
      </c>
      <c r="N29" s="252">
        <f>SUM(B29:M29)</f>
        <v>25651.612499999996</v>
      </c>
      <c r="O29" s="237">
        <f t="shared" si="19"/>
        <v>0</v>
      </c>
    </row>
    <row r="30" spans="1:15" s="133" customFormat="1">
      <c r="A30" s="140" t="s">
        <v>28</v>
      </c>
      <c r="B30" s="253">
        <f>+Расходы!B208/1000</f>
        <v>0</v>
      </c>
      <c r="C30" s="253">
        <f>Расходы!C208/1000</f>
        <v>0</v>
      </c>
      <c r="D30" s="253">
        <f>Расходы!D208/1000</f>
        <v>0</v>
      </c>
      <c r="E30" s="253">
        <f>Расходы!E208/1000</f>
        <v>0</v>
      </c>
      <c r="F30" s="253">
        <f>Расходы!F208/1000</f>
        <v>30.104779999999998</v>
      </c>
      <c r="G30" s="253">
        <f>Расходы!G208/1000</f>
        <v>12.151489999999999</v>
      </c>
      <c r="H30" s="253">
        <f>Расходы!H208/1000</f>
        <v>0</v>
      </c>
      <c r="I30" s="253">
        <f>Расходы!I208/1000</f>
        <v>0</v>
      </c>
      <c r="J30" s="253">
        <f>Расходы!J208/1000</f>
        <v>0</v>
      </c>
      <c r="K30" s="253">
        <f>Расходы!K208/1000</f>
        <v>0</v>
      </c>
      <c r="L30" s="253">
        <f>Расходы!L208/1000</f>
        <v>0</v>
      </c>
      <c r="M30" s="253">
        <f>Расходы!M208/1000</f>
        <v>0</v>
      </c>
      <c r="N30" s="252">
        <f>SUM(B30:M30)</f>
        <v>42.256270000000001</v>
      </c>
      <c r="O30" s="237">
        <f t="shared" si="19"/>
        <v>0</v>
      </c>
    </row>
    <row r="31" spans="1:15" s="133" customFormat="1">
      <c r="A31" s="140" t="s">
        <v>29</v>
      </c>
      <c r="B31" s="253">
        <f>+'расходы Доп.подразделение'!B178/1000</f>
        <v>0</v>
      </c>
      <c r="C31" s="253">
        <f>'расходы Доп.подразделение'!C178</f>
        <v>0</v>
      </c>
      <c r="D31" s="253">
        <f>'расходы Доп.подразделение'!D178</f>
        <v>0</v>
      </c>
      <c r="E31" s="253">
        <f>'расходы Доп.подразделение'!E178</f>
        <v>0</v>
      </c>
      <c r="F31" s="253">
        <f>'расходы Доп.подразделение'!F178</f>
        <v>0</v>
      </c>
      <c r="G31" s="253">
        <f>'расходы Доп.подразделение'!G178</f>
        <v>0</v>
      </c>
      <c r="H31" s="253">
        <f>'расходы Доп.подразделение'!H178</f>
        <v>0</v>
      </c>
      <c r="I31" s="253">
        <f>'расходы Доп.подразделение'!I178</f>
        <v>0</v>
      </c>
      <c r="J31" s="253">
        <f>'расходы Доп.подразделение'!J178</f>
        <v>0</v>
      </c>
      <c r="K31" s="253">
        <f>'расходы Доп.подразделение'!K178</f>
        <v>0</v>
      </c>
      <c r="L31" s="253">
        <f>'расходы Доп.подразделение'!L178</f>
        <v>0</v>
      </c>
      <c r="M31" s="253">
        <f>'расходы Доп.подразделение'!M178</f>
        <v>0</v>
      </c>
      <c r="N31" s="252">
        <f>SUM(B31:M31)</f>
        <v>0</v>
      </c>
      <c r="O31" s="237">
        <f t="shared" si="19"/>
        <v>0</v>
      </c>
    </row>
    <row r="32" spans="1:15" s="105" customFormat="1" ht="33" customHeight="1">
      <c r="A32" s="141" t="s">
        <v>30</v>
      </c>
      <c r="B32" s="254">
        <f>B33+B34</f>
        <v>0</v>
      </c>
      <c r="C32" s="254">
        <f t="shared" ref="C32:N32" si="20">+SUM(C33:C35)</f>
        <v>0</v>
      </c>
      <c r="D32" s="520">
        <f t="shared" si="20"/>
        <v>1291.8282599999998</v>
      </c>
      <c r="E32" s="254">
        <f t="shared" si="20"/>
        <v>2587.3751600000014</v>
      </c>
      <c r="F32" s="254">
        <f t="shared" si="20"/>
        <v>2814.2452000000008</v>
      </c>
      <c r="G32" s="254">
        <f t="shared" si="20"/>
        <v>2450.7160300000023</v>
      </c>
      <c r="H32" s="254">
        <f t="shared" si="20"/>
        <v>0</v>
      </c>
      <c r="I32" s="254">
        <f t="shared" si="20"/>
        <v>0</v>
      </c>
      <c r="J32" s="254">
        <f t="shared" si="20"/>
        <v>0</v>
      </c>
      <c r="K32" s="254">
        <f t="shared" si="20"/>
        <v>0</v>
      </c>
      <c r="L32" s="254">
        <f t="shared" si="20"/>
        <v>0</v>
      </c>
      <c r="M32" s="254">
        <f t="shared" si="20"/>
        <v>0</v>
      </c>
      <c r="N32" s="254">
        <f t="shared" si="20"/>
        <v>9144.1646500000115</v>
      </c>
      <c r="O32" s="247">
        <f t="shared" si="19"/>
        <v>0</v>
      </c>
    </row>
    <row r="33" spans="1:15">
      <c r="A33" s="142" t="s">
        <v>31</v>
      </c>
      <c r="B33" s="248">
        <f t="shared" ref="B33:N33" si="21">+B21-B29</f>
        <v>0</v>
      </c>
      <c r="C33" s="248">
        <f t="shared" si="21"/>
        <v>0</v>
      </c>
      <c r="D33" s="248">
        <f t="shared" si="21"/>
        <v>1291.8282599999998</v>
      </c>
      <c r="E33" s="248">
        <f t="shared" si="21"/>
        <v>2587.3751600000014</v>
      </c>
      <c r="F33" s="248">
        <f t="shared" si="21"/>
        <v>2844.3499800000009</v>
      </c>
      <c r="G33" s="248">
        <f t="shared" si="21"/>
        <v>2462.8675200000025</v>
      </c>
      <c r="H33" s="248">
        <f t="shared" si="21"/>
        <v>0</v>
      </c>
      <c r="I33" s="248">
        <f t="shared" si="21"/>
        <v>0</v>
      </c>
      <c r="J33" s="248">
        <f t="shared" si="21"/>
        <v>0</v>
      </c>
      <c r="K33" s="248">
        <f t="shared" si="21"/>
        <v>0</v>
      </c>
      <c r="L33" s="248">
        <f t="shared" si="21"/>
        <v>0</v>
      </c>
      <c r="M33" s="248">
        <f t="shared" si="21"/>
        <v>0</v>
      </c>
      <c r="N33" s="248">
        <f t="shared" si="21"/>
        <v>9186.4209200000114</v>
      </c>
      <c r="O33" s="237">
        <f t="shared" si="19"/>
        <v>0</v>
      </c>
    </row>
    <row r="34" spans="1:15">
      <c r="A34" s="142" t="s">
        <v>17</v>
      </c>
      <c r="B34" s="248">
        <f t="shared" ref="B34:N34" si="22">+B22-B30</f>
        <v>0</v>
      </c>
      <c r="C34" s="248">
        <f t="shared" si="22"/>
        <v>0</v>
      </c>
      <c r="D34" s="248">
        <f t="shared" si="22"/>
        <v>0</v>
      </c>
      <c r="E34" s="248">
        <f t="shared" si="22"/>
        <v>0</v>
      </c>
      <c r="F34" s="248">
        <f t="shared" si="22"/>
        <v>-30.104779999999998</v>
      </c>
      <c r="G34" s="248">
        <f t="shared" si="22"/>
        <v>-12.151489999999999</v>
      </c>
      <c r="H34" s="248">
        <f t="shared" si="22"/>
        <v>0</v>
      </c>
      <c r="I34" s="248">
        <f t="shared" si="22"/>
        <v>0</v>
      </c>
      <c r="J34" s="248">
        <f t="shared" si="22"/>
        <v>0</v>
      </c>
      <c r="K34" s="248">
        <f t="shared" si="22"/>
        <v>0</v>
      </c>
      <c r="L34" s="248">
        <f t="shared" si="22"/>
        <v>0</v>
      </c>
      <c r="M34" s="248">
        <f t="shared" si="22"/>
        <v>0</v>
      </c>
      <c r="N34" s="248">
        <f t="shared" si="22"/>
        <v>-42.256270000000001</v>
      </c>
      <c r="O34" s="237">
        <f t="shared" si="19"/>
        <v>0</v>
      </c>
    </row>
    <row r="35" spans="1:15">
      <c r="A35" s="142" t="s">
        <v>32</v>
      </c>
      <c r="B35" s="248">
        <f t="shared" ref="B35:N35" si="23">+B23-B31</f>
        <v>0</v>
      </c>
      <c r="C35" s="248">
        <f t="shared" si="23"/>
        <v>0</v>
      </c>
      <c r="D35" s="248">
        <f t="shared" si="23"/>
        <v>0</v>
      </c>
      <c r="E35" s="248">
        <f t="shared" si="23"/>
        <v>0</v>
      </c>
      <c r="F35" s="248">
        <f t="shared" si="23"/>
        <v>0</v>
      </c>
      <c r="G35" s="248">
        <f t="shared" si="23"/>
        <v>0</v>
      </c>
      <c r="H35" s="248">
        <f t="shared" si="23"/>
        <v>0</v>
      </c>
      <c r="I35" s="248">
        <f t="shared" si="23"/>
        <v>0</v>
      </c>
      <c r="J35" s="248">
        <f t="shared" si="23"/>
        <v>0</v>
      </c>
      <c r="K35" s="248">
        <f t="shared" si="23"/>
        <v>0</v>
      </c>
      <c r="L35" s="248">
        <f t="shared" si="23"/>
        <v>0</v>
      </c>
      <c r="M35" s="248">
        <f t="shared" si="23"/>
        <v>0</v>
      </c>
      <c r="N35" s="248">
        <f t="shared" si="23"/>
        <v>0</v>
      </c>
      <c r="O35" s="237">
        <f t="shared" si="19"/>
        <v>0</v>
      </c>
    </row>
    <row r="36" spans="1:15" s="94" customFormat="1" ht="13.5" customHeight="1">
      <c r="A36" s="119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6"/>
      <c r="O36" s="237">
        <f t="shared" si="19"/>
        <v>0</v>
      </c>
    </row>
    <row r="37" spans="1:15" s="94" customFormat="1">
      <c r="A37" s="143" t="s">
        <v>33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8">
        <f>SUM(B37:M37)</f>
        <v>0</v>
      </c>
      <c r="O37" s="237">
        <f t="shared" si="19"/>
        <v>0</v>
      </c>
    </row>
    <row r="38" spans="1:15" s="94" customFormat="1">
      <c r="A38" s="14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6"/>
      <c r="O38" s="237"/>
    </row>
    <row r="39" spans="1:15" s="94" customFormat="1">
      <c r="A39" s="145" t="s">
        <v>34</v>
      </c>
      <c r="B39" s="250">
        <f t="shared" ref="B39:N39" si="24">SUM(B40:B51)</f>
        <v>0</v>
      </c>
      <c r="C39" s="250">
        <f t="shared" si="24"/>
        <v>0</v>
      </c>
      <c r="D39" s="250">
        <f t="shared" si="24"/>
        <v>95.476760000000013</v>
      </c>
      <c r="E39" s="250">
        <f t="shared" si="24"/>
        <v>792.78809999999999</v>
      </c>
      <c r="F39" s="250">
        <f t="shared" si="24"/>
        <v>741.42910999999992</v>
      </c>
      <c r="G39" s="250">
        <f t="shared" si="24"/>
        <v>799.28148999999996</v>
      </c>
      <c r="H39" s="250">
        <f t="shared" si="24"/>
        <v>0</v>
      </c>
      <c r="I39" s="250">
        <f t="shared" si="24"/>
        <v>0</v>
      </c>
      <c r="J39" s="250">
        <f t="shared" si="24"/>
        <v>0</v>
      </c>
      <c r="K39" s="250">
        <f t="shared" si="24"/>
        <v>0</v>
      </c>
      <c r="L39" s="250">
        <f t="shared" si="24"/>
        <v>0</v>
      </c>
      <c r="M39" s="250">
        <f t="shared" si="24"/>
        <v>0</v>
      </c>
      <c r="N39" s="250">
        <f t="shared" si="24"/>
        <v>2428.9754599999997</v>
      </c>
      <c r="O39" s="259">
        <f t="shared" ref="O39:O70" si="25">+SUM($B39:$M39)-N39</f>
        <v>0</v>
      </c>
    </row>
    <row r="40" spans="1:15" s="133" customFormat="1">
      <c r="A40" s="146" t="s">
        <v>35</v>
      </c>
      <c r="B40" s="260">
        <f>Расходы!B211/1000</f>
        <v>0</v>
      </c>
      <c r="C40" s="260">
        <f>Расходы!C211/1000</f>
        <v>0</v>
      </c>
      <c r="D40" s="260">
        <f>Расходы!D211/1000</f>
        <v>0</v>
      </c>
      <c r="E40" s="260">
        <f>Расходы!E211/1000</f>
        <v>404.92417</v>
      </c>
      <c r="F40" s="236">
        <f>Расходы!F211/1000</f>
        <v>382.80316999999997</v>
      </c>
      <c r="G40" s="236">
        <f>Расходы!G211/1000</f>
        <v>300.37140000000005</v>
      </c>
      <c r="H40" s="236">
        <f>Расходы!H211/1000</f>
        <v>0</v>
      </c>
      <c r="I40" s="236">
        <f>Расходы!I211/1000</f>
        <v>0</v>
      </c>
      <c r="J40" s="236">
        <f>Расходы!J211/1000</f>
        <v>0</v>
      </c>
      <c r="K40" s="236">
        <f>Расходы!K211/1000</f>
        <v>0</v>
      </c>
      <c r="L40" s="236">
        <f>Расходы!L211/1000</f>
        <v>0</v>
      </c>
      <c r="M40" s="236">
        <f>Расходы!M211/1000</f>
        <v>0</v>
      </c>
      <c r="N40" s="249">
        <f t="shared" ref="N40:N51" si="26">SUM(B40:M40)</f>
        <v>1088.0987399999999</v>
      </c>
      <c r="O40" s="237">
        <f t="shared" si="25"/>
        <v>0</v>
      </c>
    </row>
    <row r="41" spans="1:15" s="133" customFormat="1">
      <c r="A41" s="146" t="s">
        <v>36</v>
      </c>
      <c r="B41" s="260">
        <f>+Расходы!B224/1000</f>
        <v>0</v>
      </c>
      <c r="C41" s="260">
        <f>+Расходы!C224/1000</f>
        <v>0</v>
      </c>
      <c r="D41" s="260">
        <f>+Расходы!D224/1000</f>
        <v>95.476760000000013</v>
      </c>
      <c r="E41" s="260">
        <f>+Расходы!E224/1000</f>
        <v>342.82981000000001</v>
      </c>
      <c r="F41" s="260">
        <f>+Расходы!F224/1000</f>
        <v>316.95729999999998</v>
      </c>
      <c r="G41" s="260">
        <f>+Расходы!G224/1000</f>
        <v>362.16699999999997</v>
      </c>
      <c r="H41" s="260">
        <f>+Расходы!H224/1000</f>
        <v>0</v>
      </c>
      <c r="I41" s="260">
        <f>+Расходы!I224/1000</f>
        <v>0</v>
      </c>
      <c r="J41" s="260">
        <f>+Расходы!J224/1000</f>
        <v>0</v>
      </c>
      <c r="K41" s="260">
        <f>+Расходы!K224/1000</f>
        <v>0</v>
      </c>
      <c r="L41" s="260">
        <f>+Расходы!L224/1000</f>
        <v>0</v>
      </c>
      <c r="M41" s="260">
        <f>+Расходы!M224/1000</f>
        <v>0</v>
      </c>
      <c r="N41" s="249">
        <f t="shared" si="26"/>
        <v>1117.4308699999999</v>
      </c>
      <c r="O41" s="237">
        <f t="shared" si="25"/>
        <v>0</v>
      </c>
    </row>
    <row r="42" spans="1:15" s="133" customFormat="1">
      <c r="A42" s="146" t="s">
        <v>37</v>
      </c>
      <c r="B42" s="260">
        <f>+Расходы!B235/1000</f>
        <v>0</v>
      </c>
      <c r="C42" s="260">
        <f>+Расходы!C235/1000</f>
        <v>0</v>
      </c>
      <c r="D42" s="260">
        <f>+Расходы!D235/1000</f>
        <v>0</v>
      </c>
      <c r="E42" s="260">
        <f>+Расходы!E235/1000</f>
        <v>0</v>
      </c>
      <c r="F42" s="260">
        <f>+Расходы!F235/1000</f>
        <v>0</v>
      </c>
      <c r="G42" s="260">
        <f>+Расходы!G235/1000</f>
        <v>0</v>
      </c>
      <c r="H42" s="260">
        <f>+Расходы!H235/1000</f>
        <v>0</v>
      </c>
      <c r="I42" s="260">
        <f>+Расходы!I235/1000</f>
        <v>0</v>
      </c>
      <c r="J42" s="260">
        <f>+Расходы!J235/1000</f>
        <v>0</v>
      </c>
      <c r="K42" s="260">
        <f>+Расходы!K235/1000</f>
        <v>0</v>
      </c>
      <c r="L42" s="260">
        <f>+Расходы!L235/1000</f>
        <v>0</v>
      </c>
      <c r="M42" s="260">
        <f>+Расходы!M235/1000</f>
        <v>0</v>
      </c>
      <c r="N42" s="249">
        <f t="shared" si="26"/>
        <v>0</v>
      </c>
      <c r="O42" s="237">
        <f t="shared" si="25"/>
        <v>0</v>
      </c>
    </row>
    <row r="43" spans="1:15" s="133" customFormat="1">
      <c r="A43" s="146" t="s">
        <v>38</v>
      </c>
      <c r="B43" s="260">
        <f>+Расходы!B236/1000</f>
        <v>0</v>
      </c>
      <c r="C43" s="260">
        <f>+Расходы!C236/1000</f>
        <v>0</v>
      </c>
      <c r="D43" s="260">
        <f>+Расходы!D236/1000</f>
        <v>0</v>
      </c>
      <c r="E43" s="260">
        <f>+Расходы!E236/1000</f>
        <v>0</v>
      </c>
      <c r="F43" s="260">
        <f>+Расходы!F236/1000</f>
        <v>0</v>
      </c>
      <c r="G43" s="260">
        <f>+Расходы!G236/1000</f>
        <v>0</v>
      </c>
      <c r="H43" s="260">
        <f>+Расходы!H236/1000</f>
        <v>0</v>
      </c>
      <c r="I43" s="260">
        <f>+Расходы!I236/1000</f>
        <v>0</v>
      </c>
      <c r="J43" s="260">
        <f>+Расходы!J236/1000</f>
        <v>0</v>
      </c>
      <c r="K43" s="260">
        <f>+Расходы!K236/1000</f>
        <v>0</v>
      </c>
      <c r="L43" s="260">
        <f>+Расходы!L236/1000</f>
        <v>0</v>
      </c>
      <c r="M43" s="260">
        <f>+Расходы!M236/1000</f>
        <v>0</v>
      </c>
      <c r="N43" s="249">
        <f t="shared" si="26"/>
        <v>0</v>
      </c>
      <c r="O43" s="237">
        <f t="shared" si="25"/>
        <v>0</v>
      </c>
    </row>
    <row r="44" spans="1:15" s="133" customFormat="1">
      <c r="A44" s="146" t="s">
        <v>39</v>
      </c>
      <c r="B44" s="260">
        <f>+Расходы!B237/1000</f>
        <v>0</v>
      </c>
      <c r="C44" s="260">
        <f>+Расходы!C237/1000</f>
        <v>0</v>
      </c>
      <c r="D44" s="260">
        <f>+Расходы!D237/1000</f>
        <v>0</v>
      </c>
      <c r="E44" s="260">
        <f>+Расходы!E237/1000</f>
        <v>0</v>
      </c>
      <c r="F44" s="260">
        <f>+Расходы!F237/1000</f>
        <v>0</v>
      </c>
      <c r="G44" s="260">
        <f>+Расходы!G237/1000</f>
        <v>0</v>
      </c>
      <c r="H44" s="260">
        <f>+Расходы!H237/1000</f>
        <v>0</v>
      </c>
      <c r="I44" s="260">
        <f>+Расходы!I237/1000</f>
        <v>0</v>
      </c>
      <c r="J44" s="260">
        <f>+Расходы!J237/1000</f>
        <v>0</v>
      </c>
      <c r="K44" s="260">
        <f>+Расходы!K237/1000</f>
        <v>0</v>
      </c>
      <c r="L44" s="260">
        <f>+Расходы!L237/1000</f>
        <v>0</v>
      </c>
      <c r="M44" s="260">
        <f>+Расходы!M237/1000</f>
        <v>0</v>
      </c>
      <c r="N44" s="249">
        <f t="shared" si="26"/>
        <v>0</v>
      </c>
      <c r="O44" s="237">
        <f t="shared" si="25"/>
        <v>0</v>
      </c>
    </row>
    <row r="45" spans="1:15" s="133" customFormat="1">
      <c r="A45" s="62" t="s">
        <v>40</v>
      </c>
      <c r="B45" s="260">
        <f>+Расходы!B238/1000</f>
        <v>0</v>
      </c>
      <c r="C45" s="260">
        <f>+Расходы!C238/1000</f>
        <v>0</v>
      </c>
      <c r="D45" s="260">
        <f>+Расходы!D238/1000</f>
        <v>0</v>
      </c>
      <c r="E45" s="260">
        <f>+Расходы!E238/1000</f>
        <v>12</v>
      </c>
      <c r="F45" s="260">
        <f>+Расходы!F238/1000</f>
        <v>13.78</v>
      </c>
      <c r="G45" s="260">
        <f>+Расходы!G238/1000</f>
        <v>12.89</v>
      </c>
      <c r="H45" s="260">
        <f>+Расходы!H238/1000</f>
        <v>0</v>
      </c>
      <c r="I45" s="260">
        <f>+Расходы!I238/1000</f>
        <v>0</v>
      </c>
      <c r="J45" s="260">
        <f>+Расходы!J238/1000</f>
        <v>0</v>
      </c>
      <c r="K45" s="260">
        <f>+Расходы!K238/1000</f>
        <v>0</v>
      </c>
      <c r="L45" s="260">
        <f>+Расходы!L238/1000</f>
        <v>0</v>
      </c>
      <c r="M45" s="260">
        <f>+Расходы!M238/1000</f>
        <v>0</v>
      </c>
      <c r="N45" s="249">
        <f t="shared" si="26"/>
        <v>38.67</v>
      </c>
      <c r="O45" s="237">
        <f t="shared" si="25"/>
        <v>0</v>
      </c>
    </row>
    <row r="46" spans="1:15" s="133" customFormat="1">
      <c r="A46" s="62" t="s">
        <v>41</v>
      </c>
      <c r="B46" s="260">
        <f>+Расходы!B239/1000</f>
        <v>0</v>
      </c>
      <c r="C46" s="260">
        <f>+Расходы!C239/1000</f>
        <v>0</v>
      </c>
      <c r="D46" s="260">
        <f>+Расходы!D239/1000</f>
        <v>0</v>
      </c>
      <c r="E46" s="260">
        <f>+Расходы!E239/1000</f>
        <v>0</v>
      </c>
      <c r="F46" s="260">
        <f>+Расходы!F239/1000</f>
        <v>0</v>
      </c>
      <c r="G46" s="260">
        <f>+Расходы!G239/1000</f>
        <v>96.885000000000005</v>
      </c>
      <c r="H46" s="260">
        <f>+Расходы!H239/1000</f>
        <v>0</v>
      </c>
      <c r="I46" s="260">
        <f>+Расходы!I239/1000</f>
        <v>0</v>
      </c>
      <c r="J46" s="260">
        <f>+Расходы!J239/1000</f>
        <v>0</v>
      </c>
      <c r="K46" s="260">
        <f>+Расходы!K239/1000</f>
        <v>0</v>
      </c>
      <c r="L46" s="260">
        <f>+Расходы!L239/1000</f>
        <v>0</v>
      </c>
      <c r="M46" s="260">
        <f>+Расходы!M239/1000</f>
        <v>0</v>
      </c>
      <c r="N46" s="249">
        <f t="shared" si="26"/>
        <v>96.885000000000005</v>
      </c>
      <c r="O46" s="237">
        <f t="shared" si="25"/>
        <v>0</v>
      </c>
    </row>
    <row r="47" spans="1:15" s="133" customFormat="1">
      <c r="A47" s="62" t="s">
        <v>42</v>
      </c>
      <c r="B47" s="260">
        <f>+Расходы!B240/1000</f>
        <v>0</v>
      </c>
      <c r="C47" s="260">
        <f>+Расходы!C240/1000</f>
        <v>0</v>
      </c>
      <c r="D47" s="260">
        <f>+Расходы!D240/1000</f>
        <v>0</v>
      </c>
      <c r="E47" s="260">
        <f>+Расходы!E240/1000</f>
        <v>33.034120000000001</v>
      </c>
      <c r="F47" s="260">
        <f>+Расходы!F240/1000</f>
        <v>27.888639999999999</v>
      </c>
      <c r="G47" s="260">
        <f>+Расходы!G240/1000</f>
        <v>26.96809</v>
      </c>
      <c r="H47" s="260">
        <f>+Расходы!H240/1000</f>
        <v>0</v>
      </c>
      <c r="I47" s="260">
        <f>+Расходы!I240/1000</f>
        <v>0</v>
      </c>
      <c r="J47" s="260">
        <f>+Расходы!J240/1000</f>
        <v>0</v>
      </c>
      <c r="K47" s="260">
        <f>+Расходы!K240/1000</f>
        <v>0</v>
      </c>
      <c r="L47" s="260">
        <f>+Расходы!L240/1000</f>
        <v>0</v>
      </c>
      <c r="M47" s="260">
        <f>+Расходы!M240/1000</f>
        <v>0</v>
      </c>
      <c r="N47" s="249">
        <f t="shared" si="26"/>
        <v>87.89085</v>
      </c>
      <c r="O47" s="237">
        <f t="shared" si="25"/>
        <v>0</v>
      </c>
    </row>
    <row r="48" spans="1:15" s="133" customFormat="1">
      <c r="A48" s="62" t="s">
        <v>43</v>
      </c>
      <c r="B48" s="260">
        <f>+Расходы!B241/1000</f>
        <v>0</v>
      </c>
      <c r="C48" s="260">
        <f>+Расходы!C241/1000</f>
        <v>0</v>
      </c>
      <c r="D48" s="260">
        <f>+Расходы!D241/1000</f>
        <v>0</v>
      </c>
      <c r="E48" s="260">
        <f>+Расходы!E241/1000</f>
        <v>0</v>
      </c>
      <c r="F48" s="260">
        <f>+Расходы!F241/1000</f>
        <v>0</v>
      </c>
      <c r="G48" s="260">
        <f>+Расходы!G241/1000</f>
        <v>0</v>
      </c>
      <c r="H48" s="260">
        <f>+Расходы!H241/1000</f>
        <v>0</v>
      </c>
      <c r="I48" s="260">
        <f>+Расходы!I241/1000</f>
        <v>0</v>
      </c>
      <c r="J48" s="260">
        <f>+Расходы!J241/1000</f>
        <v>0</v>
      </c>
      <c r="K48" s="260">
        <f>+Расходы!K241/1000</f>
        <v>0</v>
      </c>
      <c r="L48" s="260">
        <f>+Расходы!L241/1000</f>
        <v>0</v>
      </c>
      <c r="M48" s="260">
        <f>+Расходы!M241/1000</f>
        <v>0</v>
      </c>
      <c r="N48" s="249">
        <f t="shared" si="26"/>
        <v>0</v>
      </c>
      <c r="O48" s="237">
        <f t="shared" si="25"/>
        <v>0</v>
      </c>
    </row>
    <row r="49" spans="1:15" s="133" customFormat="1">
      <c r="A49" s="146" t="s">
        <v>44</v>
      </c>
      <c r="B49" s="260">
        <f>+Расходы!B242/1000</f>
        <v>0</v>
      </c>
      <c r="C49" s="260">
        <f>+Расходы!C242/1000</f>
        <v>0</v>
      </c>
      <c r="D49" s="260">
        <f>+Расходы!D242/1000</f>
        <v>0</v>
      </c>
      <c r="E49" s="260">
        <f>+Расходы!E242/1000</f>
        <v>0</v>
      </c>
      <c r="F49" s="260">
        <f>+Расходы!F242/1000</f>
        <v>0</v>
      </c>
      <c r="G49" s="260">
        <f>+Расходы!G242/1000</f>
        <v>0</v>
      </c>
      <c r="H49" s="260">
        <f>+Расходы!H242/1000</f>
        <v>0</v>
      </c>
      <c r="I49" s="260">
        <f>+Расходы!I242/1000</f>
        <v>0</v>
      </c>
      <c r="J49" s="260">
        <f>+Расходы!J242/1000</f>
        <v>0</v>
      </c>
      <c r="K49" s="260">
        <f>+Расходы!K242/1000</f>
        <v>0</v>
      </c>
      <c r="L49" s="260">
        <f>+Расходы!L242/1000</f>
        <v>0</v>
      </c>
      <c r="M49" s="260">
        <f>+Расходы!M242/1000</f>
        <v>0</v>
      </c>
      <c r="N49" s="249">
        <f t="shared" si="26"/>
        <v>0</v>
      </c>
      <c r="O49" s="237">
        <f t="shared" si="25"/>
        <v>0</v>
      </c>
    </row>
    <row r="50" spans="1:15" s="133" customFormat="1">
      <c r="A50" s="146" t="s">
        <v>45</v>
      </c>
      <c r="B50" s="260">
        <f>+Расходы!B243/1000</f>
        <v>0</v>
      </c>
      <c r="C50" s="260">
        <f>+Расходы!C243/1000</f>
        <v>0</v>
      </c>
      <c r="D50" s="260">
        <f>+Расходы!D243/1000</f>
        <v>0</v>
      </c>
      <c r="E50" s="260">
        <f>+Расходы!E243/1000</f>
        <v>0</v>
      </c>
      <c r="F50" s="260">
        <f>+Расходы!F243/1000</f>
        <v>0</v>
      </c>
      <c r="G50" s="260">
        <f>+Расходы!G243/1000</f>
        <v>0</v>
      </c>
      <c r="H50" s="260">
        <f>+Расходы!H243/1000</f>
        <v>0</v>
      </c>
      <c r="I50" s="260">
        <f>+Расходы!I243/1000</f>
        <v>0</v>
      </c>
      <c r="J50" s="260">
        <f>+Расходы!J243/1000</f>
        <v>0</v>
      </c>
      <c r="K50" s="260">
        <f>+Расходы!K243/1000</f>
        <v>0</v>
      </c>
      <c r="L50" s="260">
        <f>+Расходы!L243/1000</f>
        <v>0</v>
      </c>
      <c r="M50" s="260">
        <f>+Расходы!M243/1000</f>
        <v>0</v>
      </c>
      <c r="N50" s="249">
        <f t="shared" si="26"/>
        <v>0</v>
      </c>
      <c r="O50" s="237">
        <f t="shared" si="25"/>
        <v>0</v>
      </c>
    </row>
    <row r="51" spans="1:15" s="133" customFormat="1">
      <c r="A51" s="146" t="s">
        <v>46</v>
      </c>
      <c r="B51" s="260">
        <f>+Расходы!B244/1000</f>
        <v>0</v>
      </c>
      <c r="C51" s="260">
        <f>+Расходы!C244/1000</f>
        <v>0</v>
      </c>
      <c r="D51" s="260">
        <f>+Расходы!D244/1000</f>
        <v>0</v>
      </c>
      <c r="E51" s="260">
        <f>+Расходы!E244/1000</f>
        <v>0</v>
      </c>
      <c r="F51" s="260">
        <f>+Расходы!F244/1000</f>
        <v>0</v>
      </c>
      <c r="G51" s="260">
        <f>+Расходы!G244/1000</f>
        <v>0</v>
      </c>
      <c r="H51" s="260">
        <f>+Расходы!H244/1000</f>
        <v>0</v>
      </c>
      <c r="I51" s="260">
        <f>+Расходы!I244/1000</f>
        <v>0</v>
      </c>
      <c r="J51" s="260">
        <f>+Расходы!J244/1000</f>
        <v>0</v>
      </c>
      <c r="K51" s="260">
        <f>+Расходы!K244/1000</f>
        <v>0</v>
      </c>
      <c r="L51" s="260">
        <f>+Расходы!L244/1000</f>
        <v>0</v>
      </c>
      <c r="M51" s="260">
        <f>+Расходы!M244/1000</f>
        <v>0</v>
      </c>
      <c r="N51" s="249">
        <f t="shared" si="26"/>
        <v>0</v>
      </c>
      <c r="O51" s="237">
        <f t="shared" si="25"/>
        <v>0</v>
      </c>
    </row>
    <row r="52" spans="1:15" s="133" customFormat="1">
      <c r="A52" s="141" t="s">
        <v>47</v>
      </c>
      <c r="B52" s="261">
        <f t="shared" ref="B52:N52" si="27">+B32+B37-B39</f>
        <v>0</v>
      </c>
      <c r="C52" s="261">
        <f t="shared" si="27"/>
        <v>0</v>
      </c>
      <c r="D52" s="261">
        <f t="shared" si="27"/>
        <v>1196.3514999999998</v>
      </c>
      <c r="E52" s="261">
        <f t="shared" si="27"/>
        <v>1794.5870600000014</v>
      </c>
      <c r="F52" s="261">
        <f t="shared" si="27"/>
        <v>2072.8160900000007</v>
      </c>
      <c r="G52" s="261">
        <f t="shared" si="27"/>
        <v>1651.4345400000025</v>
      </c>
      <c r="H52" s="261">
        <f t="shared" si="27"/>
        <v>0</v>
      </c>
      <c r="I52" s="261">
        <f t="shared" si="27"/>
        <v>0</v>
      </c>
      <c r="J52" s="261">
        <f t="shared" si="27"/>
        <v>0</v>
      </c>
      <c r="K52" s="261">
        <f t="shared" si="27"/>
        <v>0</v>
      </c>
      <c r="L52" s="261">
        <f t="shared" si="27"/>
        <v>0</v>
      </c>
      <c r="M52" s="261">
        <f t="shared" si="27"/>
        <v>0</v>
      </c>
      <c r="N52" s="261">
        <f t="shared" si="27"/>
        <v>6715.1891900000119</v>
      </c>
      <c r="O52" s="237">
        <f t="shared" si="25"/>
        <v>-7.2759576141834259E-12</v>
      </c>
    </row>
    <row r="53" spans="1:15" s="133" customFormat="1" ht="24" customHeight="1">
      <c r="A53" s="147" t="s">
        <v>48</v>
      </c>
      <c r="B53" s="262"/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3">
        <f>SUM(B53:M53)</f>
        <v>0</v>
      </c>
      <c r="O53" s="237">
        <f t="shared" si="25"/>
        <v>0</v>
      </c>
    </row>
    <row r="54" spans="1:15" s="133" customFormat="1" ht="24" customHeight="1">
      <c r="A54" s="148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64"/>
      <c r="O54" s="237">
        <f t="shared" si="25"/>
        <v>0</v>
      </c>
    </row>
    <row r="55" spans="1:15" s="105" customFormat="1" ht="24" customHeight="1">
      <c r="A55" s="149" t="s">
        <v>49</v>
      </c>
      <c r="B55" s="369">
        <f t="shared" ref="B55:N55" si="28">+B52-B53</f>
        <v>0</v>
      </c>
      <c r="C55" s="369">
        <f t="shared" si="28"/>
        <v>0</v>
      </c>
      <c r="D55" s="369">
        <f t="shared" si="28"/>
        <v>1196.3514999999998</v>
      </c>
      <c r="E55" s="369">
        <f t="shared" si="28"/>
        <v>1794.5870600000014</v>
      </c>
      <c r="F55" s="369">
        <f t="shared" si="28"/>
        <v>2072.8160900000007</v>
      </c>
      <c r="G55" s="369">
        <f t="shared" si="28"/>
        <v>1651.4345400000025</v>
      </c>
      <c r="H55" s="369">
        <f t="shared" si="28"/>
        <v>0</v>
      </c>
      <c r="I55" s="369">
        <f t="shared" si="28"/>
        <v>0</v>
      </c>
      <c r="J55" s="369">
        <f t="shared" si="28"/>
        <v>0</v>
      </c>
      <c r="K55" s="369">
        <f t="shared" si="28"/>
        <v>0</v>
      </c>
      <c r="L55" s="369">
        <f t="shared" si="28"/>
        <v>0</v>
      </c>
      <c r="M55" s="369">
        <f t="shared" si="28"/>
        <v>0</v>
      </c>
      <c r="N55" s="369">
        <f t="shared" si="28"/>
        <v>6715.1891900000119</v>
      </c>
      <c r="O55" s="247">
        <f t="shared" si="25"/>
        <v>-7.2759576141834259E-12</v>
      </c>
    </row>
    <row r="56" spans="1:15">
      <c r="A56" s="150" t="s">
        <v>50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65"/>
      <c r="O56" s="237">
        <f t="shared" si="25"/>
        <v>0</v>
      </c>
    </row>
    <row r="57" spans="1:15">
      <c r="A57" s="150" t="s">
        <v>51</v>
      </c>
      <c r="B57" s="250">
        <f t="shared" ref="B57:N57" si="29">SUM(B58:B59)</f>
        <v>0</v>
      </c>
      <c r="C57" s="250">
        <f t="shared" si="29"/>
        <v>22609.581710000002</v>
      </c>
      <c r="D57" s="250">
        <f t="shared" si="29"/>
        <v>3691.9723600000002</v>
      </c>
      <c r="E57" s="250">
        <f t="shared" si="29"/>
        <v>539.66687999999988</v>
      </c>
      <c r="F57" s="250">
        <f t="shared" si="29"/>
        <v>5007.7595099999999</v>
      </c>
      <c r="G57" s="250">
        <f t="shared" si="29"/>
        <v>689.74705999999992</v>
      </c>
      <c r="H57" s="250">
        <f t="shared" si="29"/>
        <v>0</v>
      </c>
      <c r="I57" s="250">
        <f t="shared" si="29"/>
        <v>0</v>
      </c>
      <c r="J57" s="250">
        <f t="shared" si="29"/>
        <v>0</v>
      </c>
      <c r="K57" s="250">
        <f t="shared" si="29"/>
        <v>0</v>
      </c>
      <c r="L57" s="250">
        <f t="shared" si="29"/>
        <v>0</v>
      </c>
      <c r="M57" s="250">
        <f t="shared" si="29"/>
        <v>0</v>
      </c>
      <c r="N57" s="265">
        <f t="shared" si="29"/>
        <v>32538.727520000004</v>
      </c>
      <c r="O57" s="237">
        <f t="shared" si="25"/>
        <v>0</v>
      </c>
    </row>
    <row r="58" spans="1:15" s="133" customFormat="1">
      <c r="A58" s="151" t="s">
        <v>52</v>
      </c>
      <c r="B58" s="266"/>
      <c r="C58" s="267">
        <f>1/1000*22609581.71</f>
        <v>22609.581710000002</v>
      </c>
      <c r="D58" s="266">
        <f>3704908.06/1000-12935.7/1000</f>
        <v>3691.9723600000002</v>
      </c>
      <c r="E58" s="236">
        <f>(639261.19-99594.31)/1000</f>
        <v>539.66687999999988</v>
      </c>
      <c r="F58" s="236">
        <f>(5133173.91-125414.4)/1000</f>
        <v>5007.7595099999999</v>
      </c>
      <c r="G58" s="236">
        <f>(1194779.21-505032.15)/1000</f>
        <v>689.74705999999992</v>
      </c>
      <c r="H58" s="236"/>
      <c r="I58" s="236"/>
      <c r="J58" s="236"/>
      <c r="K58" s="236"/>
      <c r="L58" s="236"/>
      <c r="M58" s="236"/>
      <c r="N58" s="268">
        <f>SUM(B58:M58)</f>
        <v>32538.727520000004</v>
      </c>
      <c r="O58" s="237">
        <f t="shared" si="25"/>
        <v>0</v>
      </c>
    </row>
    <row r="59" spans="1:15" s="133" customFormat="1">
      <c r="A59" s="151" t="s">
        <v>53</v>
      </c>
      <c r="B59" s="266"/>
      <c r="C59" s="266"/>
      <c r="D59" s="266" t="s">
        <v>54</v>
      </c>
      <c r="E59" s="236"/>
      <c r="F59" s="236"/>
      <c r="G59" s="236"/>
      <c r="H59" s="236"/>
      <c r="I59" s="236"/>
      <c r="J59" s="236"/>
      <c r="K59" s="236"/>
      <c r="L59" s="236"/>
      <c r="M59" s="236"/>
      <c r="N59" s="268">
        <f>SUM(B59:M59)</f>
        <v>0</v>
      </c>
      <c r="O59" s="237">
        <f t="shared" si="25"/>
        <v>0</v>
      </c>
    </row>
    <row r="60" spans="1:15">
      <c r="A60" s="150" t="s">
        <v>55</v>
      </c>
      <c r="B60" s="250">
        <f t="shared" ref="B60:N60" si="30">SUM(B61:B63)</f>
        <v>0</v>
      </c>
      <c r="C60" s="250">
        <f t="shared" si="30"/>
        <v>45981.732940000002</v>
      </c>
      <c r="D60" s="250">
        <f t="shared" si="30"/>
        <v>7354.6223499999996</v>
      </c>
      <c r="E60" s="250">
        <f t="shared" si="30"/>
        <v>1790.0968400000002</v>
      </c>
      <c r="F60" s="250">
        <f t="shared" si="30"/>
        <v>1773.2443500000002</v>
      </c>
      <c r="G60" s="250">
        <f t="shared" si="30"/>
        <v>601.84295999999995</v>
      </c>
      <c r="H60" s="250">
        <f t="shared" si="30"/>
        <v>0</v>
      </c>
      <c r="I60" s="250">
        <f t="shared" si="30"/>
        <v>0</v>
      </c>
      <c r="J60" s="250">
        <f t="shared" si="30"/>
        <v>0</v>
      </c>
      <c r="K60" s="250">
        <f t="shared" si="30"/>
        <v>0</v>
      </c>
      <c r="L60" s="250">
        <f t="shared" si="30"/>
        <v>0</v>
      </c>
      <c r="M60" s="250">
        <f t="shared" si="30"/>
        <v>0</v>
      </c>
      <c r="N60" s="265">
        <f t="shared" si="30"/>
        <v>57501.53944</v>
      </c>
      <c r="O60" s="237">
        <f t="shared" si="25"/>
        <v>0</v>
      </c>
    </row>
    <row r="61" spans="1:15" s="133" customFormat="1">
      <c r="A61" s="151" t="s">
        <v>56</v>
      </c>
      <c r="B61" s="266"/>
      <c r="C61" s="266">
        <f>1/1000*45981732.94</f>
        <v>45981.732940000002</v>
      </c>
      <c r="D61" s="220">
        <f>1/1000*7354622.35</f>
        <v>7354.6223499999996</v>
      </c>
      <c r="E61" s="220">
        <f>1/1000*1790096.84</f>
        <v>1790.0968400000002</v>
      </c>
      <c r="F61" s="236">
        <f>1773.247-2.65/1000</f>
        <v>1773.2443500000002</v>
      </c>
      <c r="G61" s="236">
        <f>1/1000*601842.96</f>
        <v>601.84295999999995</v>
      </c>
      <c r="H61" s="236"/>
      <c r="I61" s="236"/>
      <c r="J61" s="236"/>
      <c r="K61" s="236"/>
      <c r="L61" s="236"/>
      <c r="M61" s="236"/>
      <c r="N61" s="268">
        <f>SUM(B61:M61)</f>
        <v>57501.53944</v>
      </c>
      <c r="O61" s="237">
        <f t="shared" si="25"/>
        <v>0</v>
      </c>
    </row>
    <row r="62" spans="1:15" s="133" customFormat="1">
      <c r="A62" s="151" t="s">
        <v>57</v>
      </c>
      <c r="B62" s="266"/>
      <c r="C62" s="266"/>
      <c r="D62" s="266"/>
      <c r="E62" s="269"/>
      <c r="F62" s="236"/>
      <c r="G62" s="236"/>
      <c r="H62" s="236"/>
      <c r="I62" s="236"/>
      <c r="J62" s="236"/>
      <c r="K62" s="236"/>
      <c r="L62" s="236"/>
      <c r="M62" s="236"/>
      <c r="N62" s="268">
        <f>SUM(B62:M62)</f>
        <v>0</v>
      </c>
      <c r="O62" s="237">
        <f t="shared" si="25"/>
        <v>0</v>
      </c>
    </row>
    <row r="63" spans="1:15" s="133" customFormat="1">
      <c r="A63" s="151" t="s">
        <v>58</v>
      </c>
      <c r="B63" s="266"/>
      <c r="C63" s="266"/>
      <c r="D63" s="266"/>
      <c r="E63" s="266"/>
      <c r="F63" s="236"/>
      <c r="G63" s="236"/>
      <c r="H63" s="236"/>
      <c r="I63" s="236"/>
      <c r="J63" s="236"/>
      <c r="K63" s="236"/>
      <c r="L63" s="236"/>
      <c r="M63" s="236"/>
      <c r="N63" s="268">
        <f>SUM(B63:M63)</f>
        <v>0</v>
      </c>
      <c r="O63" s="237">
        <f t="shared" si="25"/>
        <v>0</v>
      </c>
    </row>
    <row r="64" spans="1:15">
      <c r="A64" s="150" t="s">
        <v>59</v>
      </c>
      <c r="B64" s="250">
        <f t="shared" ref="B64:N64" si="31">SUM(B65:B66)</f>
        <v>0</v>
      </c>
      <c r="C64" s="250">
        <f t="shared" si="31"/>
        <v>0</v>
      </c>
      <c r="D64" s="250">
        <f t="shared" si="31"/>
        <v>0</v>
      </c>
      <c r="E64" s="250">
        <f t="shared" si="31"/>
        <v>0</v>
      </c>
      <c r="F64" s="250">
        <f t="shared" si="31"/>
        <v>0</v>
      </c>
      <c r="G64" s="250">
        <f t="shared" si="31"/>
        <v>0</v>
      </c>
      <c r="H64" s="250">
        <f t="shared" si="31"/>
        <v>0</v>
      </c>
      <c r="I64" s="250">
        <f t="shared" si="31"/>
        <v>0</v>
      </c>
      <c r="J64" s="250">
        <f t="shared" si="31"/>
        <v>0</v>
      </c>
      <c r="K64" s="250">
        <f t="shared" si="31"/>
        <v>0</v>
      </c>
      <c r="L64" s="250">
        <f t="shared" si="31"/>
        <v>0</v>
      </c>
      <c r="M64" s="250">
        <f t="shared" si="31"/>
        <v>0</v>
      </c>
      <c r="N64" s="250">
        <f t="shared" si="31"/>
        <v>0</v>
      </c>
      <c r="O64" s="237">
        <f t="shared" si="25"/>
        <v>0</v>
      </c>
    </row>
    <row r="65" spans="1:15" s="6" customFormat="1" ht="13.1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18"/>
      <c r="M65" s="5"/>
      <c r="N65" s="5">
        <f t="shared" ref="N65:N70" si="32">SUM(B65:M65)</f>
        <v>0</v>
      </c>
      <c r="O65" s="237">
        <f t="shared" si="25"/>
        <v>0</v>
      </c>
    </row>
    <row r="66" spans="1:15" s="6" customFormat="1" ht="13.15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17"/>
      <c r="M66" s="5"/>
      <c r="N66" s="5">
        <f t="shared" si="32"/>
        <v>0</v>
      </c>
      <c r="O66" s="237">
        <f t="shared" si="25"/>
        <v>0</v>
      </c>
    </row>
    <row r="67" spans="1:15" s="6" customFormat="1" ht="13.15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 t="shared" si="32"/>
        <v>0</v>
      </c>
      <c r="O67" s="237">
        <f t="shared" si="25"/>
        <v>0</v>
      </c>
    </row>
    <row r="68" spans="1:15" s="133" customFormat="1">
      <c r="A68" s="152" t="s">
        <v>60</v>
      </c>
      <c r="B68" s="270"/>
      <c r="C68" s="271">
        <f t="shared" ref="C68:K68" si="33">SUM(C69)</f>
        <v>-70052.312349999993</v>
      </c>
      <c r="D68" s="271">
        <f t="shared" si="33"/>
        <v>-7462.1810400000104</v>
      </c>
      <c r="E68" s="271">
        <f t="shared" si="33"/>
        <v>-115.12</v>
      </c>
      <c r="F68" s="271">
        <f t="shared" si="33"/>
        <v>0</v>
      </c>
      <c r="G68" s="271">
        <f t="shared" si="33"/>
        <v>0</v>
      </c>
      <c r="H68" s="271">
        <f t="shared" si="33"/>
        <v>0</v>
      </c>
      <c r="I68" s="271">
        <f t="shared" si="33"/>
        <v>0</v>
      </c>
      <c r="J68" s="271">
        <f t="shared" si="33"/>
        <v>0</v>
      </c>
      <c r="K68" s="271">
        <f t="shared" si="33"/>
        <v>0</v>
      </c>
      <c r="L68" s="272"/>
      <c r="M68" s="272"/>
      <c r="N68" s="273">
        <f t="shared" si="32"/>
        <v>-77629.613389999999</v>
      </c>
      <c r="O68" s="237">
        <f t="shared" si="25"/>
        <v>0</v>
      </c>
    </row>
    <row r="69" spans="1:15" s="133" customFormat="1">
      <c r="A69" s="151"/>
      <c r="B69" s="236"/>
      <c r="C69" s="222">
        <f>-1/1000*70052312.35</f>
        <v>-70052.312349999993</v>
      </c>
      <c r="D69" s="236">
        <f>-1/1000*7462181.04000001</f>
        <v>-7462.1810400000104</v>
      </c>
      <c r="E69" s="236">
        <v>-115.12</v>
      </c>
      <c r="F69" s="236"/>
      <c r="G69" s="236"/>
      <c r="H69" s="236"/>
      <c r="I69" s="236"/>
      <c r="J69" s="236"/>
      <c r="K69" s="236"/>
      <c r="L69" s="236"/>
      <c r="M69" s="236"/>
      <c r="N69" s="5">
        <f t="shared" si="32"/>
        <v>-77629.613389999999</v>
      </c>
      <c r="O69" s="237">
        <f t="shared" si="25"/>
        <v>0</v>
      </c>
    </row>
    <row r="70" spans="1:15">
      <c r="A70" s="153" t="s">
        <v>61</v>
      </c>
      <c r="B70" s="274">
        <f t="shared" ref="B70:M70" si="34">B57+B60+B64+B68</f>
        <v>0</v>
      </c>
      <c r="C70" s="274">
        <f t="shared" si="34"/>
        <v>-1460.9976999999926</v>
      </c>
      <c r="D70" s="274">
        <f t="shared" si="34"/>
        <v>3584.413669999989</v>
      </c>
      <c r="E70" s="274">
        <f t="shared" si="34"/>
        <v>2214.64372</v>
      </c>
      <c r="F70" s="274">
        <f t="shared" si="34"/>
        <v>6781.0038599999998</v>
      </c>
      <c r="G70" s="274">
        <f t="shared" si="34"/>
        <v>1291.5900199999999</v>
      </c>
      <c r="H70" s="274">
        <f t="shared" si="34"/>
        <v>0</v>
      </c>
      <c r="I70" s="274">
        <f t="shared" si="34"/>
        <v>0</v>
      </c>
      <c r="J70" s="274">
        <f t="shared" si="34"/>
        <v>0</v>
      </c>
      <c r="K70" s="274">
        <f t="shared" si="34"/>
        <v>0</v>
      </c>
      <c r="L70" s="274">
        <f t="shared" si="34"/>
        <v>0</v>
      </c>
      <c r="M70" s="274">
        <f t="shared" si="34"/>
        <v>0</v>
      </c>
      <c r="N70" s="275">
        <f t="shared" si="32"/>
        <v>12410.653569999995</v>
      </c>
      <c r="O70" s="237">
        <f t="shared" si="25"/>
        <v>0</v>
      </c>
    </row>
    <row r="71" spans="1:15"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7"/>
      <c r="N71" s="277"/>
    </row>
    <row r="72" spans="1:15">
      <c r="A72" s="154" t="s">
        <v>62</v>
      </c>
      <c r="B72" s="277">
        <f t="shared" ref="B72:J72" si="35">B55-B70</f>
        <v>0</v>
      </c>
      <c r="C72" s="277">
        <f t="shared" si="35"/>
        <v>1460.9976999999926</v>
      </c>
      <c r="D72" s="277">
        <f t="shared" si="35"/>
        <v>-2388.0621699999892</v>
      </c>
      <c r="E72" s="277">
        <f t="shared" si="35"/>
        <v>-420.0566599999986</v>
      </c>
      <c r="F72" s="277">
        <f t="shared" si="35"/>
        <v>-4708.1877699999986</v>
      </c>
      <c r="G72" s="277">
        <f t="shared" si="35"/>
        <v>359.8445200000026</v>
      </c>
      <c r="H72" s="277">
        <f t="shared" si="35"/>
        <v>0</v>
      </c>
      <c r="I72" s="277">
        <f t="shared" si="35"/>
        <v>0</v>
      </c>
      <c r="J72" s="277">
        <f t="shared" si="35"/>
        <v>0</v>
      </c>
      <c r="K72" s="277">
        <f>K55-K70+K61</f>
        <v>0</v>
      </c>
      <c r="L72" s="277">
        <f>L55-L70+L61</f>
        <v>0</v>
      </c>
      <c r="M72" s="277">
        <f>M55-M70+M61</f>
        <v>0</v>
      </c>
      <c r="N72" s="277"/>
    </row>
    <row r="73" spans="1:15">
      <c r="A73" s="154" t="s">
        <v>63</v>
      </c>
      <c r="B73" s="155">
        <v>0</v>
      </c>
    </row>
    <row r="74" spans="1:15">
      <c r="A74" s="154" t="s">
        <v>64</v>
      </c>
      <c r="B74" s="370">
        <f>B73+B72</f>
        <v>0</v>
      </c>
      <c r="C74" s="370">
        <f t="shared" ref="C74:M74" si="36">B74+C72</f>
        <v>1460.9976999999926</v>
      </c>
      <c r="D74" s="370">
        <f t="shared" si="36"/>
        <v>-927.06446999999662</v>
      </c>
      <c r="E74" s="370">
        <f t="shared" si="36"/>
        <v>-1347.1211299999952</v>
      </c>
      <c r="F74" s="370">
        <f t="shared" si="36"/>
        <v>-6055.3088999999936</v>
      </c>
      <c r="G74" s="370">
        <f t="shared" si="36"/>
        <v>-5695.4643799999913</v>
      </c>
      <c r="H74" s="16">
        <f t="shared" si="36"/>
        <v>-5695.4643799999913</v>
      </c>
      <c r="I74" s="370">
        <f t="shared" si="36"/>
        <v>-5695.4643799999913</v>
      </c>
      <c r="J74" s="16">
        <f t="shared" si="36"/>
        <v>-5695.4643799999913</v>
      </c>
      <c r="K74" s="16">
        <f t="shared" si="36"/>
        <v>-5695.4643799999913</v>
      </c>
      <c r="L74" s="16">
        <f t="shared" si="36"/>
        <v>-5695.4643799999913</v>
      </c>
      <c r="M74" s="370">
        <f t="shared" si="36"/>
        <v>-5695.4643799999913</v>
      </c>
    </row>
    <row r="75" spans="1:15">
      <c r="B75" s="1">
        <f>-баланс!C26/1000</f>
        <v>0</v>
      </c>
      <c r="C75" s="1">
        <f>-баланс!D26/1000</f>
        <v>0</v>
      </c>
      <c r="D75" s="1">
        <f>-баланс!E26/1000</f>
        <v>0</v>
      </c>
      <c r="E75" s="1">
        <f>-баланс!F26/1000</f>
        <v>0</v>
      </c>
      <c r="F75" s="1">
        <f>-баланс!G26/1000</f>
        <v>0</v>
      </c>
      <c r="G75" s="1">
        <f>-баланс!H26/1000</f>
        <v>0</v>
      </c>
      <c r="H75" s="1">
        <f>-баланс!I26/1000</f>
        <v>0</v>
      </c>
      <c r="I75" s="1">
        <f>-баланс!J26/1000</f>
        <v>0</v>
      </c>
      <c r="J75" s="1">
        <f>-баланс!K26/1000</f>
        <v>0</v>
      </c>
      <c r="K75" s="1">
        <f>-баланс!L26/1000</f>
        <v>0</v>
      </c>
      <c r="L75" s="1">
        <f>-баланс!M26/1000</f>
        <v>0</v>
      </c>
      <c r="M75" s="1">
        <f>-баланс!N26/1000</f>
        <v>0</v>
      </c>
    </row>
    <row r="77" spans="1:15">
      <c r="C77" s="81">
        <v>45981732.939999998</v>
      </c>
    </row>
  </sheetData>
  <pageMargins left="0.70866141732283472" right="0.70866141732283472" top="0.74803149606299213" bottom="0.74803149606299213" header="0.31496062992125978" footer="0.31496062992125978"/>
  <pageSetup paperSize="9" scale="75" orientation="portrait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91"/>
  <sheetViews>
    <sheetView zoomScale="85" zoomScaleNormal="8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G47" sqref="G47"/>
    </sheetView>
  </sheetViews>
  <sheetFormatPr defaultColWidth="9.42578125" defaultRowHeight="15" outlineLevelCol="1"/>
  <cols>
    <col min="1" max="1" width="51" style="30" customWidth="1"/>
    <col min="2" max="2" width="11" style="371" customWidth="1" outlineLevel="1"/>
    <col min="3" max="3" width="11.5703125" style="371" customWidth="1" outlineLevel="1"/>
    <col min="4" max="4" width="21.5703125" style="371" customWidth="1" outlineLevel="1"/>
    <col min="5" max="5" width="18.5703125" style="371" customWidth="1" outlineLevel="1"/>
    <col min="6" max="6" width="21.140625" style="371" customWidth="1" outlineLevel="1"/>
    <col min="7" max="7" width="19.7109375" style="371" customWidth="1" outlineLevel="1"/>
    <col min="8" max="13" width="15.5703125" style="371" customWidth="1" outlineLevel="1"/>
    <col min="14" max="14" width="20.5703125" style="372" customWidth="1"/>
    <col min="15" max="15" width="15.42578125" style="156" customWidth="1"/>
    <col min="16" max="16" width="11.5703125" style="157" customWidth="1"/>
    <col min="17" max="17" width="4.28515625" style="157" customWidth="1"/>
    <col min="18" max="18" width="3.5703125" style="157" customWidth="1"/>
    <col min="19" max="19" width="16.42578125" style="278" bestFit="1" customWidth="1"/>
    <col min="20" max="31" width="9.42578125" style="157" customWidth="1"/>
    <col min="32" max="16384" width="9.42578125" style="157"/>
  </cols>
  <sheetData>
    <row r="1" spans="1:19" s="158" customFormat="1" ht="15.6" customHeight="1">
      <c r="A1" s="22" t="s">
        <v>65</v>
      </c>
      <c r="B1" s="373" t="s">
        <v>1</v>
      </c>
      <c r="C1" s="373" t="s">
        <v>2</v>
      </c>
      <c r="D1" s="374" t="s">
        <v>3</v>
      </c>
      <c r="E1" s="374" t="s">
        <v>4</v>
      </c>
      <c r="F1" s="373" t="s">
        <v>5</v>
      </c>
      <c r="G1" s="373" t="s">
        <v>6</v>
      </c>
      <c r="H1" s="373" t="s">
        <v>7</v>
      </c>
      <c r="I1" s="373" t="s">
        <v>8</v>
      </c>
      <c r="J1" s="373" t="s">
        <v>9</v>
      </c>
      <c r="K1" s="373" t="s">
        <v>10</v>
      </c>
      <c r="L1" s="373" t="s">
        <v>11</v>
      </c>
      <c r="M1" s="373" t="s">
        <v>12</v>
      </c>
      <c r="N1" s="375" t="s">
        <v>13</v>
      </c>
      <c r="O1" s="159" t="s">
        <v>14</v>
      </c>
      <c r="P1" s="158" t="s">
        <v>66</v>
      </c>
      <c r="S1" s="279"/>
    </row>
    <row r="2" spans="1:19" s="160" customFormat="1" ht="18" customHeight="1">
      <c r="A2" s="43" t="s">
        <v>67</v>
      </c>
      <c r="B2" s="376">
        <f t="shared" ref="B2:N2" si="0">+B3+B14+B18</f>
        <v>0</v>
      </c>
      <c r="C2" s="376">
        <f t="shared" si="0"/>
        <v>0</v>
      </c>
      <c r="D2" s="376">
        <f t="shared" si="0"/>
        <v>1595188.98</v>
      </c>
      <c r="E2" s="376">
        <f t="shared" si="0"/>
        <v>4034614.2399999998</v>
      </c>
      <c r="F2" s="376">
        <f t="shared" si="0"/>
        <v>4515469.72</v>
      </c>
      <c r="G2" s="376">
        <f t="shared" si="0"/>
        <v>4392321.4099999992</v>
      </c>
      <c r="H2" s="376">
        <f t="shared" si="0"/>
        <v>0</v>
      </c>
      <c r="I2" s="376">
        <f t="shared" si="0"/>
        <v>0</v>
      </c>
      <c r="J2" s="376">
        <f t="shared" si="0"/>
        <v>0</v>
      </c>
      <c r="K2" s="376">
        <f t="shared" si="0"/>
        <v>0</v>
      </c>
      <c r="L2" s="376">
        <f t="shared" si="0"/>
        <v>0</v>
      </c>
      <c r="M2" s="376">
        <f t="shared" si="0"/>
        <v>0</v>
      </c>
      <c r="N2" s="376">
        <f t="shared" si="0"/>
        <v>14537594.35</v>
      </c>
      <c r="O2" s="280">
        <f t="shared" ref="O2:O28" si="1">+SUM($B2:$M2)-N2</f>
        <v>0</v>
      </c>
      <c r="P2" s="160" t="s">
        <v>68</v>
      </c>
      <c r="S2" s="376">
        <f t="shared" ref="S2:S28" si="2">H2/1000</f>
        <v>0</v>
      </c>
    </row>
    <row r="3" spans="1:19" ht="16.149999999999999" customHeight="1">
      <c r="A3" s="42" t="s">
        <v>69</v>
      </c>
      <c r="B3" s="377">
        <f t="shared" ref="B3:N3" si="3">SUM(B4:B13)</f>
        <v>0</v>
      </c>
      <c r="C3" s="377">
        <f t="shared" si="3"/>
        <v>0</v>
      </c>
      <c r="D3" s="377">
        <f t="shared" si="3"/>
        <v>1415086.23</v>
      </c>
      <c r="E3" s="377">
        <f t="shared" si="3"/>
        <v>3397840.05</v>
      </c>
      <c r="F3" s="377">
        <f t="shared" si="3"/>
        <v>3793805.5</v>
      </c>
      <c r="G3" s="377">
        <f t="shared" si="3"/>
        <v>3559808.4099999997</v>
      </c>
      <c r="H3" s="377">
        <f t="shared" si="3"/>
        <v>0</v>
      </c>
      <c r="I3" s="377">
        <f t="shared" si="3"/>
        <v>0</v>
      </c>
      <c r="J3" s="377">
        <f t="shared" si="3"/>
        <v>0</v>
      </c>
      <c r="K3" s="377">
        <f t="shared" si="3"/>
        <v>0</v>
      </c>
      <c r="L3" s="377">
        <f t="shared" si="3"/>
        <v>0</v>
      </c>
      <c r="M3" s="377">
        <f t="shared" si="3"/>
        <v>0</v>
      </c>
      <c r="N3" s="378">
        <f t="shared" si="3"/>
        <v>12166540.189999999</v>
      </c>
      <c r="O3" s="281">
        <f t="shared" si="1"/>
        <v>0</v>
      </c>
      <c r="P3" s="157" t="s">
        <v>70</v>
      </c>
      <c r="S3" s="282">
        <f t="shared" si="2"/>
        <v>0</v>
      </c>
    </row>
    <row r="4" spans="1:19" s="161" customFormat="1" ht="15.6" customHeight="1">
      <c r="A4" s="62" t="s">
        <v>71</v>
      </c>
      <c r="B4" s="379"/>
      <c r="C4" s="380"/>
      <c r="D4" s="210">
        <v>478220</v>
      </c>
      <c r="E4" s="210">
        <v>1469110</v>
      </c>
      <c r="F4" s="508">
        <v>1577040</v>
      </c>
      <c r="G4" s="522">
        <v>1453396</v>
      </c>
      <c r="H4" s="380"/>
      <c r="I4" s="380"/>
      <c r="J4" s="380"/>
      <c r="K4" s="380"/>
      <c r="L4" s="380"/>
      <c r="M4" s="380"/>
      <c r="N4" s="381">
        <f t="shared" ref="N4:N13" si="4">SUM(B4:M4)</f>
        <v>4977766</v>
      </c>
      <c r="O4" s="281">
        <f t="shared" si="1"/>
        <v>0</v>
      </c>
      <c r="P4" s="161" t="s">
        <v>72</v>
      </c>
      <c r="S4" s="283">
        <f t="shared" si="2"/>
        <v>0</v>
      </c>
    </row>
    <row r="5" spans="1:19" s="161" customFormat="1" ht="15.6" customHeight="1">
      <c r="A5" s="62" t="s">
        <v>73</v>
      </c>
      <c r="B5" s="379"/>
      <c r="C5" s="380"/>
      <c r="D5" s="210">
        <v>598690</v>
      </c>
      <c r="E5" s="210">
        <v>1112200.05</v>
      </c>
      <c r="F5" s="508">
        <f>1119464-18900</f>
        <v>1100564</v>
      </c>
      <c r="G5" s="522">
        <v>1107995.8799999999</v>
      </c>
      <c r="H5" s="380"/>
      <c r="I5" s="380"/>
      <c r="J5" s="380"/>
      <c r="K5" s="380"/>
      <c r="L5" s="380"/>
      <c r="M5" s="380"/>
      <c r="N5" s="381">
        <f t="shared" si="4"/>
        <v>3919449.9299999997</v>
      </c>
      <c r="O5" s="281">
        <f t="shared" si="1"/>
        <v>0</v>
      </c>
      <c r="P5" s="161" t="s">
        <v>74</v>
      </c>
      <c r="S5" s="283">
        <f t="shared" si="2"/>
        <v>0</v>
      </c>
    </row>
    <row r="6" spans="1:19" s="161" customFormat="1" ht="15.6" customHeight="1">
      <c r="A6" s="62" t="s">
        <v>75</v>
      </c>
      <c r="B6" s="379"/>
      <c r="C6" s="380"/>
      <c r="D6" s="210">
        <v>167700</v>
      </c>
      <c r="E6" s="210">
        <v>447330</v>
      </c>
      <c r="F6" s="508">
        <v>466830</v>
      </c>
      <c r="G6" s="522">
        <v>469690</v>
      </c>
      <c r="H6" s="380"/>
      <c r="I6" s="380"/>
      <c r="J6" s="380"/>
      <c r="K6" s="380"/>
      <c r="L6" s="380"/>
      <c r="M6" s="380"/>
      <c r="N6" s="381">
        <f t="shared" si="4"/>
        <v>1551550</v>
      </c>
      <c r="O6" s="281">
        <f t="shared" si="1"/>
        <v>0</v>
      </c>
      <c r="P6" s="161" t="s">
        <v>76</v>
      </c>
      <c r="S6" s="283">
        <f t="shared" si="2"/>
        <v>0</v>
      </c>
    </row>
    <row r="7" spans="1:19" s="161" customFormat="1" ht="15.6" customHeight="1">
      <c r="A7" s="62" t="s">
        <v>77</v>
      </c>
      <c r="B7" s="379"/>
      <c r="C7" s="380"/>
      <c r="D7" s="210">
        <v>170476.23</v>
      </c>
      <c r="E7" s="210">
        <v>369200</v>
      </c>
      <c r="F7" s="508">
        <v>563661.5</v>
      </c>
      <c r="G7" s="522">
        <v>520913</v>
      </c>
      <c r="H7" s="380"/>
      <c r="I7" s="380"/>
      <c r="J7" s="380"/>
      <c r="K7" s="380"/>
      <c r="L7" s="380"/>
      <c r="M7" s="380"/>
      <c r="N7" s="381">
        <f t="shared" si="4"/>
        <v>1624250.73</v>
      </c>
      <c r="O7" s="281">
        <f t="shared" si="1"/>
        <v>0</v>
      </c>
      <c r="P7" s="161" t="s">
        <v>78</v>
      </c>
      <c r="S7" s="283">
        <f t="shared" si="2"/>
        <v>0</v>
      </c>
    </row>
    <row r="8" spans="1:19" s="161" customFormat="1" ht="15.6" customHeight="1">
      <c r="A8" s="62" t="s">
        <v>79</v>
      </c>
      <c r="B8" s="379"/>
      <c r="C8" s="380"/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1">
        <f t="shared" si="4"/>
        <v>0</v>
      </c>
      <c r="O8" s="281">
        <f t="shared" si="1"/>
        <v>0</v>
      </c>
      <c r="P8" s="161" t="s">
        <v>80</v>
      </c>
      <c r="S8" s="283">
        <f t="shared" si="2"/>
        <v>0</v>
      </c>
    </row>
    <row r="9" spans="1:19" s="161" customFormat="1" ht="15.6" customHeight="1">
      <c r="A9" s="62" t="s">
        <v>81</v>
      </c>
      <c r="B9" s="379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1">
        <f t="shared" si="4"/>
        <v>0</v>
      </c>
      <c r="O9" s="281">
        <f t="shared" si="1"/>
        <v>0</v>
      </c>
      <c r="P9" s="161" t="s">
        <v>82</v>
      </c>
      <c r="S9" s="283">
        <f t="shared" si="2"/>
        <v>0</v>
      </c>
    </row>
    <row r="10" spans="1:19" s="161" customFormat="1" ht="15.6" customHeight="1">
      <c r="A10" s="62" t="s">
        <v>83</v>
      </c>
      <c r="B10" s="379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1">
        <f t="shared" si="4"/>
        <v>0</v>
      </c>
      <c r="O10" s="281">
        <f t="shared" si="1"/>
        <v>0</v>
      </c>
      <c r="P10" s="161" t="s">
        <v>84</v>
      </c>
      <c r="S10" s="283">
        <f t="shared" si="2"/>
        <v>0</v>
      </c>
    </row>
    <row r="11" spans="1:19" s="161" customFormat="1" ht="15.6" customHeight="1">
      <c r="A11" s="62" t="s">
        <v>85</v>
      </c>
      <c r="B11" s="379"/>
      <c r="C11" s="380"/>
      <c r="D11" s="380"/>
      <c r="E11" s="380"/>
      <c r="F11" s="508">
        <v>60000</v>
      </c>
      <c r="G11" s="380"/>
      <c r="H11" s="380"/>
      <c r="I11" s="380"/>
      <c r="J11" s="380"/>
      <c r="K11" s="380"/>
      <c r="L11" s="380"/>
      <c r="M11" s="380"/>
      <c r="N11" s="381">
        <f t="shared" si="4"/>
        <v>60000</v>
      </c>
      <c r="O11" s="281">
        <f t="shared" si="1"/>
        <v>0</v>
      </c>
      <c r="P11" s="161" t="s">
        <v>86</v>
      </c>
      <c r="S11" s="283">
        <f t="shared" si="2"/>
        <v>0</v>
      </c>
    </row>
    <row r="12" spans="1:19" s="161" customFormat="1" ht="15.6" customHeight="1">
      <c r="A12" s="62" t="s">
        <v>87</v>
      </c>
      <c r="B12" s="379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1">
        <f t="shared" si="4"/>
        <v>0</v>
      </c>
      <c r="O12" s="281">
        <f t="shared" si="1"/>
        <v>0</v>
      </c>
      <c r="P12" s="161" t="s">
        <v>88</v>
      </c>
      <c r="S12" s="283">
        <f t="shared" si="2"/>
        <v>0</v>
      </c>
    </row>
    <row r="13" spans="1:19" s="161" customFormat="1" ht="15.6" customHeight="1">
      <c r="A13" s="62" t="s">
        <v>89</v>
      </c>
      <c r="B13" s="379"/>
      <c r="C13" s="380"/>
      <c r="D13" s="380"/>
      <c r="E13" s="380"/>
      <c r="F13" s="508">
        <v>25710</v>
      </c>
      <c r="G13" s="210">
        <v>7813.53</v>
      </c>
      <c r="H13" s="380"/>
      <c r="I13" s="380"/>
      <c r="J13" s="380"/>
      <c r="K13" s="380"/>
      <c r="L13" s="380"/>
      <c r="M13" s="380"/>
      <c r="N13" s="381">
        <f t="shared" si="4"/>
        <v>33523.53</v>
      </c>
      <c r="O13" s="281">
        <f t="shared" si="1"/>
        <v>0</v>
      </c>
      <c r="P13" s="161" t="s">
        <v>90</v>
      </c>
      <c r="S13" s="283">
        <f t="shared" si="2"/>
        <v>0</v>
      </c>
    </row>
    <row r="14" spans="1:19" ht="16.149999999999999" customHeight="1">
      <c r="A14" s="42" t="s">
        <v>91</v>
      </c>
      <c r="B14" s="377">
        <f t="shared" ref="B14:N14" si="5">SUM(B15:B17)</f>
        <v>0</v>
      </c>
      <c r="C14" s="377">
        <f t="shared" si="5"/>
        <v>0</v>
      </c>
      <c r="D14" s="377">
        <f t="shared" si="5"/>
        <v>3180</v>
      </c>
      <c r="E14" s="377">
        <f t="shared" si="5"/>
        <v>179705.94</v>
      </c>
      <c r="F14" s="377">
        <f t="shared" si="5"/>
        <v>304912.90000000002</v>
      </c>
      <c r="G14" s="377">
        <f t="shared" si="5"/>
        <v>375492.9</v>
      </c>
      <c r="H14" s="377">
        <f t="shared" si="5"/>
        <v>0</v>
      </c>
      <c r="I14" s="377">
        <f t="shared" si="5"/>
        <v>0</v>
      </c>
      <c r="J14" s="377">
        <f t="shared" si="5"/>
        <v>0</v>
      </c>
      <c r="K14" s="377">
        <f t="shared" si="5"/>
        <v>0</v>
      </c>
      <c r="L14" s="377">
        <f t="shared" si="5"/>
        <v>0</v>
      </c>
      <c r="M14" s="377">
        <f t="shared" si="5"/>
        <v>0</v>
      </c>
      <c r="N14" s="378">
        <f t="shared" si="5"/>
        <v>863291.74</v>
      </c>
      <c r="O14" s="281">
        <f t="shared" si="1"/>
        <v>0</v>
      </c>
      <c r="P14" s="157" t="s">
        <v>92</v>
      </c>
      <c r="S14" s="282">
        <f t="shared" si="2"/>
        <v>0</v>
      </c>
    </row>
    <row r="15" spans="1:19" s="161" customFormat="1" ht="15.6" customHeight="1">
      <c r="A15" s="62" t="s">
        <v>93</v>
      </c>
      <c r="B15" s="379"/>
      <c r="C15" s="380"/>
      <c r="D15" s="380"/>
      <c r="E15" s="212">
        <v>110870.94</v>
      </c>
      <c r="F15" s="508">
        <v>148335.9</v>
      </c>
      <c r="G15" s="522">
        <v>239893.9</v>
      </c>
      <c r="H15" s="380"/>
      <c r="I15" s="380"/>
      <c r="J15" s="380"/>
      <c r="K15" s="380"/>
      <c r="L15" s="380"/>
      <c r="M15" s="380"/>
      <c r="N15" s="381">
        <f>SUM(B15:M15)</f>
        <v>499100.74</v>
      </c>
      <c r="O15" s="281">
        <f t="shared" si="1"/>
        <v>0</v>
      </c>
      <c r="P15" s="161" t="s">
        <v>94</v>
      </c>
      <c r="S15" s="283">
        <f t="shared" si="2"/>
        <v>0</v>
      </c>
    </row>
    <row r="16" spans="1:19" s="161" customFormat="1" ht="15.6" customHeight="1">
      <c r="A16" s="62" t="s">
        <v>95</v>
      </c>
      <c r="B16" s="379"/>
      <c r="C16" s="380"/>
      <c r="D16" s="380"/>
      <c r="E16" s="210">
        <v>65643</v>
      </c>
      <c r="F16" s="508">
        <v>153495</v>
      </c>
      <c r="G16" s="210">
        <v>135599</v>
      </c>
      <c r="H16" s="380"/>
      <c r="I16" s="380"/>
      <c r="J16" s="380"/>
      <c r="K16" s="380"/>
      <c r="L16" s="380"/>
      <c r="M16" s="380"/>
      <c r="N16" s="381">
        <f>SUM(B16:M16)</f>
        <v>354737</v>
      </c>
      <c r="O16" s="281">
        <f t="shared" si="1"/>
        <v>0</v>
      </c>
      <c r="P16" s="161" t="s">
        <v>96</v>
      </c>
      <c r="S16" s="283">
        <f t="shared" si="2"/>
        <v>0</v>
      </c>
    </row>
    <row r="17" spans="1:19" s="161" customFormat="1" ht="15.6" customHeight="1">
      <c r="A17" s="62" t="s">
        <v>97</v>
      </c>
      <c r="B17" s="379"/>
      <c r="C17" s="380"/>
      <c r="D17" s="210">
        <v>3180</v>
      </c>
      <c r="E17" s="210">
        <v>3192</v>
      </c>
      <c r="F17" s="210">
        <v>3082</v>
      </c>
      <c r="G17" s="380"/>
      <c r="H17" s="380"/>
      <c r="I17" s="380"/>
      <c r="J17" s="380"/>
      <c r="K17" s="380"/>
      <c r="L17" s="380"/>
      <c r="M17" s="380"/>
      <c r="N17" s="381">
        <f>SUM(B17:M17)</f>
        <v>9454</v>
      </c>
      <c r="O17" s="281">
        <f t="shared" si="1"/>
        <v>0</v>
      </c>
      <c r="P17" s="161" t="s">
        <v>98</v>
      </c>
      <c r="S17" s="283">
        <f t="shared" si="2"/>
        <v>0</v>
      </c>
    </row>
    <row r="18" spans="1:19" ht="16.149999999999999" customHeight="1">
      <c r="A18" s="42" t="s">
        <v>99</v>
      </c>
      <c r="B18" s="377">
        <f t="shared" ref="B18:N18" si="6">SUM(B19:B28)</f>
        <v>0</v>
      </c>
      <c r="C18" s="377">
        <f t="shared" si="6"/>
        <v>0</v>
      </c>
      <c r="D18" s="377">
        <f t="shared" si="6"/>
        <v>176922.75</v>
      </c>
      <c r="E18" s="377">
        <f t="shared" si="6"/>
        <v>457068.25</v>
      </c>
      <c r="F18" s="377">
        <f t="shared" si="6"/>
        <v>416751.32</v>
      </c>
      <c r="G18" s="377">
        <f t="shared" si="6"/>
        <v>457020.1</v>
      </c>
      <c r="H18" s="377">
        <f t="shared" si="6"/>
        <v>0</v>
      </c>
      <c r="I18" s="377">
        <f t="shared" si="6"/>
        <v>0</v>
      </c>
      <c r="J18" s="377">
        <f t="shared" si="6"/>
        <v>0</v>
      </c>
      <c r="K18" s="377">
        <f t="shared" si="6"/>
        <v>0</v>
      </c>
      <c r="L18" s="377">
        <f t="shared" si="6"/>
        <v>0</v>
      </c>
      <c r="M18" s="377">
        <f t="shared" si="6"/>
        <v>0</v>
      </c>
      <c r="N18" s="377">
        <f t="shared" si="6"/>
        <v>1507762.42</v>
      </c>
      <c r="O18" s="281">
        <f t="shared" si="1"/>
        <v>0</v>
      </c>
      <c r="P18" s="157" t="s">
        <v>100</v>
      </c>
      <c r="S18" s="282">
        <f t="shared" si="2"/>
        <v>0</v>
      </c>
    </row>
    <row r="19" spans="1:19" s="161" customFormat="1" ht="15.6" customHeight="1">
      <c r="A19" s="62" t="s">
        <v>101</v>
      </c>
      <c r="B19" s="379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1">
        <f t="shared" ref="N19:N28" si="7">SUM(B19:M19)</f>
        <v>0</v>
      </c>
      <c r="O19" s="281">
        <f t="shared" si="1"/>
        <v>0</v>
      </c>
      <c r="P19" s="161" t="s">
        <v>102</v>
      </c>
      <c r="S19" s="284">
        <f t="shared" si="2"/>
        <v>0</v>
      </c>
    </row>
    <row r="20" spans="1:19" s="161" customFormat="1" ht="15.6" customHeight="1">
      <c r="A20" s="62" t="s">
        <v>103</v>
      </c>
      <c r="B20" s="379"/>
      <c r="C20" s="380"/>
      <c r="D20" s="380"/>
      <c r="E20" s="210">
        <v>10500</v>
      </c>
      <c r="F20" s="508">
        <v>23000</v>
      </c>
      <c r="G20" s="210">
        <v>11700</v>
      </c>
      <c r="H20" s="380"/>
      <c r="I20" s="380"/>
      <c r="J20" s="380"/>
      <c r="K20" s="380"/>
      <c r="L20" s="380"/>
      <c r="M20" s="380"/>
      <c r="N20" s="381">
        <f t="shared" si="7"/>
        <v>45200</v>
      </c>
      <c r="O20" s="281">
        <f t="shared" si="1"/>
        <v>0</v>
      </c>
      <c r="P20" s="161" t="s">
        <v>104</v>
      </c>
      <c r="S20" s="284">
        <f t="shared" si="2"/>
        <v>0</v>
      </c>
    </row>
    <row r="21" spans="1:19" s="161" customFormat="1" ht="15.6" customHeight="1">
      <c r="A21" s="62" t="s">
        <v>105</v>
      </c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1">
        <f t="shared" si="7"/>
        <v>0</v>
      </c>
      <c r="O21" s="281">
        <f t="shared" si="1"/>
        <v>0</v>
      </c>
      <c r="P21" s="161" t="s">
        <v>106</v>
      </c>
      <c r="S21" s="284">
        <f t="shared" si="2"/>
        <v>0</v>
      </c>
    </row>
    <row r="22" spans="1:19" s="161" customFormat="1" ht="15.6" customHeight="1">
      <c r="A22" s="62" t="s">
        <v>107</v>
      </c>
      <c r="B22" s="379"/>
      <c r="C22" s="380"/>
      <c r="D22" s="210">
        <v>67195.13</v>
      </c>
      <c r="E22" s="210">
        <v>91256.19</v>
      </c>
      <c r="F22" s="508">
        <v>94352.92</v>
      </c>
      <c r="G22" s="210">
        <v>108611.8</v>
      </c>
      <c r="H22" s="380"/>
      <c r="I22" s="380"/>
      <c r="J22" s="380"/>
      <c r="K22" s="380"/>
      <c r="L22" s="380"/>
      <c r="M22" s="380"/>
      <c r="N22" s="381">
        <f t="shared" si="7"/>
        <v>361416.04</v>
      </c>
      <c r="O22" s="281">
        <f t="shared" si="1"/>
        <v>0</v>
      </c>
      <c r="P22" s="157" t="s">
        <v>108</v>
      </c>
      <c r="S22" s="284">
        <f t="shared" si="2"/>
        <v>0</v>
      </c>
    </row>
    <row r="23" spans="1:19" s="161" customFormat="1" ht="15.6" customHeight="1">
      <c r="A23" s="62" t="s">
        <v>109</v>
      </c>
      <c r="B23" s="379"/>
      <c r="C23" s="380"/>
      <c r="D23" s="210">
        <v>37455.620000000003</v>
      </c>
      <c r="E23" s="210">
        <v>2362.0100000000002</v>
      </c>
      <c r="F23" s="508">
        <v>5000</v>
      </c>
      <c r="G23" s="380"/>
      <c r="H23" s="380"/>
      <c r="I23" s="380"/>
      <c r="J23" s="380"/>
      <c r="K23" s="380"/>
      <c r="L23" s="380"/>
      <c r="M23" s="380"/>
      <c r="N23" s="381">
        <f t="shared" si="7"/>
        <v>44817.630000000005</v>
      </c>
      <c r="O23" s="281">
        <f t="shared" si="1"/>
        <v>0</v>
      </c>
      <c r="P23" s="161" t="s">
        <v>110</v>
      </c>
      <c r="S23" s="284">
        <f t="shared" si="2"/>
        <v>0</v>
      </c>
    </row>
    <row r="24" spans="1:19" s="161" customFormat="1" ht="15.6" customHeight="1">
      <c r="A24" s="62" t="s">
        <v>111</v>
      </c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1">
        <f t="shared" si="7"/>
        <v>0</v>
      </c>
      <c r="O24" s="281">
        <f t="shared" si="1"/>
        <v>0</v>
      </c>
      <c r="P24" s="161" t="s">
        <v>112</v>
      </c>
      <c r="S24" s="284">
        <f t="shared" si="2"/>
        <v>0</v>
      </c>
    </row>
    <row r="25" spans="1:19" s="161" customFormat="1" ht="15.6" customHeight="1">
      <c r="A25" s="62" t="s">
        <v>113</v>
      </c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1">
        <f t="shared" si="7"/>
        <v>0</v>
      </c>
      <c r="O25" s="281">
        <f t="shared" si="1"/>
        <v>0</v>
      </c>
      <c r="P25" s="161" t="s">
        <v>114</v>
      </c>
      <c r="S25" s="284">
        <f t="shared" si="2"/>
        <v>0</v>
      </c>
    </row>
    <row r="26" spans="1:19" ht="15.6" customHeight="1">
      <c r="A26" s="62" t="s">
        <v>115</v>
      </c>
      <c r="B26" s="379"/>
      <c r="C26" s="380"/>
      <c r="D26" s="210">
        <v>5129</v>
      </c>
      <c r="E26" s="210">
        <v>49748</v>
      </c>
      <c r="F26" s="508">
        <v>19992</v>
      </c>
      <c r="G26" s="210">
        <v>5256</v>
      </c>
      <c r="H26" s="380"/>
      <c r="I26" s="380"/>
      <c r="J26" s="380"/>
      <c r="K26" s="380"/>
      <c r="L26" s="380"/>
      <c r="M26" s="380"/>
      <c r="N26" s="381">
        <f t="shared" si="7"/>
        <v>80125</v>
      </c>
      <c r="O26" s="281">
        <f t="shared" si="1"/>
        <v>0</v>
      </c>
      <c r="P26" s="161" t="s">
        <v>116</v>
      </c>
      <c r="S26" s="284">
        <f t="shared" si="2"/>
        <v>0</v>
      </c>
    </row>
    <row r="27" spans="1:19" s="161" customFormat="1" ht="15.6" customHeight="1">
      <c r="A27" s="62" t="s">
        <v>117</v>
      </c>
      <c r="B27" s="379"/>
      <c r="C27" s="380"/>
      <c r="D27" s="210">
        <v>67143</v>
      </c>
      <c r="E27" s="210">
        <v>303202.05</v>
      </c>
      <c r="F27" s="508">
        <v>274406.40000000002</v>
      </c>
      <c r="G27" s="210">
        <v>331452.3</v>
      </c>
      <c r="H27" s="380"/>
      <c r="I27" s="380"/>
      <c r="J27" s="380"/>
      <c r="K27" s="380"/>
      <c r="L27" s="380"/>
      <c r="M27" s="380"/>
      <c r="N27" s="381">
        <f t="shared" si="7"/>
        <v>976203.75</v>
      </c>
      <c r="O27" s="281">
        <f t="shared" si="1"/>
        <v>0</v>
      </c>
      <c r="P27" s="161" t="s">
        <v>118</v>
      </c>
      <c r="S27" s="283">
        <f t="shared" si="2"/>
        <v>0</v>
      </c>
    </row>
    <row r="28" spans="1:19" s="161" customFormat="1" ht="15.6" customHeight="1">
      <c r="A28" s="62" t="s">
        <v>119</v>
      </c>
      <c r="B28" s="379"/>
      <c r="C28" s="380"/>
      <c r="D28" s="380"/>
      <c r="E28" s="380"/>
      <c r="F28" s="210"/>
      <c r="G28" s="380"/>
      <c r="H28" s="380"/>
      <c r="I28" s="380"/>
      <c r="J28" s="380"/>
      <c r="K28" s="380"/>
      <c r="L28" s="380"/>
      <c r="M28" s="380"/>
      <c r="N28" s="381">
        <f t="shared" si="7"/>
        <v>0</v>
      </c>
      <c r="O28" s="281">
        <f t="shared" si="1"/>
        <v>0</v>
      </c>
      <c r="P28" s="161" t="s">
        <v>120</v>
      </c>
      <c r="S28" s="283">
        <f t="shared" si="2"/>
        <v>0</v>
      </c>
    </row>
    <row r="29" spans="1:19" ht="15.6" customHeight="1">
      <c r="A29" s="62"/>
      <c r="B29" s="379"/>
      <c r="C29" s="380"/>
      <c r="D29" s="382"/>
      <c r="E29" s="382"/>
      <c r="F29" s="382"/>
      <c r="G29" s="382"/>
      <c r="H29" s="382"/>
      <c r="I29" s="382"/>
      <c r="J29" s="382"/>
      <c r="K29" s="382"/>
      <c r="L29" s="382"/>
      <c r="M29" s="382"/>
      <c r="N29" s="381"/>
      <c r="O29" s="281"/>
      <c r="P29" s="161"/>
      <c r="S29" s="284"/>
    </row>
    <row r="30" spans="1:19" s="162" customFormat="1" ht="18" customHeight="1">
      <c r="A30" s="44" t="s">
        <v>121</v>
      </c>
      <c r="B30" s="383">
        <f>SUM(B32:B42)</f>
        <v>0</v>
      </c>
      <c r="C30" s="384">
        <f>SUM(C32:C42)</f>
        <v>0</v>
      </c>
      <c r="D30" s="384">
        <f>SUBTOTAL(9,D31:D39)</f>
        <v>195161.29</v>
      </c>
      <c r="E30" s="384">
        <f>SUBTOTAL(9,E31:E39)</f>
        <v>576880.1</v>
      </c>
      <c r="F30" s="384">
        <f>SUBTOTAL(9,F31:F39)</f>
        <v>561000</v>
      </c>
      <c r="G30" s="384">
        <f t="shared" ref="G30:N30" si="8">SUM(G32:G42)</f>
        <v>564348</v>
      </c>
      <c r="H30" s="384">
        <f t="shared" si="8"/>
        <v>0</v>
      </c>
      <c r="I30" s="384">
        <f t="shared" si="8"/>
        <v>0</v>
      </c>
      <c r="J30" s="384">
        <f t="shared" si="8"/>
        <v>0</v>
      </c>
      <c r="K30" s="384">
        <f t="shared" si="8"/>
        <v>0</v>
      </c>
      <c r="L30" s="384">
        <f t="shared" si="8"/>
        <v>0</v>
      </c>
      <c r="M30" s="384">
        <f t="shared" si="8"/>
        <v>0</v>
      </c>
      <c r="N30" s="384">
        <f t="shared" si="8"/>
        <v>1891389.3900000001</v>
      </c>
      <c r="O30" s="280">
        <f t="shared" ref="O30:O61" si="9">+SUM($B30:$M30)-N30</f>
        <v>6000</v>
      </c>
      <c r="P30" s="162" t="s">
        <v>122</v>
      </c>
      <c r="S30" s="285">
        <f t="shared" ref="S30:S60" si="10">H30/1000</f>
        <v>0</v>
      </c>
    </row>
    <row r="31" spans="1:19" s="163" customFormat="1" ht="15.6" customHeight="1">
      <c r="A31" s="73" t="s">
        <v>123</v>
      </c>
      <c r="B31" s="379"/>
      <c r="C31" s="380"/>
      <c r="D31" s="380"/>
      <c r="E31" s="380"/>
      <c r="F31" s="508">
        <v>6000</v>
      </c>
      <c r="G31" s="380"/>
      <c r="H31" s="380"/>
      <c r="I31" s="380"/>
      <c r="J31" s="380"/>
      <c r="K31" s="380"/>
      <c r="L31" s="380"/>
      <c r="M31" s="380"/>
      <c r="N31" s="385">
        <f t="shared" ref="N31:N42" si="11">SUM(B31:M31)</f>
        <v>6000</v>
      </c>
      <c r="O31" s="286">
        <f t="shared" si="9"/>
        <v>0</v>
      </c>
      <c r="P31" s="163" t="s">
        <v>124</v>
      </c>
      <c r="S31" s="287">
        <f t="shared" si="10"/>
        <v>0</v>
      </c>
    </row>
    <row r="32" spans="1:19" s="163" customFormat="1" ht="15.6" customHeight="1">
      <c r="A32" s="73" t="s">
        <v>125</v>
      </c>
      <c r="B32" s="379"/>
      <c r="C32" s="380"/>
      <c r="D32" s="380"/>
      <c r="E32" s="380"/>
      <c r="F32" s="210"/>
      <c r="G32" s="380"/>
      <c r="H32" s="380"/>
      <c r="I32" s="380"/>
      <c r="J32" s="380"/>
      <c r="K32" s="380"/>
      <c r="L32" s="380"/>
      <c r="M32" s="380"/>
      <c r="N32" s="385">
        <f t="shared" si="11"/>
        <v>0</v>
      </c>
      <c r="O32" s="286">
        <f t="shared" si="9"/>
        <v>0</v>
      </c>
      <c r="P32" s="163" t="s">
        <v>126</v>
      </c>
      <c r="S32" s="287">
        <f t="shared" si="10"/>
        <v>0</v>
      </c>
    </row>
    <row r="33" spans="1:19" s="163" customFormat="1" ht="15.6" customHeight="1">
      <c r="A33" s="73" t="s">
        <v>127</v>
      </c>
      <c r="B33" s="379"/>
      <c r="C33" s="380"/>
      <c r="D33" s="210">
        <v>195161.29</v>
      </c>
      <c r="E33" s="212">
        <v>550000</v>
      </c>
      <c r="F33" s="508">
        <v>550000</v>
      </c>
      <c r="G33" s="522">
        <v>550000</v>
      </c>
      <c r="H33" s="380"/>
      <c r="I33" s="380"/>
      <c r="J33" s="380"/>
      <c r="K33" s="380"/>
      <c r="L33" s="380"/>
      <c r="M33" s="380"/>
      <c r="N33" s="385">
        <f t="shared" si="11"/>
        <v>1845161.29</v>
      </c>
      <c r="O33" s="286">
        <f t="shared" si="9"/>
        <v>0</v>
      </c>
      <c r="P33" s="164" t="s">
        <v>128</v>
      </c>
      <c r="S33" s="287">
        <f t="shared" si="10"/>
        <v>0</v>
      </c>
    </row>
    <row r="34" spans="1:19" s="163" customFormat="1" ht="15.6" customHeight="1">
      <c r="A34" s="73" t="s">
        <v>129</v>
      </c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5">
        <f t="shared" si="11"/>
        <v>0</v>
      </c>
      <c r="O34" s="286">
        <f t="shared" si="9"/>
        <v>0</v>
      </c>
      <c r="P34" s="163" t="s">
        <v>130</v>
      </c>
      <c r="S34" s="287">
        <f t="shared" si="10"/>
        <v>0</v>
      </c>
    </row>
    <row r="35" spans="1:19" s="163" customFormat="1" ht="15.6" customHeight="1">
      <c r="A35" s="73" t="s">
        <v>131</v>
      </c>
      <c r="B35" s="379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5">
        <f t="shared" si="11"/>
        <v>0</v>
      </c>
      <c r="O35" s="286">
        <f t="shared" si="9"/>
        <v>0</v>
      </c>
      <c r="P35" s="163" t="s">
        <v>132</v>
      </c>
      <c r="S35" s="287">
        <f t="shared" si="10"/>
        <v>0</v>
      </c>
    </row>
    <row r="36" spans="1:19" s="163" customFormat="1" ht="15.6" customHeight="1">
      <c r="A36" s="73" t="s">
        <v>133</v>
      </c>
      <c r="B36" s="379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5">
        <f t="shared" si="11"/>
        <v>0</v>
      </c>
      <c r="O36" s="286">
        <f t="shared" si="9"/>
        <v>0</v>
      </c>
      <c r="P36" s="163" t="s">
        <v>134</v>
      </c>
      <c r="S36" s="287">
        <f t="shared" si="10"/>
        <v>0</v>
      </c>
    </row>
    <row r="37" spans="1:19" s="163" customFormat="1" ht="15.6" customHeight="1">
      <c r="A37" s="73" t="s">
        <v>135</v>
      </c>
      <c r="B37" s="379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5">
        <f t="shared" si="11"/>
        <v>0</v>
      </c>
      <c r="O37" s="286">
        <f t="shared" si="9"/>
        <v>0</v>
      </c>
      <c r="P37" s="163" t="s">
        <v>136</v>
      </c>
      <c r="S37" s="287">
        <f t="shared" si="10"/>
        <v>0</v>
      </c>
    </row>
    <row r="38" spans="1:19" s="163" customFormat="1" ht="15.6" customHeight="1">
      <c r="A38" s="73" t="s">
        <v>137</v>
      </c>
      <c r="B38" s="379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5">
        <f t="shared" si="11"/>
        <v>0</v>
      </c>
      <c r="O38" s="286">
        <f t="shared" si="9"/>
        <v>0</v>
      </c>
      <c r="P38" s="163" t="s">
        <v>138</v>
      </c>
      <c r="S38" s="287">
        <f t="shared" si="10"/>
        <v>0</v>
      </c>
    </row>
    <row r="39" spans="1:19" s="163" customFormat="1" ht="15.6" customHeight="1">
      <c r="A39" s="73" t="s">
        <v>139</v>
      </c>
      <c r="B39" s="379"/>
      <c r="C39" s="380"/>
      <c r="D39" s="212"/>
      <c r="E39" s="212">
        <v>26880.1</v>
      </c>
      <c r="F39" s="508">
        <v>5000</v>
      </c>
      <c r="G39" s="522">
        <v>10000</v>
      </c>
      <c r="H39" s="380"/>
      <c r="I39" s="380"/>
      <c r="J39" s="380"/>
      <c r="K39" s="380"/>
      <c r="L39" s="380"/>
      <c r="M39" s="380"/>
      <c r="N39" s="385">
        <f t="shared" si="11"/>
        <v>41880.1</v>
      </c>
      <c r="O39" s="286">
        <f t="shared" si="9"/>
        <v>0</v>
      </c>
      <c r="P39" s="163" t="s">
        <v>140</v>
      </c>
      <c r="S39" s="287">
        <f t="shared" si="10"/>
        <v>0</v>
      </c>
    </row>
    <row r="40" spans="1:19" s="163" customFormat="1" ht="15.6" customHeight="1">
      <c r="A40" s="73" t="s">
        <v>141</v>
      </c>
      <c r="B40" s="379"/>
      <c r="C40" s="380"/>
      <c r="D40" s="380"/>
      <c r="E40" s="380"/>
      <c r="F40" s="380"/>
      <c r="G40" s="522">
        <v>4348</v>
      </c>
      <c r="H40" s="380"/>
      <c r="I40" s="380"/>
      <c r="J40" s="380"/>
      <c r="K40" s="380"/>
      <c r="L40" s="380"/>
      <c r="M40" s="380"/>
      <c r="N40" s="385">
        <f t="shared" si="11"/>
        <v>4348</v>
      </c>
      <c r="O40" s="286">
        <f t="shared" si="9"/>
        <v>0</v>
      </c>
      <c r="P40" s="163" t="s">
        <v>142</v>
      </c>
      <c r="S40" s="287">
        <f t="shared" si="10"/>
        <v>0</v>
      </c>
    </row>
    <row r="41" spans="1:19" s="163" customFormat="1" ht="15.6" customHeight="1">
      <c r="A41" s="73" t="s">
        <v>143</v>
      </c>
      <c r="B41" s="379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5">
        <f t="shared" si="11"/>
        <v>0</v>
      </c>
      <c r="O41" s="286">
        <f t="shared" si="9"/>
        <v>0</v>
      </c>
      <c r="P41" s="163" t="s">
        <v>144</v>
      </c>
      <c r="S41" s="287">
        <f t="shared" si="10"/>
        <v>0</v>
      </c>
    </row>
    <row r="42" spans="1:19" s="164" customFormat="1" ht="15.6" customHeight="1">
      <c r="A42" s="73" t="s">
        <v>145</v>
      </c>
      <c r="B42" s="379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5">
        <f t="shared" si="11"/>
        <v>0</v>
      </c>
      <c r="O42" s="286">
        <f t="shared" si="9"/>
        <v>0</v>
      </c>
      <c r="P42" s="163" t="s">
        <v>146</v>
      </c>
      <c r="S42" s="287">
        <f t="shared" si="10"/>
        <v>0</v>
      </c>
    </row>
    <row r="43" spans="1:19" s="162" customFormat="1" ht="18" customHeight="1">
      <c r="A43" s="44" t="s">
        <v>147</v>
      </c>
      <c r="B43" s="383">
        <f t="shared" ref="B43:N43" si="12">SUM(B44:B52)</f>
        <v>0</v>
      </c>
      <c r="C43" s="384">
        <f t="shared" si="12"/>
        <v>0</v>
      </c>
      <c r="D43" s="384">
        <f t="shared" si="12"/>
        <v>2000</v>
      </c>
      <c r="E43" s="384">
        <f t="shared" si="12"/>
        <v>258463.25</v>
      </c>
      <c r="F43" s="384">
        <f t="shared" si="12"/>
        <v>256508.55</v>
      </c>
      <c r="G43" s="384">
        <f t="shared" si="12"/>
        <v>378485.25</v>
      </c>
      <c r="H43" s="384">
        <f t="shared" si="12"/>
        <v>0</v>
      </c>
      <c r="I43" s="384">
        <f t="shared" si="12"/>
        <v>0</v>
      </c>
      <c r="J43" s="384">
        <f t="shared" si="12"/>
        <v>0</v>
      </c>
      <c r="K43" s="384">
        <f t="shared" si="12"/>
        <v>0</v>
      </c>
      <c r="L43" s="384">
        <f t="shared" si="12"/>
        <v>0</v>
      </c>
      <c r="M43" s="384">
        <f t="shared" si="12"/>
        <v>0</v>
      </c>
      <c r="N43" s="384">
        <f t="shared" si="12"/>
        <v>895457.05</v>
      </c>
      <c r="O43" s="280">
        <f t="shared" si="9"/>
        <v>0</v>
      </c>
      <c r="P43" s="162" t="s">
        <v>148</v>
      </c>
      <c r="S43" s="285">
        <f t="shared" si="10"/>
        <v>0</v>
      </c>
    </row>
    <row r="44" spans="1:19" s="161" customFormat="1" ht="15.6" customHeight="1">
      <c r="A44" s="62" t="s">
        <v>149</v>
      </c>
      <c r="B44" s="379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1">
        <f t="shared" ref="N44:N52" si="13">SUM(B44:M44)</f>
        <v>0</v>
      </c>
      <c r="O44" s="281">
        <f t="shared" si="9"/>
        <v>0</v>
      </c>
      <c r="P44" s="161" t="s">
        <v>150</v>
      </c>
      <c r="S44" s="283">
        <f t="shared" si="10"/>
        <v>0</v>
      </c>
    </row>
    <row r="45" spans="1:19" s="161" customFormat="1" ht="15.6" customHeight="1">
      <c r="A45" s="62" t="s">
        <v>151</v>
      </c>
      <c r="B45" s="379"/>
      <c r="C45" s="380"/>
      <c r="D45" s="210">
        <v>2000</v>
      </c>
      <c r="E45" s="212">
        <v>39292.9</v>
      </c>
      <c r="F45" s="508">
        <v>55602.58</v>
      </c>
      <c r="G45" s="522">
        <v>47602.58</v>
      </c>
      <c r="H45" s="380"/>
      <c r="I45" s="380"/>
      <c r="J45" s="380"/>
      <c r="K45" s="380"/>
      <c r="L45" s="380"/>
      <c r="M45" s="380"/>
      <c r="N45" s="381">
        <f t="shared" si="13"/>
        <v>144498.06</v>
      </c>
      <c r="O45" s="281">
        <f t="shared" si="9"/>
        <v>0</v>
      </c>
      <c r="P45" s="161" t="s">
        <v>152</v>
      </c>
      <c r="S45" s="283">
        <f t="shared" si="10"/>
        <v>0</v>
      </c>
    </row>
    <row r="46" spans="1:19" s="161" customFormat="1" ht="15.6" customHeight="1">
      <c r="A46" s="62" t="s">
        <v>153</v>
      </c>
      <c r="B46" s="379"/>
      <c r="C46" s="380"/>
      <c r="D46" s="380"/>
      <c r="E46" s="210">
        <v>219170.35</v>
      </c>
      <c r="F46" s="508">
        <v>200905.97</v>
      </c>
      <c r="G46" s="522">
        <v>330882.67</v>
      </c>
      <c r="H46" s="380"/>
      <c r="I46" s="380"/>
      <c r="J46" s="380"/>
      <c r="K46" s="380"/>
      <c r="L46" s="380"/>
      <c r="M46" s="380"/>
      <c r="N46" s="381">
        <f t="shared" si="13"/>
        <v>750958.99</v>
      </c>
      <c r="O46" s="281">
        <f t="shared" si="9"/>
        <v>0</v>
      </c>
      <c r="P46" s="161" t="s">
        <v>154</v>
      </c>
      <c r="S46" s="283">
        <f t="shared" si="10"/>
        <v>0</v>
      </c>
    </row>
    <row r="47" spans="1:19" s="163" customFormat="1" ht="15.6" customHeight="1">
      <c r="A47" s="74" t="s">
        <v>155</v>
      </c>
      <c r="B47" s="379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5">
        <f t="shared" si="13"/>
        <v>0</v>
      </c>
      <c r="O47" s="286">
        <f t="shared" si="9"/>
        <v>0</v>
      </c>
      <c r="P47" s="163" t="s">
        <v>156</v>
      </c>
      <c r="S47" s="287">
        <f t="shared" si="10"/>
        <v>0</v>
      </c>
    </row>
    <row r="48" spans="1:19" s="163" customFormat="1" ht="15.6" customHeight="1">
      <c r="A48" s="74" t="s">
        <v>157</v>
      </c>
      <c r="B48" s="379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5">
        <f t="shared" si="13"/>
        <v>0</v>
      </c>
      <c r="O48" s="286">
        <f t="shared" si="9"/>
        <v>0</v>
      </c>
      <c r="P48" s="163" t="s">
        <v>158</v>
      </c>
      <c r="S48" s="287">
        <f t="shared" si="10"/>
        <v>0</v>
      </c>
    </row>
    <row r="49" spans="1:19" s="161" customFormat="1" ht="15.6" customHeight="1">
      <c r="A49" s="62" t="s">
        <v>159</v>
      </c>
      <c r="B49" s="379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1">
        <f t="shared" si="13"/>
        <v>0</v>
      </c>
      <c r="O49" s="281">
        <f t="shared" si="9"/>
        <v>0</v>
      </c>
      <c r="P49" s="157" t="s">
        <v>160</v>
      </c>
      <c r="S49" s="283">
        <f t="shared" si="10"/>
        <v>0</v>
      </c>
    </row>
    <row r="50" spans="1:19" s="161" customFormat="1" ht="15.6" customHeight="1">
      <c r="A50" s="62" t="s">
        <v>161</v>
      </c>
      <c r="B50" s="379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1">
        <f t="shared" si="13"/>
        <v>0</v>
      </c>
      <c r="O50" s="281">
        <f t="shared" si="9"/>
        <v>0</v>
      </c>
      <c r="P50" s="161" t="s">
        <v>162</v>
      </c>
      <c r="S50" s="283">
        <f t="shared" si="10"/>
        <v>0</v>
      </c>
    </row>
    <row r="51" spans="1:19" s="161" customFormat="1" ht="15.6" customHeight="1">
      <c r="A51" s="62" t="s">
        <v>163</v>
      </c>
      <c r="B51" s="379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1">
        <f t="shared" si="13"/>
        <v>0</v>
      </c>
      <c r="O51" s="281">
        <f t="shared" si="9"/>
        <v>0</v>
      </c>
      <c r="P51" s="161" t="s">
        <v>164</v>
      </c>
      <c r="S51" s="283">
        <f t="shared" si="10"/>
        <v>0</v>
      </c>
    </row>
    <row r="52" spans="1:19" ht="15.6" customHeight="1">
      <c r="A52" s="75" t="s">
        <v>165</v>
      </c>
      <c r="B52" s="379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1">
        <f t="shared" si="13"/>
        <v>0</v>
      </c>
      <c r="O52" s="281">
        <f t="shared" si="9"/>
        <v>0</v>
      </c>
      <c r="P52" s="161" t="s">
        <v>166</v>
      </c>
      <c r="S52" s="283">
        <f t="shared" si="10"/>
        <v>0</v>
      </c>
    </row>
    <row r="53" spans="1:19" s="160" customFormat="1" ht="18" customHeight="1">
      <c r="A53" s="43" t="s">
        <v>167</v>
      </c>
      <c r="B53" s="376">
        <f t="shared" ref="B53:N53" si="14">B54+B61+B67+B72+B121+B147</f>
        <v>0</v>
      </c>
      <c r="C53" s="376">
        <f t="shared" si="14"/>
        <v>0</v>
      </c>
      <c r="D53" s="376">
        <f t="shared" si="14"/>
        <v>186305.21000000002</v>
      </c>
      <c r="E53" s="376">
        <f t="shared" si="14"/>
        <v>776072.70000000007</v>
      </c>
      <c r="F53" s="376">
        <f t="shared" si="14"/>
        <v>1190620.9200000002</v>
      </c>
      <c r="G53" s="376">
        <f t="shared" si="14"/>
        <v>811868.25</v>
      </c>
      <c r="H53" s="376">
        <f t="shared" si="14"/>
        <v>0</v>
      </c>
      <c r="I53" s="376">
        <f t="shared" si="14"/>
        <v>0</v>
      </c>
      <c r="J53" s="376">
        <f t="shared" si="14"/>
        <v>0</v>
      </c>
      <c r="K53" s="376">
        <f t="shared" si="14"/>
        <v>0</v>
      </c>
      <c r="L53" s="376">
        <f t="shared" si="14"/>
        <v>0</v>
      </c>
      <c r="M53" s="376">
        <f t="shared" si="14"/>
        <v>0</v>
      </c>
      <c r="N53" s="376">
        <f t="shared" si="14"/>
        <v>2964867.08</v>
      </c>
      <c r="O53" s="280">
        <f t="shared" si="9"/>
        <v>0</v>
      </c>
      <c r="P53" s="160" t="s">
        <v>168</v>
      </c>
      <c r="S53" s="376">
        <f t="shared" si="10"/>
        <v>0</v>
      </c>
    </row>
    <row r="54" spans="1:19" ht="16.149999999999999" customHeight="1">
      <c r="A54" s="42" t="s">
        <v>169</v>
      </c>
      <c r="B54" s="377">
        <f t="shared" ref="B54:N54" si="15">SUM(B55:B60)</f>
        <v>0</v>
      </c>
      <c r="C54" s="377">
        <f t="shared" si="15"/>
        <v>0</v>
      </c>
      <c r="D54" s="377">
        <f t="shared" si="15"/>
        <v>26226.43</v>
      </c>
      <c r="E54" s="377">
        <f t="shared" si="15"/>
        <v>3082.6000000000004</v>
      </c>
      <c r="F54" s="377">
        <f t="shared" si="15"/>
        <v>23079.25</v>
      </c>
      <c r="G54" s="377">
        <f t="shared" si="15"/>
        <v>17042.809999999998</v>
      </c>
      <c r="H54" s="377">
        <f t="shared" si="15"/>
        <v>0</v>
      </c>
      <c r="I54" s="377">
        <f t="shared" si="15"/>
        <v>0</v>
      </c>
      <c r="J54" s="377">
        <f t="shared" si="15"/>
        <v>0</v>
      </c>
      <c r="K54" s="377">
        <f t="shared" si="15"/>
        <v>0</v>
      </c>
      <c r="L54" s="377">
        <f t="shared" si="15"/>
        <v>0</v>
      </c>
      <c r="M54" s="377">
        <f t="shared" si="15"/>
        <v>0</v>
      </c>
      <c r="N54" s="378">
        <f t="shared" si="15"/>
        <v>69431.09</v>
      </c>
      <c r="O54" s="281">
        <f t="shared" si="9"/>
        <v>0</v>
      </c>
      <c r="P54" s="157" t="s">
        <v>170</v>
      </c>
      <c r="S54" s="282">
        <f t="shared" si="10"/>
        <v>0</v>
      </c>
    </row>
    <row r="55" spans="1:19" ht="15.6" customHeight="1">
      <c r="A55" s="62" t="s">
        <v>169</v>
      </c>
      <c r="B55" s="379"/>
      <c r="C55" s="380"/>
      <c r="D55" s="380"/>
      <c r="E55" s="380"/>
      <c r="F55" s="380"/>
      <c r="G55" s="522">
        <v>7371</v>
      </c>
      <c r="H55" s="380"/>
      <c r="I55" s="380"/>
      <c r="J55" s="380"/>
      <c r="K55" s="380"/>
      <c r="L55" s="380"/>
      <c r="M55" s="380"/>
      <c r="N55" s="381">
        <f t="shared" ref="N55:N60" si="16">SUM(B55:M55)</f>
        <v>7371</v>
      </c>
      <c r="O55" s="281">
        <f t="shared" si="9"/>
        <v>0</v>
      </c>
      <c r="P55" s="161" t="s">
        <v>171</v>
      </c>
      <c r="S55" s="284">
        <f t="shared" si="10"/>
        <v>0</v>
      </c>
    </row>
    <row r="56" spans="1:19" s="161" customFormat="1" ht="15.6" customHeight="1">
      <c r="A56" s="62" t="s">
        <v>172</v>
      </c>
      <c r="B56" s="379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1">
        <f t="shared" si="16"/>
        <v>0</v>
      </c>
      <c r="O56" s="281">
        <f t="shared" si="9"/>
        <v>0</v>
      </c>
      <c r="P56" s="161" t="s">
        <v>173</v>
      </c>
      <c r="S56" s="284">
        <f t="shared" si="10"/>
        <v>0</v>
      </c>
    </row>
    <row r="57" spans="1:19" ht="15.6" customHeight="1">
      <c r="A57" s="62" t="s">
        <v>174</v>
      </c>
      <c r="B57" s="379"/>
      <c r="C57" s="380"/>
      <c r="D57" s="210">
        <v>13207.2</v>
      </c>
      <c r="E57" s="380"/>
      <c r="F57" s="380"/>
      <c r="G57" s="380"/>
      <c r="H57" s="380"/>
      <c r="I57" s="380"/>
      <c r="J57" s="380"/>
      <c r="K57" s="380"/>
      <c r="L57" s="380"/>
      <c r="M57" s="380"/>
      <c r="N57" s="381">
        <f t="shared" si="16"/>
        <v>13207.2</v>
      </c>
      <c r="O57" s="281">
        <f t="shared" si="9"/>
        <v>0</v>
      </c>
      <c r="P57" s="161" t="s">
        <v>175</v>
      </c>
      <c r="S57" s="284">
        <f t="shared" si="10"/>
        <v>0</v>
      </c>
    </row>
    <row r="58" spans="1:19" ht="15.6" customHeight="1">
      <c r="A58" s="62" t="s">
        <v>176</v>
      </c>
      <c r="B58" s="379"/>
      <c r="C58" s="380"/>
      <c r="D58" s="210">
        <v>12019.23</v>
      </c>
      <c r="E58" s="210">
        <v>2977.82</v>
      </c>
      <c r="F58" s="508">
        <v>18064.25</v>
      </c>
      <c r="G58" s="210">
        <v>5776.98</v>
      </c>
      <c r="H58" s="380"/>
      <c r="I58" s="380"/>
      <c r="J58" s="380"/>
      <c r="K58" s="380"/>
      <c r="L58" s="380"/>
      <c r="M58" s="380"/>
      <c r="N58" s="381">
        <f t="shared" si="16"/>
        <v>38838.28</v>
      </c>
      <c r="O58" s="281">
        <f t="shared" si="9"/>
        <v>0</v>
      </c>
      <c r="P58" s="161" t="s">
        <v>177</v>
      </c>
      <c r="S58" s="284">
        <f t="shared" si="10"/>
        <v>0</v>
      </c>
    </row>
    <row r="59" spans="1:19" ht="15.6" customHeight="1">
      <c r="A59" s="62" t="s">
        <v>178</v>
      </c>
      <c r="B59" s="379"/>
      <c r="C59" s="380"/>
      <c r="D59" s="210">
        <v>1000</v>
      </c>
      <c r="E59" s="211">
        <v>104.78</v>
      </c>
      <c r="F59" s="508">
        <v>5015</v>
      </c>
      <c r="G59" s="210">
        <v>1226.83</v>
      </c>
      <c r="H59" s="380"/>
      <c r="I59" s="380"/>
      <c r="J59" s="380"/>
      <c r="K59" s="380"/>
      <c r="L59" s="380"/>
      <c r="M59" s="380"/>
      <c r="N59" s="381">
        <f t="shared" si="16"/>
        <v>7346.61</v>
      </c>
      <c r="O59" s="281">
        <f t="shared" si="9"/>
        <v>0</v>
      </c>
      <c r="P59" s="161" t="s">
        <v>179</v>
      </c>
      <c r="S59" s="284">
        <f t="shared" si="10"/>
        <v>0</v>
      </c>
    </row>
    <row r="60" spans="1:19" ht="15.6" customHeight="1">
      <c r="A60" s="62" t="s">
        <v>180</v>
      </c>
      <c r="B60" s="379"/>
      <c r="C60" s="380"/>
      <c r="D60" s="380"/>
      <c r="E60" s="380"/>
      <c r="F60" s="380"/>
      <c r="G60" s="210">
        <v>2668</v>
      </c>
      <c r="H60" s="380"/>
      <c r="I60" s="380"/>
      <c r="J60" s="380"/>
      <c r="K60" s="380"/>
      <c r="L60" s="380"/>
      <c r="M60" s="380"/>
      <c r="N60" s="381">
        <f t="shared" si="16"/>
        <v>2668</v>
      </c>
      <c r="O60" s="281">
        <f t="shared" si="9"/>
        <v>0</v>
      </c>
      <c r="P60" s="161" t="s">
        <v>181</v>
      </c>
      <c r="S60" s="284">
        <f t="shared" si="10"/>
        <v>0</v>
      </c>
    </row>
    <row r="61" spans="1:19" ht="16.149999999999999" customHeight="1">
      <c r="A61" s="42" t="s">
        <v>182</v>
      </c>
      <c r="B61" s="377">
        <f t="shared" ref="B61:N61" si="17">SUM(B62:B66)</f>
        <v>0</v>
      </c>
      <c r="C61" s="377">
        <f t="shared" si="17"/>
        <v>0</v>
      </c>
      <c r="D61" s="377">
        <f t="shared" si="17"/>
        <v>0</v>
      </c>
      <c r="E61" s="377">
        <f t="shared" si="17"/>
        <v>0</v>
      </c>
      <c r="F61" s="377">
        <f t="shared" si="17"/>
        <v>0</v>
      </c>
      <c r="G61" s="377">
        <f t="shared" si="17"/>
        <v>0</v>
      </c>
      <c r="H61" s="377">
        <f t="shared" si="17"/>
        <v>0</v>
      </c>
      <c r="I61" s="377">
        <f t="shared" si="17"/>
        <v>0</v>
      </c>
      <c r="J61" s="377">
        <f t="shared" si="17"/>
        <v>0</v>
      </c>
      <c r="K61" s="377">
        <f t="shared" si="17"/>
        <v>0</v>
      </c>
      <c r="L61" s="377">
        <f t="shared" si="17"/>
        <v>0</v>
      </c>
      <c r="M61" s="377">
        <f t="shared" si="17"/>
        <v>0</v>
      </c>
      <c r="N61" s="378">
        <f t="shared" si="17"/>
        <v>0</v>
      </c>
      <c r="O61" s="281">
        <f t="shared" si="9"/>
        <v>0</v>
      </c>
      <c r="P61" s="157" t="s">
        <v>183</v>
      </c>
      <c r="S61" s="282">
        <f>SUM(S62:S66)</f>
        <v>0</v>
      </c>
    </row>
    <row r="62" spans="1:19" ht="15.6" customHeight="1">
      <c r="A62" s="62" t="s">
        <v>184</v>
      </c>
      <c r="B62" s="379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1">
        <f>SUM(B62:M62)</f>
        <v>0</v>
      </c>
      <c r="O62" s="281">
        <f t="shared" ref="O62:O93" si="18">+SUM($B62:$M62)-N62</f>
        <v>0</v>
      </c>
      <c r="P62" s="161" t="s">
        <v>185</v>
      </c>
      <c r="S62" s="284">
        <f t="shared" ref="S62:S93" si="19">H62/1000</f>
        <v>0</v>
      </c>
    </row>
    <row r="63" spans="1:19" s="161" customFormat="1" ht="15.6" customHeight="1">
      <c r="A63" s="62" t="s">
        <v>186</v>
      </c>
      <c r="B63" s="379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1">
        <f>SUM(B63:M63)</f>
        <v>0</v>
      </c>
      <c r="O63" s="281">
        <f t="shared" si="18"/>
        <v>0</v>
      </c>
      <c r="P63" s="161" t="s">
        <v>187</v>
      </c>
      <c r="S63" s="284">
        <f t="shared" si="19"/>
        <v>0</v>
      </c>
    </row>
    <row r="64" spans="1:19" ht="15.6" customHeight="1">
      <c r="A64" s="62" t="s">
        <v>188</v>
      </c>
      <c r="B64" s="379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1">
        <f>SUM(B64:M64)</f>
        <v>0</v>
      </c>
      <c r="O64" s="281">
        <f t="shared" si="18"/>
        <v>0</v>
      </c>
      <c r="P64" s="161" t="s">
        <v>189</v>
      </c>
      <c r="S64" s="284">
        <f t="shared" si="19"/>
        <v>0</v>
      </c>
    </row>
    <row r="65" spans="1:19" ht="15.6" customHeight="1">
      <c r="A65" s="62" t="s">
        <v>190</v>
      </c>
      <c r="B65" s="379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1">
        <f>SUM(B65:M65)</f>
        <v>0</v>
      </c>
      <c r="O65" s="281">
        <f t="shared" si="18"/>
        <v>0</v>
      </c>
      <c r="P65" s="161" t="s">
        <v>191</v>
      </c>
      <c r="S65" s="284">
        <f t="shared" si="19"/>
        <v>0</v>
      </c>
    </row>
    <row r="66" spans="1:19" ht="15.6" customHeight="1">
      <c r="A66" s="62" t="s">
        <v>192</v>
      </c>
      <c r="B66" s="379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1">
        <f>SUM(B66:M66)</f>
        <v>0</v>
      </c>
      <c r="O66" s="281">
        <f t="shared" si="18"/>
        <v>0</v>
      </c>
      <c r="P66" s="161" t="s">
        <v>193</v>
      </c>
      <c r="S66" s="284">
        <f t="shared" si="19"/>
        <v>0</v>
      </c>
    </row>
    <row r="67" spans="1:19" ht="16.149999999999999" customHeight="1">
      <c r="A67" s="42" t="s">
        <v>194</v>
      </c>
      <c r="B67" s="377">
        <f t="shared" ref="B67:N67" si="20">SUM(B68:B71)</f>
        <v>0</v>
      </c>
      <c r="C67" s="377">
        <f t="shared" si="20"/>
        <v>0</v>
      </c>
      <c r="D67" s="377">
        <f t="shared" si="20"/>
        <v>29717.34</v>
      </c>
      <c r="E67" s="377">
        <f t="shared" si="20"/>
        <v>61797.479999999996</v>
      </c>
      <c r="F67" s="377">
        <f t="shared" si="20"/>
        <v>83380.350000000006</v>
      </c>
      <c r="G67" s="377">
        <f t="shared" si="20"/>
        <v>48159.7</v>
      </c>
      <c r="H67" s="377">
        <f t="shared" si="20"/>
        <v>0</v>
      </c>
      <c r="I67" s="377">
        <f t="shared" si="20"/>
        <v>0</v>
      </c>
      <c r="J67" s="377">
        <f t="shared" si="20"/>
        <v>0</v>
      </c>
      <c r="K67" s="377">
        <f t="shared" si="20"/>
        <v>0</v>
      </c>
      <c r="L67" s="377">
        <f t="shared" si="20"/>
        <v>0</v>
      </c>
      <c r="M67" s="377">
        <f t="shared" si="20"/>
        <v>0</v>
      </c>
      <c r="N67" s="378">
        <f t="shared" si="20"/>
        <v>223054.87</v>
      </c>
      <c r="O67" s="281">
        <f t="shared" si="18"/>
        <v>0</v>
      </c>
      <c r="P67" s="157" t="s">
        <v>195</v>
      </c>
      <c r="S67" s="282">
        <f t="shared" si="19"/>
        <v>0</v>
      </c>
    </row>
    <row r="68" spans="1:19" s="161" customFormat="1" ht="15.6" customHeight="1">
      <c r="A68" s="74" t="s">
        <v>196</v>
      </c>
      <c r="B68" s="379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1">
        <f>SUM(B68:M68)</f>
        <v>0</v>
      </c>
      <c r="O68" s="281">
        <f t="shared" si="18"/>
        <v>0</v>
      </c>
      <c r="P68" s="161" t="s">
        <v>197</v>
      </c>
      <c r="S68" s="283">
        <f t="shared" si="19"/>
        <v>0</v>
      </c>
    </row>
    <row r="69" spans="1:19" s="161" customFormat="1" ht="15.6" customHeight="1">
      <c r="A69" s="62" t="s">
        <v>198</v>
      </c>
      <c r="B69" s="379"/>
      <c r="C69" s="380"/>
      <c r="D69" s="380"/>
      <c r="E69" s="212">
        <v>4064.62</v>
      </c>
      <c r="F69" s="508">
        <v>25473.78</v>
      </c>
      <c r="G69" s="522">
        <v>10806.5</v>
      </c>
      <c r="H69" s="380"/>
      <c r="I69" s="380"/>
      <c r="J69" s="380"/>
      <c r="K69" s="380"/>
      <c r="L69" s="380"/>
      <c r="M69" s="380"/>
      <c r="N69" s="381">
        <f>SUM(B69:M69)</f>
        <v>40344.899999999994</v>
      </c>
      <c r="O69" s="281">
        <f t="shared" si="18"/>
        <v>0</v>
      </c>
      <c r="P69" s="157" t="s">
        <v>199</v>
      </c>
      <c r="S69" s="283">
        <f t="shared" si="19"/>
        <v>0</v>
      </c>
    </row>
    <row r="70" spans="1:19" s="161" customFormat="1" ht="15.6" customHeight="1">
      <c r="A70" s="62" t="s">
        <v>200</v>
      </c>
      <c r="B70" s="379"/>
      <c r="C70" s="380"/>
      <c r="D70" s="380"/>
      <c r="E70" s="210">
        <v>4392.8599999999997</v>
      </c>
      <c r="F70" s="508">
        <v>1428.57</v>
      </c>
      <c r="G70" s="211">
        <v>375.7</v>
      </c>
      <c r="H70" s="380"/>
      <c r="I70" s="380"/>
      <c r="J70" s="380"/>
      <c r="K70" s="380"/>
      <c r="L70" s="380"/>
      <c r="M70" s="380"/>
      <c r="N70" s="381">
        <f>SUM(B70:M70)</f>
        <v>6197.1299999999992</v>
      </c>
      <c r="O70" s="281">
        <f t="shared" si="18"/>
        <v>0</v>
      </c>
      <c r="P70" s="161" t="s">
        <v>201</v>
      </c>
      <c r="S70" s="283">
        <f t="shared" si="19"/>
        <v>0</v>
      </c>
    </row>
    <row r="71" spans="1:19" ht="15.6" customHeight="1">
      <c r="A71" s="62" t="s">
        <v>202</v>
      </c>
      <c r="B71" s="379"/>
      <c r="C71" s="380"/>
      <c r="D71" s="210">
        <v>29717.34</v>
      </c>
      <c r="E71" s="210">
        <v>53340</v>
      </c>
      <c r="F71" s="508">
        <f>58073-1595</f>
        <v>56478</v>
      </c>
      <c r="G71" s="210">
        <v>36977.5</v>
      </c>
      <c r="H71" s="380"/>
      <c r="I71" s="380"/>
      <c r="J71" s="380"/>
      <c r="K71" s="380"/>
      <c r="L71" s="380"/>
      <c r="M71" s="380"/>
      <c r="N71" s="381">
        <f>SUM(B71:M71)</f>
        <v>176512.84</v>
      </c>
      <c r="O71" s="281">
        <f t="shared" si="18"/>
        <v>0</v>
      </c>
      <c r="P71" s="161" t="s">
        <v>203</v>
      </c>
      <c r="S71" s="283">
        <f t="shared" si="19"/>
        <v>0</v>
      </c>
    </row>
    <row r="72" spans="1:19" ht="16.149999999999999" customHeight="1">
      <c r="A72" s="42" t="s">
        <v>204</v>
      </c>
      <c r="B72" s="377">
        <f t="shared" ref="B72:N72" si="21">SUM(B73:B120)</f>
        <v>0</v>
      </c>
      <c r="C72" s="377">
        <f t="shared" si="21"/>
        <v>0</v>
      </c>
      <c r="D72" s="377">
        <f t="shared" si="21"/>
        <v>92270.700000000012</v>
      </c>
      <c r="E72" s="377">
        <f t="shared" si="21"/>
        <v>351126.06</v>
      </c>
      <c r="F72" s="377">
        <f t="shared" si="21"/>
        <v>434442.33</v>
      </c>
      <c r="G72" s="377">
        <f t="shared" si="21"/>
        <v>389181.97</v>
      </c>
      <c r="H72" s="377">
        <f t="shared" si="21"/>
        <v>0</v>
      </c>
      <c r="I72" s="377">
        <f t="shared" si="21"/>
        <v>0</v>
      </c>
      <c r="J72" s="377">
        <f t="shared" si="21"/>
        <v>0</v>
      </c>
      <c r="K72" s="377">
        <f t="shared" si="21"/>
        <v>0</v>
      </c>
      <c r="L72" s="377">
        <f t="shared" si="21"/>
        <v>0</v>
      </c>
      <c r="M72" s="377">
        <f t="shared" si="21"/>
        <v>0</v>
      </c>
      <c r="N72" s="378">
        <f t="shared" si="21"/>
        <v>1267021.06</v>
      </c>
      <c r="O72" s="281">
        <f t="shared" si="18"/>
        <v>0</v>
      </c>
      <c r="P72" s="157" t="s">
        <v>205</v>
      </c>
      <c r="S72" s="282">
        <f t="shared" si="19"/>
        <v>0</v>
      </c>
    </row>
    <row r="73" spans="1:19" s="161" customFormat="1" ht="15.6" customHeight="1">
      <c r="A73" s="62" t="s">
        <v>206</v>
      </c>
      <c r="B73" s="379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1">
        <f t="shared" ref="N73:N120" si="22">SUM(B73:M73)</f>
        <v>0</v>
      </c>
      <c r="O73" s="281">
        <f t="shared" si="18"/>
        <v>0</v>
      </c>
      <c r="P73" s="161" t="s">
        <v>207</v>
      </c>
      <c r="S73" s="288">
        <f t="shared" si="19"/>
        <v>0</v>
      </c>
    </row>
    <row r="74" spans="1:19" s="161" customFormat="1" ht="15.6" customHeight="1">
      <c r="A74" s="62" t="s">
        <v>208</v>
      </c>
      <c r="B74" s="379"/>
      <c r="C74" s="380"/>
      <c r="D74" s="210">
        <v>1905</v>
      </c>
      <c r="E74" s="210">
        <v>1132.1099999999999</v>
      </c>
      <c r="F74" s="509">
        <v>214</v>
      </c>
      <c r="G74" s="380"/>
      <c r="H74" s="380"/>
      <c r="I74" s="380"/>
      <c r="J74" s="380"/>
      <c r="K74" s="380"/>
      <c r="L74" s="380"/>
      <c r="M74" s="380"/>
      <c r="N74" s="381">
        <f t="shared" si="22"/>
        <v>3251.1099999999997</v>
      </c>
      <c r="O74" s="281">
        <f t="shared" si="18"/>
        <v>0</v>
      </c>
      <c r="P74" s="161" t="s">
        <v>209</v>
      </c>
      <c r="S74" s="288">
        <f t="shared" si="19"/>
        <v>0</v>
      </c>
    </row>
    <row r="75" spans="1:19" s="163" customFormat="1" ht="15.6" customHeight="1">
      <c r="A75" s="74" t="s">
        <v>210</v>
      </c>
      <c r="B75" s="379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5">
        <f t="shared" si="22"/>
        <v>0</v>
      </c>
      <c r="O75" s="286">
        <f t="shared" si="18"/>
        <v>0</v>
      </c>
      <c r="P75" s="163" t="s">
        <v>211</v>
      </c>
      <c r="S75" s="289">
        <f t="shared" si="19"/>
        <v>0</v>
      </c>
    </row>
    <row r="76" spans="1:19" s="163" customFormat="1" ht="15.6" customHeight="1">
      <c r="A76" s="74" t="s">
        <v>212</v>
      </c>
      <c r="B76" s="379"/>
      <c r="C76" s="380"/>
      <c r="D76" s="210">
        <v>74874.63</v>
      </c>
      <c r="E76" s="210">
        <v>168938.29</v>
      </c>
      <c r="F76" s="508">
        <v>192155.06</v>
      </c>
      <c r="G76" s="522">
        <v>178960.55</v>
      </c>
      <c r="H76" s="380"/>
      <c r="I76" s="380"/>
      <c r="J76" s="380"/>
      <c r="K76" s="380"/>
      <c r="L76" s="380"/>
      <c r="M76" s="380"/>
      <c r="N76" s="385">
        <f t="shared" si="22"/>
        <v>614928.53</v>
      </c>
      <c r="O76" s="286">
        <f t="shared" si="18"/>
        <v>0</v>
      </c>
      <c r="P76" s="165" t="s">
        <v>213</v>
      </c>
      <c r="S76" s="289">
        <f t="shared" si="19"/>
        <v>0</v>
      </c>
    </row>
    <row r="77" spans="1:19" s="163" customFormat="1" ht="15.6" customHeight="1">
      <c r="A77" s="73" t="s">
        <v>214</v>
      </c>
      <c r="B77" s="379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5">
        <f t="shared" si="22"/>
        <v>0</v>
      </c>
      <c r="O77" s="286">
        <f t="shared" si="18"/>
        <v>0</v>
      </c>
      <c r="P77" s="163" t="s">
        <v>215</v>
      </c>
      <c r="S77" s="289">
        <f t="shared" si="19"/>
        <v>0</v>
      </c>
    </row>
    <row r="78" spans="1:19" s="163" customFormat="1" ht="15.6" customHeight="1">
      <c r="A78" s="74" t="s">
        <v>216</v>
      </c>
      <c r="B78" s="379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5">
        <f t="shared" si="22"/>
        <v>0</v>
      </c>
      <c r="O78" s="286">
        <f t="shared" si="18"/>
        <v>0</v>
      </c>
      <c r="P78" s="163" t="s">
        <v>217</v>
      </c>
      <c r="S78" s="289">
        <f t="shared" si="19"/>
        <v>0</v>
      </c>
    </row>
    <row r="79" spans="1:19" s="163" customFormat="1" ht="15.6" customHeight="1">
      <c r="A79" s="74" t="s">
        <v>218</v>
      </c>
      <c r="B79" s="379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5">
        <f t="shared" si="22"/>
        <v>0</v>
      </c>
      <c r="O79" s="286">
        <f t="shared" si="18"/>
        <v>0</v>
      </c>
      <c r="P79" s="163" t="s">
        <v>219</v>
      </c>
      <c r="S79" s="289">
        <f t="shared" si="19"/>
        <v>0</v>
      </c>
    </row>
    <row r="80" spans="1:19" s="163" customFormat="1" ht="15.6" customHeight="1">
      <c r="A80" s="74" t="s">
        <v>220</v>
      </c>
      <c r="B80" s="379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5">
        <f t="shared" si="22"/>
        <v>0</v>
      </c>
      <c r="O80" s="286">
        <f t="shared" si="18"/>
        <v>0</v>
      </c>
      <c r="P80" s="163" t="s">
        <v>221</v>
      </c>
      <c r="S80" s="289">
        <f t="shared" si="19"/>
        <v>0</v>
      </c>
    </row>
    <row r="81" spans="1:19" s="163" customFormat="1" ht="15.6" customHeight="1">
      <c r="A81" s="74" t="s">
        <v>222</v>
      </c>
      <c r="B81" s="379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5">
        <f t="shared" si="22"/>
        <v>0</v>
      </c>
      <c r="O81" s="286">
        <f t="shared" si="18"/>
        <v>0</v>
      </c>
      <c r="P81" s="163" t="s">
        <v>223</v>
      </c>
      <c r="S81" s="289">
        <f t="shared" si="19"/>
        <v>0</v>
      </c>
    </row>
    <row r="82" spans="1:19" s="163" customFormat="1" ht="15.6" customHeight="1">
      <c r="A82" s="74" t="s">
        <v>224</v>
      </c>
      <c r="B82" s="379"/>
      <c r="C82" s="380"/>
      <c r="D82" s="380"/>
      <c r="E82" s="380"/>
      <c r="F82" s="511"/>
      <c r="G82" s="380"/>
      <c r="H82" s="380"/>
      <c r="I82" s="380"/>
      <c r="J82" s="380"/>
      <c r="K82" s="380"/>
      <c r="L82" s="380"/>
      <c r="M82" s="380"/>
      <c r="N82" s="385">
        <f t="shared" si="22"/>
        <v>0</v>
      </c>
      <c r="O82" s="286">
        <f t="shared" si="18"/>
        <v>0</v>
      </c>
      <c r="P82" s="163" t="s">
        <v>225</v>
      </c>
      <c r="S82" s="289">
        <f t="shared" si="19"/>
        <v>0</v>
      </c>
    </row>
    <row r="83" spans="1:19" s="163" customFormat="1" ht="15.6" customHeight="1">
      <c r="A83" s="74" t="s">
        <v>226</v>
      </c>
      <c r="B83" s="379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5">
        <f t="shared" si="22"/>
        <v>0</v>
      </c>
      <c r="O83" s="286">
        <f t="shared" si="18"/>
        <v>0</v>
      </c>
      <c r="P83" s="163" t="s">
        <v>227</v>
      </c>
      <c r="S83" s="289">
        <f t="shared" si="19"/>
        <v>0</v>
      </c>
    </row>
    <row r="84" spans="1:19" s="163" customFormat="1" ht="15.6" customHeight="1">
      <c r="A84" s="74" t="s">
        <v>228</v>
      </c>
      <c r="B84" s="379"/>
      <c r="C84" s="380"/>
      <c r="D84" s="380"/>
      <c r="E84" s="380"/>
      <c r="F84" s="380"/>
      <c r="G84" s="522">
        <v>3900</v>
      </c>
      <c r="H84" s="380"/>
      <c r="I84" s="380"/>
      <c r="J84" s="380"/>
      <c r="K84" s="380"/>
      <c r="L84" s="380"/>
      <c r="M84" s="380"/>
      <c r="N84" s="385">
        <f t="shared" si="22"/>
        <v>3900</v>
      </c>
      <c r="O84" s="286">
        <f t="shared" si="18"/>
        <v>0</v>
      </c>
      <c r="P84" s="163" t="s">
        <v>229</v>
      </c>
      <c r="S84" s="289">
        <f t="shared" si="19"/>
        <v>0</v>
      </c>
    </row>
    <row r="85" spans="1:19" s="163" customFormat="1" ht="15.6" customHeight="1">
      <c r="A85" s="74" t="s">
        <v>230</v>
      </c>
      <c r="B85" s="379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5">
        <f t="shared" si="22"/>
        <v>0</v>
      </c>
      <c r="O85" s="286">
        <f t="shared" si="18"/>
        <v>0</v>
      </c>
      <c r="P85" s="163" t="s">
        <v>231</v>
      </c>
      <c r="S85" s="289">
        <f t="shared" si="19"/>
        <v>0</v>
      </c>
    </row>
    <row r="86" spans="1:19" s="163" customFormat="1" ht="15.6" customHeight="1">
      <c r="A86" s="74" t="s">
        <v>232</v>
      </c>
      <c r="B86" s="379"/>
      <c r="C86" s="380"/>
      <c r="D86" s="380"/>
      <c r="E86" s="210">
        <v>6924.74</v>
      </c>
      <c r="F86" s="508">
        <v>10099.120000000001</v>
      </c>
      <c r="G86" s="522">
        <v>12164.34</v>
      </c>
      <c r="H86" s="380"/>
      <c r="I86" s="380"/>
      <c r="J86" s="380"/>
      <c r="K86" s="380"/>
      <c r="L86" s="380"/>
      <c r="M86" s="380"/>
      <c r="N86" s="385">
        <f t="shared" si="22"/>
        <v>29188.2</v>
      </c>
      <c r="O86" s="286">
        <f t="shared" si="18"/>
        <v>0</v>
      </c>
      <c r="P86" s="163" t="s">
        <v>233</v>
      </c>
      <c r="S86" s="289">
        <f t="shared" si="19"/>
        <v>0</v>
      </c>
    </row>
    <row r="87" spans="1:19" s="163" customFormat="1" ht="15.6" customHeight="1">
      <c r="A87" s="74" t="s">
        <v>234</v>
      </c>
      <c r="B87" s="379"/>
      <c r="C87" s="380"/>
      <c r="D87" s="210">
        <v>15491.07</v>
      </c>
      <c r="E87" s="210">
        <v>26605.47</v>
      </c>
      <c r="F87" s="508">
        <v>21519.19</v>
      </c>
      <c r="G87" s="522">
        <v>11321.6</v>
      </c>
      <c r="H87" s="380"/>
      <c r="I87" s="380"/>
      <c r="J87" s="380"/>
      <c r="K87" s="380"/>
      <c r="L87" s="380"/>
      <c r="M87" s="380"/>
      <c r="N87" s="385">
        <f t="shared" si="22"/>
        <v>74937.33</v>
      </c>
      <c r="O87" s="286">
        <f t="shared" si="18"/>
        <v>0</v>
      </c>
      <c r="P87" s="163" t="s">
        <v>235</v>
      </c>
      <c r="S87" s="289">
        <f t="shared" si="19"/>
        <v>0</v>
      </c>
    </row>
    <row r="88" spans="1:19" s="163" customFormat="1" ht="15.6" customHeight="1">
      <c r="A88" s="74" t="s">
        <v>236</v>
      </c>
      <c r="B88" s="379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5">
        <f t="shared" si="22"/>
        <v>0</v>
      </c>
      <c r="O88" s="286">
        <f t="shared" si="18"/>
        <v>0</v>
      </c>
      <c r="P88" s="163" t="s">
        <v>237</v>
      </c>
      <c r="S88" s="289">
        <f t="shared" si="19"/>
        <v>0</v>
      </c>
    </row>
    <row r="89" spans="1:19" s="163" customFormat="1" ht="15.6" customHeight="1">
      <c r="A89" s="74" t="s">
        <v>238</v>
      </c>
      <c r="B89" s="379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5">
        <f t="shared" si="22"/>
        <v>0</v>
      </c>
      <c r="O89" s="286">
        <f t="shared" si="18"/>
        <v>0</v>
      </c>
      <c r="P89" s="163" t="s">
        <v>239</v>
      </c>
      <c r="S89" s="289">
        <f t="shared" si="19"/>
        <v>0</v>
      </c>
    </row>
    <row r="90" spans="1:19" s="163" customFormat="1" ht="15.6" customHeight="1">
      <c r="A90" s="74" t="s">
        <v>240</v>
      </c>
      <c r="B90" s="379"/>
      <c r="C90" s="380"/>
      <c r="D90" s="380"/>
      <c r="E90" s="210">
        <v>3000</v>
      </c>
      <c r="F90" s="508">
        <v>3000</v>
      </c>
      <c r="G90" s="522">
        <v>3000</v>
      </c>
      <c r="H90" s="380"/>
      <c r="I90" s="380"/>
      <c r="J90" s="380"/>
      <c r="K90" s="380"/>
      <c r="L90" s="380"/>
      <c r="M90" s="380"/>
      <c r="N90" s="385">
        <f t="shared" si="22"/>
        <v>9000</v>
      </c>
      <c r="O90" s="286">
        <f t="shared" si="18"/>
        <v>0</v>
      </c>
      <c r="P90" s="163" t="s">
        <v>241</v>
      </c>
      <c r="S90" s="289">
        <f t="shared" si="19"/>
        <v>0</v>
      </c>
    </row>
    <row r="91" spans="1:19" s="163" customFormat="1" ht="15.6" customHeight="1">
      <c r="A91" s="74" t="s">
        <v>242</v>
      </c>
      <c r="B91" s="379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5">
        <f t="shared" si="22"/>
        <v>0</v>
      </c>
      <c r="O91" s="286">
        <f t="shared" si="18"/>
        <v>0</v>
      </c>
      <c r="P91" s="163" t="s">
        <v>243</v>
      </c>
      <c r="S91" s="289">
        <f t="shared" si="19"/>
        <v>0</v>
      </c>
    </row>
    <row r="92" spans="1:19" s="163" customFormat="1" ht="15.6" customHeight="1">
      <c r="A92" s="74" t="s">
        <v>244</v>
      </c>
      <c r="B92" s="379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5">
        <f t="shared" si="22"/>
        <v>0</v>
      </c>
      <c r="O92" s="286">
        <f t="shared" si="18"/>
        <v>0</v>
      </c>
      <c r="P92" s="163" t="s">
        <v>245</v>
      </c>
      <c r="S92" s="289">
        <f t="shared" si="19"/>
        <v>0</v>
      </c>
    </row>
    <row r="93" spans="1:19" s="163" customFormat="1" ht="15.6" customHeight="1">
      <c r="A93" s="74" t="s">
        <v>246</v>
      </c>
      <c r="B93" s="379"/>
      <c r="C93" s="380"/>
      <c r="D93" s="380"/>
      <c r="E93" s="380"/>
      <c r="F93" s="508">
        <v>28620</v>
      </c>
      <c r="G93" s="380"/>
      <c r="H93" s="380"/>
      <c r="I93" s="380"/>
      <c r="J93" s="380"/>
      <c r="K93" s="380"/>
      <c r="L93" s="380"/>
      <c r="M93" s="380"/>
      <c r="N93" s="385">
        <f t="shared" si="22"/>
        <v>28620</v>
      </c>
      <c r="O93" s="286">
        <f t="shared" si="18"/>
        <v>0</v>
      </c>
      <c r="P93" s="163" t="s">
        <v>247</v>
      </c>
      <c r="S93" s="289">
        <f t="shared" si="19"/>
        <v>0</v>
      </c>
    </row>
    <row r="94" spans="1:19" s="163" customFormat="1" ht="15.6" customHeight="1">
      <c r="A94" s="74" t="s">
        <v>248</v>
      </c>
      <c r="B94" s="379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5">
        <f t="shared" si="22"/>
        <v>0</v>
      </c>
      <c r="O94" s="286">
        <f t="shared" ref="O94:O125" si="23">+SUM($B94:$M94)-N94</f>
        <v>0</v>
      </c>
      <c r="P94" s="163" t="s">
        <v>249</v>
      </c>
      <c r="S94" s="289">
        <f t="shared" ref="S94:S125" si="24">H94/1000</f>
        <v>0</v>
      </c>
    </row>
    <row r="95" spans="1:19" s="163" customFormat="1" ht="15.6" customHeight="1">
      <c r="A95" s="74" t="s">
        <v>250</v>
      </c>
      <c r="B95" s="379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5">
        <f t="shared" si="22"/>
        <v>0</v>
      </c>
      <c r="O95" s="286">
        <f t="shared" si="23"/>
        <v>0</v>
      </c>
      <c r="P95" s="163" t="s">
        <v>251</v>
      </c>
      <c r="S95" s="289">
        <f t="shared" si="24"/>
        <v>0</v>
      </c>
    </row>
    <row r="96" spans="1:19" s="163" customFormat="1" ht="15.6" customHeight="1">
      <c r="A96" s="74" t="s">
        <v>252</v>
      </c>
      <c r="B96" s="379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5">
        <f t="shared" si="22"/>
        <v>0</v>
      </c>
      <c r="O96" s="286">
        <f t="shared" si="23"/>
        <v>0</v>
      </c>
      <c r="P96" s="163" t="s">
        <v>253</v>
      </c>
      <c r="S96" s="289">
        <f t="shared" si="24"/>
        <v>0</v>
      </c>
    </row>
    <row r="97" spans="1:19" s="163" customFormat="1" ht="15.6" customHeight="1">
      <c r="A97" s="74" t="s">
        <v>254</v>
      </c>
      <c r="B97" s="379"/>
      <c r="C97" s="380"/>
      <c r="D97" s="380"/>
      <c r="E97" s="380"/>
      <c r="F97" s="508">
        <v>8922</v>
      </c>
      <c r="G97" s="210">
        <v>9850</v>
      </c>
      <c r="H97" s="380"/>
      <c r="I97" s="380"/>
      <c r="J97" s="380"/>
      <c r="K97" s="380"/>
      <c r="L97" s="380"/>
      <c r="M97" s="380"/>
      <c r="N97" s="385">
        <f t="shared" si="22"/>
        <v>18772</v>
      </c>
      <c r="O97" s="286">
        <f t="shared" si="23"/>
        <v>0</v>
      </c>
      <c r="P97" s="163" t="s">
        <v>255</v>
      </c>
      <c r="S97" s="289">
        <f t="shared" si="24"/>
        <v>0</v>
      </c>
    </row>
    <row r="98" spans="1:19" s="163" customFormat="1" ht="15.6" customHeight="1">
      <c r="A98" s="73" t="s">
        <v>256</v>
      </c>
      <c r="B98" s="379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5">
        <f t="shared" si="22"/>
        <v>0</v>
      </c>
      <c r="O98" s="286">
        <f t="shared" si="23"/>
        <v>0</v>
      </c>
      <c r="P98" s="163" t="s">
        <v>257</v>
      </c>
      <c r="S98" s="289">
        <f t="shared" si="24"/>
        <v>0</v>
      </c>
    </row>
    <row r="99" spans="1:19" s="163" customFormat="1" ht="15.6" customHeight="1">
      <c r="A99" s="74" t="s">
        <v>258</v>
      </c>
      <c r="B99" s="379"/>
      <c r="C99" s="380"/>
      <c r="D99" s="380"/>
      <c r="E99" s="210">
        <v>26889</v>
      </c>
      <c r="F99" s="508">
        <v>22100</v>
      </c>
      <c r="G99" s="210">
        <v>31389</v>
      </c>
      <c r="H99" s="380"/>
      <c r="I99" s="380"/>
      <c r="J99" s="380"/>
      <c r="K99" s="380"/>
      <c r="L99" s="380"/>
      <c r="M99" s="380"/>
      <c r="N99" s="385">
        <f t="shared" si="22"/>
        <v>80378</v>
      </c>
      <c r="O99" s="286">
        <f t="shared" si="23"/>
        <v>0</v>
      </c>
      <c r="P99" s="163" t="s">
        <v>259</v>
      </c>
      <c r="S99" s="289">
        <f t="shared" si="24"/>
        <v>0</v>
      </c>
    </row>
    <row r="100" spans="1:19" s="163" customFormat="1" ht="15.6" customHeight="1">
      <c r="A100" s="74" t="s">
        <v>260</v>
      </c>
      <c r="B100" s="379"/>
      <c r="C100" s="380"/>
      <c r="D100" s="380"/>
      <c r="E100" s="380"/>
      <c r="F100" s="508">
        <v>10643</v>
      </c>
      <c r="G100" s="210">
        <v>1843</v>
      </c>
      <c r="H100" s="380"/>
      <c r="I100" s="380"/>
      <c r="J100" s="380"/>
      <c r="K100" s="380"/>
      <c r="L100" s="380"/>
      <c r="M100" s="380"/>
      <c r="N100" s="385">
        <f t="shared" si="22"/>
        <v>12486</v>
      </c>
      <c r="O100" s="286">
        <f t="shared" si="23"/>
        <v>0</v>
      </c>
      <c r="P100" s="163" t="s">
        <v>261</v>
      </c>
      <c r="S100" s="289">
        <f t="shared" si="24"/>
        <v>0</v>
      </c>
    </row>
    <row r="101" spans="1:19" s="163" customFormat="1" ht="15.6" customHeight="1">
      <c r="A101" s="74" t="s">
        <v>262</v>
      </c>
      <c r="B101" s="379"/>
      <c r="C101" s="380"/>
      <c r="D101" s="380"/>
      <c r="E101" s="380"/>
      <c r="F101" s="508">
        <v>5500</v>
      </c>
      <c r="G101" s="210">
        <v>1000</v>
      </c>
      <c r="H101" s="380"/>
      <c r="I101" s="380"/>
      <c r="J101" s="380"/>
      <c r="K101" s="380"/>
      <c r="L101" s="380"/>
      <c r="M101" s="380"/>
      <c r="N101" s="385">
        <f t="shared" si="22"/>
        <v>6500</v>
      </c>
      <c r="O101" s="286">
        <f t="shared" si="23"/>
        <v>0</v>
      </c>
      <c r="P101" s="163" t="s">
        <v>263</v>
      </c>
      <c r="S101" s="289">
        <f t="shared" si="24"/>
        <v>0</v>
      </c>
    </row>
    <row r="102" spans="1:19" s="163" customFormat="1" ht="15.6" customHeight="1">
      <c r="A102" s="74" t="s">
        <v>264</v>
      </c>
      <c r="B102" s="379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5">
        <f t="shared" si="22"/>
        <v>0</v>
      </c>
      <c r="O102" s="286">
        <f t="shared" si="23"/>
        <v>0</v>
      </c>
      <c r="P102" s="165" t="s">
        <v>265</v>
      </c>
      <c r="S102" s="289">
        <f t="shared" si="24"/>
        <v>0</v>
      </c>
    </row>
    <row r="103" spans="1:19" s="163" customFormat="1" ht="15.6" customHeight="1">
      <c r="A103" s="74" t="s">
        <v>266</v>
      </c>
      <c r="B103" s="379"/>
      <c r="C103" s="380"/>
      <c r="D103" s="380"/>
      <c r="E103" s="210">
        <v>34401.4</v>
      </c>
      <c r="F103" s="508">
        <v>37384.71</v>
      </c>
      <c r="G103" s="210">
        <v>27650.54</v>
      </c>
      <c r="H103" s="380"/>
      <c r="I103" s="380"/>
      <c r="J103" s="380"/>
      <c r="K103" s="380"/>
      <c r="L103" s="380"/>
      <c r="M103" s="380"/>
      <c r="N103" s="385">
        <f t="shared" si="22"/>
        <v>99436.65</v>
      </c>
      <c r="O103" s="286">
        <f t="shared" si="23"/>
        <v>0</v>
      </c>
      <c r="P103" s="163" t="s">
        <v>267</v>
      </c>
      <c r="S103" s="289">
        <f t="shared" si="24"/>
        <v>0</v>
      </c>
    </row>
    <row r="104" spans="1:19" s="163" customFormat="1" ht="15.6" customHeight="1">
      <c r="A104" s="74" t="s">
        <v>268</v>
      </c>
      <c r="B104" s="379"/>
      <c r="C104" s="380"/>
      <c r="D104" s="380"/>
      <c r="E104" s="210">
        <v>7372.35</v>
      </c>
      <c r="F104" s="380"/>
      <c r="G104" s="210">
        <v>13145.24</v>
      </c>
      <c r="H104" s="380"/>
      <c r="I104" s="380"/>
      <c r="J104" s="380"/>
      <c r="K104" s="380"/>
      <c r="L104" s="380"/>
      <c r="M104" s="380"/>
      <c r="N104" s="385">
        <f t="shared" si="22"/>
        <v>20517.59</v>
      </c>
      <c r="O104" s="286">
        <f t="shared" si="23"/>
        <v>0</v>
      </c>
      <c r="P104" s="163" t="s">
        <v>269</v>
      </c>
      <c r="S104" s="289">
        <f t="shared" si="24"/>
        <v>0</v>
      </c>
    </row>
    <row r="105" spans="1:19" s="163" customFormat="1" ht="15.6" customHeight="1">
      <c r="A105" s="74" t="s">
        <v>270</v>
      </c>
      <c r="B105" s="379"/>
      <c r="C105" s="380"/>
      <c r="D105" s="380"/>
      <c r="E105" s="380"/>
      <c r="F105" s="509">
        <v>248</v>
      </c>
      <c r="G105" s="380"/>
      <c r="H105" s="380"/>
      <c r="I105" s="380"/>
      <c r="J105" s="380"/>
      <c r="K105" s="380"/>
      <c r="L105" s="380"/>
      <c r="M105" s="380"/>
      <c r="N105" s="385">
        <f t="shared" si="22"/>
        <v>248</v>
      </c>
      <c r="O105" s="286">
        <f t="shared" si="23"/>
        <v>0</v>
      </c>
      <c r="P105" s="163" t="s">
        <v>271</v>
      </c>
      <c r="S105" s="289">
        <f t="shared" si="24"/>
        <v>0</v>
      </c>
    </row>
    <row r="106" spans="1:19" s="163" customFormat="1" ht="15.6" customHeight="1">
      <c r="A106" s="74" t="s">
        <v>272</v>
      </c>
      <c r="B106" s="379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5">
        <f t="shared" si="22"/>
        <v>0</v>
      </c>
      <c r="O106" s="286">
        <f t="shared" si="23"/>
        <v>0</v>
      </c>
      <c r="P106" s="163" t="s">
        <v>273</v>
      </c>
      <c r="S106" s="289">
        <f t="shared" si="24"/>
        <v>0</v>
      </c>
    </row>
    <row r="107" spans="1:19" s="163" customFormat="1" ht="15.6" customHeight="1">
      <c r="A107" s="74" t="s">
        <v>274</v>
      </c>
      <c r="B107" s="379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5">
        <f t="shared" si="22"/>
        <v>0</v>
      </c>
      <c r="O107" s="286">
        <f t="shared" si="23"/>
        <v>0</v>
      </c>
      <c r="P107" s="163" t="s">
        <v>275</v>
      </c>
      <c r="S107" s="289">
        <f t="shared" si="24"/>
        <v>0</v>
      </c>
    </row>
    <row r="108" spans="1:19" s="163" customFormat="1" ht="15.6" customHeight="1">
      <c r="A108" s="74" t="s">
        <v>276</v>
      </c>
      <c r="B108" s="379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5">
        <f t="shared" si="22"/>
        <v>0</v>
      </c>
      <c r="O108" s="286">
        <f t="shared" si="23"/>
        <v>0</v>
      </c>
      <c r="P108" s="163" t="s">
        <v>277</v>
      </c>
      <c r="S108" s="289">
        <f t="shared" si="24"/>
        <v>0</v>
      </c>
    </row>
    <row r="109" spans="1:19" s="163" customFormat="1" ht="15.6" customHeight="1">
      <c r="A109" s="74" t="s">
        <v>278</v>
      </c>
      <c r="B109" s="379"/>
      <c r="C109" s="380"/>
      <c r="D109" s="380"/>
      <c r="E109" s="210">
        <v>28940</v>
      </c>
      <c r="F109" s="508">
        <v>45450</v>
      </c>
      <c r="G109" s="210">
        <v>43020</v>
      </c>
      <c r="H109" s="380"/>
      <c r="I109" s="380"/>
      <c r="J109" s="380"/>
      <c r="K109" s="380"/>
      <c r="L109" s="380"/>
      <c r="M109" s="380"/>
      <c r="N109" s="385">
        <f t="shared" si="22"/>
        <v>117410</v>
      </c>
      <c r="O109" s="286">
        <f t="shared" si="23"/>
        <v>0</v>
      </c>
      <c r="P109" s="166" t="s">
        <v>279</v>
      </c>
      <c r="S109" s="289">
        <f t="shared" si="24"/>
        <v>0</v>
      </c>
    </row>
    <row r="110" spans="1:19" s="163" customFormat="1" ht="15.6" customHeight="1">
      <c r="A110" s="74" t="s">
        <v>280</v>
      </c>
      <c r="B110" s="379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5">
        <f t="shared" si="22"/>
        <v>0</v>
      </c>
      <c r="O110" s="286">
        <f t="shared" si="23"/>
        <v>0</v>
      </c>
      <c r="P110" s="163" t="s">
        <v>281</v>
      </c>
      <c r="S110" s="289">
        <f t="shared" si="24"/>
        <v>0</v>
      </c>
    </row>
    <row r="111" spans="1:19" s="163" customFormat="1" ht="15.6" customHeight="1">
      <c r="A111" s="74" t="s">
        <v>282</v>
      </c>
      <c r="B111" s="379"/>
      <c r="C111" s="380"/>
      <c r="D111" s="380"/>
      <c r="E111" s="210">
        <v>27872.7</v>
      </c>
      <c r="F111" s="508">
        <v>18872.7</v>
      </c>
      <c r="G111" s="210">
        <v>18872.7</v>
      </c>
      <c r="H111" s="380"/>
      <c r="I111" s="380"/>
      <c r="J111" s="380"/>
      <c r="K111" s="380"/>
      <c r="L111" s="380"/>
      <c r="M111" s="380"/>
      <c r="N111" s="385">
        <f t="shared" si="22"/>
        <v>65618.100000000006</v>
      </c>
      <c r="O111" s="286">
        <f t="shared" si="23"/>
        <v>0</v>
      </c>
      <c r="P111" s="163" t="s">
        <v>283</v>
      </c>
      <c r="S111" s="289">
        <f t="shared" si="24"/>
        <v>0</v>
      </c>
    </row>
    <row r="112" spans="1:19" s="163" customFormat="1" ht="15.6" customHeight="1">
      <c r="A112" s="74" t="s">
        <v>284</v>
      </c>
      <c r="B112" s="379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5">
        <f t="shared" si="22"/>
        <v>0</v>
      </c>
      <c r="O112" s="286">
        <f t="shared" si="23"/>
        <v>0</v>
      </c>
      <c r="P112" s="163" t="s">
        <v>285</v>
      </c>
      <c r="S112" s="289">
        <f t="shared" si="24"/>
        <v>0</v>
      </c>
    </row>
    <row r="113" spans="1:20" s="161" customFormat="1" ht="15.6" customHeight="1">
      <c r="A113" s="62" t="s">
        <v>286</v>
      </c>
      <c r="B113" s="379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1">
        <f t="shared" si="22"/>
        <v>0</v>
      </c>
      <c r="O113" s="281">
        <f t="shared" si="23"/>
        <v>0</v>
      </c>
      <c r="P113" s="161" t="s">
        <v>287</v>
      </c>
      <c r="S113" s="288">
        <f t="shared" si="24"/>
        <v>0</v>
      </c>
    </row>
    <row r="114" spans="1:20" s="161" customFormat="1" ht="15.6" customHeight="1">
      <c r="A114" s="62" t="s">
        <v>288</v>
      </c>
      <c r="B114" s="379"/>
      <c r="C114" s="380"/>
      <c r="D114" s="380"/>
      <c r="E114" s="210">
        <v>19050</v>
      </c>
      <c r="F114" s="508">
        <v>11715.75</v>
      </c>
      <c r="G114" s="210">
        <v>32003</v>
      </c>
      <c r="H114" s="380"/>
      <c r="I114" s="380"/>
      <c r="J114" s="380"/>
      <c r="K114" s="380"/>
      <c r="L114" s="380"/>
      <c r="M114" s="380"/>
      <c r="N114" s="381">
        <f t="shared" si="22"/>
        <v>62768.75</v>
      </c>
      <c r="O114" s="281">
        <f t="shared" si="23"/>
        <v>0</v>
      </c>
      <c r="P114" s="161" t="s">
        <v>289</v>
      </c>
      <c r="S114" s="288">
        <f t="shared" si="24"/>
        <v>0</v>
      </c>
    </row>
    <row r="115" spans="1:20" s="161" customFormat="1" ht="15.6" customHeight="1">
      <c r="A115" s="62" t="s">
        <v>290</v>
      </c>
      <c r="B115" s="379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1">
        <f t="shared" si="22"/>
        <v>0</v>
      </c>
      <c r="O115" s="281">
        <f t="shared" si="23"/>
        <v>0</v>
      </c>
      <c r="P115" s="161" t="s">
        <v>291</v>
      </c>
      <c r="S115" s="288">
        <f t="shared" si="24"/>
        <v>0</v>
      </c>
    </row>
    <row r="116" spans="1:20" s="161" customFormat="1" ht="15.6" customHeight="1">
      <c r="A116" s="62" t="s">
        <v>292</v>
      </c>
      <c r="B116" s="379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1">
        <f t="shared" si="22"/>
        <v>0</v>
      </c>
      <c r="O116" s="281">
        <f t="shared" si="23"/>
        <v>0</v>
      </c>
      <c r="P116" s="161" t="s">
        <v>293</v>
      </c>
      <c r="S116" s="288">
        <f t="shared" si="24"/>
        <v>0</v>
      </c>
    </row>
    <row r="117" spans="1:20" s="167" customFormat="1" ht="15.6" customHeight="1">
      <c r="A117" s="62" t="s">
        <v>294</v>
      </c>
      <c r="B117" s="379"/>
      <c r="C117" s="380"/>
      <c r="D117" s="380"/>
      <c r="E117" s="380"/>
      <c r="F117" s="380"/>
      <c r="G117" s="210">
        <v>1062</v>
      </c>
      <c r="H117" s="380"/>
      <c r="I117" s="380"/>
      <c r="J117" s="380"/>
      <c r="K117" s="380"/>
      <c r="L117" s="380"/>
      <c r="M117" s="380"/>
      <c r="N117" s="381">
        <f t="shared" si="22"/>
        <v>1062</v>
      </c>
      <c r="O117" s="281">
        <f t="shared" si="23"/>
        <v>0</v>
      </c>
      <c r="P117" s="161" t="s">
        <v>295</v>
      </c>
      <c r="Q117" s="161"/>
      <c r="R117" s="161"/>
      <c r="S117" s="288">
        <f t="shared" si="24"/>
        <v>0</v>
      </c>
      <c r="T117" s="161"/>
    </row>
    <row r="118" spans="1:20" s="168" customFormat="1" ht="15.6" customHeight="1">
      <c r="A118" s="62" t="s">
        <v>296</v>
      </c>
      <c r="B118" s="379"/>
      <c r="C118" s="380"/>
      <c r="D118" s="380"/>
      <c r="E118" s="380"/>
      <c r="F118" s="380"/>
      <c r="G118" s="380"/>
      <c r="H118" s="380"/>
      <c r="I118" s="380"/>
      <c r="J118" s="380"/>
      <c r="K118" s="380"/>
      <c r="L118" s="380"/>
      <c r="M118" s="380"/>
      <c r="N118" s="381">
        <f t="shared" si="22"/>
        <v>0</v>
      </c>
      <c r="O118" s="281">
        <f t="shared" si="23"/>
        <v>0</v>
      </c>
      <c r="P118" s="168" t="s">
        <v>297</v>
      </c>
      <c r="Q118" s="161"/>
      <c r="R118" s="161"/>
      <c r="S118" s="288">
        <f t="shared" si="24"/>
        <v>0</v>
      </c>
      <c r="T118" s="161"/>
    </row>
    <row r="119" spans="1:20" s="168" customFormat="1" ht="15.6" customHeight="1">
      <c r="A119" s="62" t="s">
        <v>298</v>
      </c>
      <c r="B119" s="379"/>
      <c r="C119" s="380"/>
      <c r="D119" s="380"/>
      <c r="E119" s="380"/>
      <c r="F119" s="380"/>
      <c r="G119" s="380"/>
      <c r="H119" s="380"/>
      <c r="I119" s="380"/>
      <c r="J119" s="380"/>
      <c r="K119" s="380"/>
      <c r="L119" s="380"/>
      <c r="M119" s="380"/>
      <c r="N119" s="381">
        <f t="shared" si="22"/>
        <v>0</v>
      </c>
      <c r="O119" s="281">
        <f t="shared" si="23"/>
        <v>0</v>
      </c>
      <c r="P119" s="161" t="s">
        <v>299</v>
      </c>
      <c r="Q119" s="161"/>
      <c r="R119" s="161"/>
      <c r="S119" s="288">
        <f t="shared" si="24"/>
        <v>0</v>
      </c>
      <c r="T119" s="161"/>
    </row>
    <row r="120" spans="1:20" s="168" customFormat="1" ht="15.6" customHeight="1">
      <c r="A120" s="62" t="s">
        <v>300</v>
      </c>
      <c r="B120" s="379"/>
      <c r="C120" s="380"/>
      <c r="D120" s="380"/>
      <c r="E120" s="380"/>
      <c r="F120" s="508">
        <v>17998.8</v>
      </c>
      <c r="G120" s="380"/>
      <c r="H120" s="380"/>
      <c r="I120" s="380"/>
      <c r="J120" s="380"/>
      <c r="K120" s="380"/>
      <c r="L120" s="380"/>
      <c r="M120" s="380"/>
      <c r="N120" s="381">
        <f t="shared" si="22"/>
        <v>17998.8</v>
      </c>
      <c r="O120" s="281">
        <f t="shared" si="23"/>
        <v>0</v>
      </c>
      <c r="P120" s="161" t="s">
        <v>301</v>
      </c>
      <c r="Q120" s="161"/>
      <c r="R120" s="161"/>
      <c r="S120" s="288">
        <f t="shared" si="24"/>
        <v>0</v>
      </c>
      <c r="T120" s="161"/>
    </row>
    <row r="121" spans="1:20" ht="16.149999999999999" customHeight="1">
      <c r="A121" s="42" t="s">
        <v>302</v>
      </c>
      <c r="B121" s="377">
        <f t="shared" ref="B121:N121" si="25">SUM(B122:B146)</f>
        <v>0</v>
      </c>
      <c r="C121" s="377">
        <f t="shared" si="25"/>
        <v>0</v>
      </c>
      <c r="D121" s="377">
        <f t="shared" si="25"/>
        <v>37048.959999999999</v>
      </c>
      <c r="E121" s="377">
        <f t="shared" si="25"/>
        <v>352196.66000000003</v>
      </c>
      <c r="F121" s="377">
        <f t="shared" si="25"/>
        <v>621120.14</v>
      </c>
      <c r="G121" s="377">
        <f t="shared" si="25"/>
        <v>364823.77</v>
      </c>
      <c r="H121" s="377">
        <f t="shared" si="25"/>
        <v>0</v>
      </c>
      <c r="I121" s="377">
        <f t="shared" si="25"/>
        <v>0</v>
      </c>
      <c r="J121" s="377">
        <f t="shared" si="25"/>
        <v>0</v>
      </c>
      <c r="K121" s="377">
        <f t="shared" si="25"/>
        <v>0</v>
      </c>
      <c r="L121" s="377">
        <f t="shared" si="25"/>
        <v>0</v>
      </c>
      <c r="M121" s="377">
        <f t="shared" si="25"/>
        <v>0</v>
      </c>
      <c r="N121" s="378">
        <f t="shared" si="25"/>
        <v>1375189.5300000003</v>
      </c>
      <c r="O121" s="281">
        <f t="shared" si="23"/>
        <v>0</v>
      </c>
      <c r="P121" s="157" t="s">
        <v>303</v>
      </c>
      <c r="S121" s="282">
        <f t="shared" si="24"/>
        <v>0</v>
      </c>
    </row>
    <row r="122" spans="1:20" s="161" customFormat="1" ht="15.6" customHeight="1">
      <c r="A122" s="62" t="s">
        <v>304</v>
      </c>
      <c r="B122" s="379"/>
      <c r="C122" s="380"/>
      <c r="D122" s="380"/>
      <c r="E122" s="380"/>
      <c r="F122" s="380"/>
      <c r="G122" s="380"/>
      <c r="H122" s="380"/>
      <c r="I122" s="380"/>
      <c r="J122" s="380"/>
      <c r="K122" s="380"/>
      <c r="L122" s="380"/>
      <c r="M122" s="380"/>
      <c r="N122" s="381">
        <f t="shared" ref="N122:N146" si="26">SUM(B122:M122)</f>
        <v>0</v>
      </c>
      <c r="O122" s="281">
        <f t="shared" si="23"/>
        <v>0</v>
      </c>
      <c r="P122" s="161" t="s">
        <v>305</v>
      </c>
      <c r="S122" s="283">
        <f t="shared" si="24"/>
        <v>0</v>
      </c>
    </row>
    <row r="123" spans="1:20" s="161" customFormat="1" ht="15.6" customHeight="1">
      <c r="A123" s="75" t="s">
        <v>306</v>
      </c>
      <c r="B123" s="379"/>
      <c r="C123" s="380"/>
      <c r="D123" s="380"/>
      <c r="E123" s="380"/>
      <c r="F123" s="380"/>
      <c r="G123" s="380"/>
      <c r="H123" s="380"/>
      <c r="I123" s="380"/>
      <c r="J123" s="380"/>
      <c r="K123" s="380"/>
      <c r="L123" s="380"/>
      <c r="M123" s="380"/>
      <c r="N123" s="381">
        <f t="shared" si="26"/>
        <v>0</v>
      </c>
      <c r="O123" s="281">
        <f t="shared" si="23"/>
        <v>0</v>
      </c>
      <c r="P123" s="161" t="s">
        <v>307</v>
      </c>
      <c r="S123" s="283">
        <f t="shared" si="24"/>
        <v>0</v>
      </c>
    </row>
    <row r="124" spans="1:20" s="161" customFormat="1" ht="15.6" customHeight="1">
      <c r="A124" s="62" t="s">
        <v>308</v>
      </c>
      <c r="B124" s="379"/>
      <c r="C124" s="380"/>
      <c r="D124" s="210">
        <v>8060</v>
      </c>
      <c r="E124" s="380"/>
      <c r="F124" s="518"/>
      <c r="G124" s="380"/>
      <c r="H124" s="380"/>
      <c r="I124" s="380"/>
      <c r="J124" s="380"/>
      <c r="K124" s="380"/>
      <c r="L124" s="380"/>
      <c r="M124" s="380"/>
      <c r="N124" s="381">
        <f t="shared" si="26"/>
        <v>8060</v>
      </c>
      <c r="O124" s="281">
        <f t="shared" si="23"/>
        <v>0</v>
      </c>
      <c r="P124" s="161" t="s">
        <v>309</v>
      </c>
      <c r="S124" s="283">
        <f t="shared" si="24"/>
        <v>0</v>
      </c>
    </row>
    <row r="125" spans="1:20" s="161" customFormat="1" ht="15.6" customHeight="1">
      <c r="A125" s="62" t="s">
        <v>310</v>
      </c>
      <c r="B125" s="379"/>
      <c r="C125" s="380"/>
      <c r="D125" s="210">
        <v>6203</v>
      </c>
      <c r="E125" s="210">
        <v>49458.71</v>
      </c>
      <c r="F125" s="508">
        <v>46657.93</v>
      </c>
      <c r="G125" s="210">
        <v>20060.14</v>
      </c>
      <c r="H125" s="380"/>
      <c r="I125" s="380"/>
      <c r="J125" s="380"/>
      <c r="K125" s="380"/>
      <c r="L125" s="380"/>
      <c r="M125" s="380"/>
      <c r="N125" s="381">
        <f t="shared" si="26"/>
        <v>122379.78</v>
      </c>
      <c r="O125" s="281">
        <f t="shared" si="23"/>
        <v>0</v>
      </c>
      <c r="P125" s="161" t="s">
        <v>311</v>
      </c>
      <c r="S125" s="283">
        <f t="shared" si="24"/>
        <v>0</v>
      </c>
    </row>
    <row r="126" spans="1:20" s="161" customFormat="1" ht="15.6" customHeight="1">
      <c r="A126" s="62" t="s">
        <v>312</v>
      </c>
      <c r="B126" s="379"/>
      <c r="C126" s="380"/>
      <c r="D126" s="380"/>
      <c r="E126" s="380"/>
      <c r="F126" s="380"/>
      <c r="G126" s="380"/>
      <c r="H126" s="380"/>
      <c r="I126" s="380"/>
      <c r="J126" s="380"/>
      <c r="K126" s="380"/>
      <c r="L126" s="380"/>
      <c r="M126" s="380"/>
      <c r="N126" s="381">
        <f t="shared" si="26"/>
        <v>0</v>
      </c>
      <c r="O126" s="281">
        <f t="shared" ref="O126:O153" si="27">+SUM($B126:$M126)-N126</f>
        <v>0</v>
      </c>
      <c r="P126" s="161" t="s">
        <v>313</v>
      </c>
      <c r="S126" s="283">
        <f t="shared" ref="S126:S153" si="28">H126/1000</f>
        <v>0</v>
      </c>
    </row>
    <row r="127" spans="1:20" s="161" customFormat="1" ht="15.6" customHeight="1">
      <c r="A127" s="76" t="s">
        <v>314</v>
      </c>
      <c r="B127" s="379"/>
      <c r="C127" s="380"/>
      <c r="D127" s="210">
        <v>4000</v>
      </c>
      <c r="E127" s="212">
        <v>5250</v>
      </c>
      <c r="F127" s="380"/>
      <c r="G127" s="522">
        <v>6580</v>
      </c>
      <c r="H127" s="380"/>
      <c r="I127" s="380"/>
      <c r="J127" s="380"/>
      <c r="K127" s="380"/>
      <c r="L127" s="380"/>
      <c r="M127" s="380"/>
      <c r="N127" s="381">
        <f t="shared" si="26"/>
        <v>15830</v>
      </c>
      <c r="O127" s="281">
        <f t="shared" si="27"/>
        <v>0</v>
      </c>
      <c r="P127" s="161" t="s">
        <v>315</v>
      </c>
      <c r="S127" s="283">
        <f t="shared" si="28"/>
        <v>0</v>
      </c>
    </row>
    <row r="128" spans="1:20" s="161" customFormat="1" ht="15.6" customHeight="1">
      <c r="A128" s="76" t="s">
        <v>316</v>
      </c>
      <c r="B128" s="379"/>
      <c r="C128" s="380"/>
      <c r="D128" s="380"/>
      <c r="E128" s="212">
        <v>9324</v>
      </c>
      <c r="F128" s="508">
        <v>1350</v>
      </c>
      <c r="G128" s="522">
        <v>6991</v>
      </c>
      <c r="H128" s="380"/>
      <c r="I128" s="380"/>
      <c r="J128" s="380"/>
      <c r="K128" s="380"/>
      <c r="L128" s="380"/>
      <c r="M128" s="380"/>
      <c r="N128" s="381">
        <f t="shared" si="26"/>
        <v>17665</v>
      </c>
      <c r="O128" s="281">
        <f t="shared" si="27"/>
        <v>0</v>
      </c>
      <c r="P128" s="161" t="s">
        <v>317</v>
      </c>
      <c r="S128" s="283">
        <f t="shared" si="28"/>
        <v>0</v>
      </c>
    </row>
    <row r="129" spans="1:19" s="161" customFormat="1" ht="15.6" customHeight="1">
      <c r="A129" s="76" t="s">
        <v>318</v>
      </c>
      <c r="B129" s="379"/>
      <c r="C129" s="380"/>
      <c r="D129" s="380"/>
      <c r="E129" s="210">
        <v>1057</v>
      </c>
      <c r="F129" s="508">
        <v>14937.1</v>
      </c>
      <c r="G129" s="522">
        <v>3331</v>
      </c>
      <c r="H129" s="380"/>
      <c r="I129" s="380"/>
      <c r="J129" s="380"/>
      <c r="K129" s="380"/>
      <c r="L129" s="380"/>
      <c r="M129" s="380"/>
      <c r="N129" s="381">
        <f t="shared" si="26"/>
        <v>19325.099999999999</v>
      </c>
      <c r="O129" s="281">
        <f t="shared" si="27"/>
        <v>0</v>
      </c>
      <c r="P129" s="161" t="s">
        <v>319</v>
      </c>
      <c r="S129" s="283">
        <f t="shared" si="28"/>
        <v>0</v>
      </c>
    </row>
    <row r="130" spans="1:19" s="161" customFormat="1" ht="15.6" customHeight="1">
      <c r="A130" s="76" t="s">
        <v>320</v>
      </c>
      <c r="B130" s="379"/>
      <c r="C130" s="380"/>
      <c r="D130" s="380"/>
      <c r="E130" s="380"/>
      <c r="F130" s="380"/>
      <c r="G130" s="380"/>
      <c r="H130" s="380"/>
      <c r="I130" s="380"/>
      <c r="J130" s="380"/>
      <c r="K130" s="380"/>
      <c r="L130" s="380"/>
      <c r="M130" s="380"/>
      <c r="N130" s="381">
        <f t="shared" si="26"/>
        <v>0</v>
      </c>
      <c r="O130" s="281">
        <f t="shared" si="27"/>
        <v>0</v>
      </c>
      <c r="P130" s="161" t="s">
        <v>321</v>
      </c>
      <c r="S130" s="283">
        <f t="shared" si="28"/>
        <v>0</v>
      </c>
    </row>
    <row r="131" spans="1:19" s="161" customFormat="1" ht="15.6" customHeight="1">
      <c r="A131" s="76" t="s">
        <v>322</v>
      </c>
      <c r="B131" s="379"/>
      <c r="C131" s="380"/>
      <c r="D131" s="380"/>
      <c r="E131" s="210">
        <v>108334.85</v>
      </c>
      <c r="F131" s="508">
        <v>53249.74</v>
      </c>
      <c r="G131" s="210">
        <v>21720.98</v>
      </c>
      <c r="H131" s="380"/>
      <c r="I131" s="380"/>
      <c r="J131" s="380"/>
      <c r="K131" s="380"/>
      <c r="L131" s="380"/>
      <c r="M131" s="380"/>
      <c r="N131" s="381">
        <f t="shared" si="26"/>
        <v>183305.57</v>
      </c>
      <c r="O131" s="281">
        <f t="shared" si="27"/>
        <v>0</v>
      </c>
      <c r="P131" s="161" t="s">
        <v>323</v>
      </c>
      <c r="S131" s="283">
        <f t="shared" si="28"/>
        <v>0</v>
      </c>
    </row>
    <row r="132" spans="1:19" s="161" customFormat="1" ht="15.6" customHeight="1">
      <c r="A132" s="76" t="s">
        <v>324</v>
      </c>
      <c r="B132" s="379"/>
      <c r="C132" s="380"/>
      <c r="D132" s="380"/>
      <c r="E132" s="380"/>
      <c r="F132" s="508">
        <v>1915</v>
      </c>
      <c r="G132" s="210">
        <v>2015</v>
      </c>
      <c r="H132" s="380"/>
      <c r="I132" s="380"/>
      <c r="J132" s="380"/>
      <c r="K132" s="380"/>
      <c r="L132" s="380"/>
      <c r="M132" s="380"/>
      <c r="N132" s="381">
        <f t="shared" si="26"/>
        <v>3930</v>
      </c>
      <c r="O132" s="281">
        <f t="shared" si="27"/>
        <v>0</v>
      </c>
      <c r="P132" s="161" t="s">
        <v>325</v>
      </c>
      <c r="S132" s="283">
        <f t="shared" si="28"/>
        <v>0</v>
      </c>
    </row>
    <row r="133" spans="1:19" s="161" customFormat="1" ht="15.6" customHeight="1">
      <c r="A133" s="76" t="s">
        <v>326</v>
      </c>
      <c r="B133" s="379"/>
      <c r="C133" s="380"/>
      <c r="D133" s="380"/>
      <c r="E133" s="380"/>
      <c r="F133" s="380"/>
      <c r="G133" s="380"/>
      <c r="H133" s="380"/>
      <c r="I133" s="380"/>
      <c r="J133" s="380"/>
      <c r="K133" s="380"/>
      <c r="L133" s="380"/>
      <c r="M133" s="380"/>
      <c r="N133" s="381">
        <f t="shared" si="26"/>
        <v>0</v>
      </c>
      <c r="O133" s="281">
        <f t="shared" si="27"/>
        <v>0</v>
      </c>
      <c r="P133" s="161" t="s">
        <v>327</v>
      </c>
      <c r="S133" s="283">
        <f t="shared" si="28"/>
        <v>0</v>
      </c>
    </row>
    <row r="134" spans="1:19" s="161" customFormat="1" ht="15.6" customHeight="1">
      <c r="A134" s="76" t="s">
        <v>328</v>
      </c>
      <c r="B134" s="379"/>
      <c r="C134" s="380"/>
      <c r="D134" s="211">
        <v>270</v>
      </c>
      <c r="E134" s="211">
        <v>355.02</v>
      </c>
      <c r="F134" s="380"/>
      <c r="G134" s="380"/>
      <c r="H134" s="380"/>
      <c r="I134" s="380"/>
      <c r="J134" s="380"/>
      <c r="K134" s="380"/>
      <c r="L134" s="380"/>
      <c r="M134" s="380"/>
      <c r="N134" s="381">
        <f t="shared" si="26"/>
        <v>625.02</v>
      </c>
      <c r="O134" s="281">
        <f t="shared" si="27"/>
        <v>0</v>
      </c>
      <c r="P134" s="161" t="s">
        <v>329</v>
      </c>
      <c r="S134" s="283">
        <f t="shared" si="28"/>
        <v>0</v>
      </c>
    </row>
    <row r="135" spans="1:19" s="161" customFormat="1" ht="15.6" customHeight="1">
      <c r="A135" s="76" t="s">
        <v>330</v>
      </c>
      <c r="B135" s="379"/>
      <c r="C135" s="380"/>
      <c r="D135" s="210">
        <v>11751.56</v>
      </c>
      <c r="E135" s="210">
        <v>25151.11</v>
      </c>
      <c r="F135" s="508">
        <v>176682.71</v>
      </c>
      <c r="G135" s="210">
        <v>84003.24</v>
      </c>
      <c r="H135" s="380"/>
      <c r="I135" s="380"/>
      <c r="J135" s="380"/>
      <c r="K135" s="380"/>
      <c r="L135" s="380"/>
      <c r="M135" s="380"/>
      <c r="N135" s="381">
        <f t="shared" si="26"/>
        <v>297588.62</v>
      </c>
      <c r="O135" s="281">
        <f t="shared" si="27"/>
        <v>0</v>
      </c>
      <c r="P135" s="161" t="s">
        <v>331</v>
      </c>
      <c r="S135" s="283">
        <f t="shared" si="28"/>
        <v>0</v>
      </c>
    </row>
    <row r="136" spans="1:19" s="161" customFormat="1" ht="15.6" customHeight="1">
      <c r="A136" s="76" t="s">
        <v>332</v>
      </c>
      <c r="B136" s="379"/>
      <c r="C136" s="380"/>
      <c r="D136" s="210">
        <v>3096</v>
      </c>
      <c r="E136" s="380"/>
      <c r="F136" s="509">
        <v>741.56</v>
      </c>
      <c r="G136" s="211">
        <v>280</v>
      </c>
      <c r="H136" s="380"/>
      <c r="I136" s="380"/>
      <c r="J136" s="380"/>
      <c r="K136" s="380"/>
      <c r="L136" s="380"/>
      <c r="M136" s="380"/>
      <c r="N136" s="381">
        <f t="shared" si="26"/>
        <v>4117.5599999999995</v>
      </c>
      <c r="O136" s="281">
        <f t="shared" si="27"/>
        <v>0</v>
      </c>
      <c r="P136" s="161" t="s">
        <v>333</v>
      </c>
      <c r="S136" s="283">
        <f t="shared" si="28"/>
        <v>0</v>
      </c>
    </row>
    <row r="137" spans="1:19" s="161" customFormat="1" ht="15.6" customHeight="1">
      <c r="A137" s="76" t="s">
        <v>334</v>
      </c>
      <c r="B137" s="379"/>
      <c r="C137" s="380"/>
      <c r="D137" s="380"/>
      <c r="E137" s="380"/>
      <c r="F137" s="380"/>
      <c r="G137" s="380"/>
      <c r="H137" s="380"/>
      <c r="I137" s="380"/>
      <c r="J137" s="380"/>
      <c r="K137" s="380"/>
      <c r="L137" s="380"/>
      <c r="M137" s="380"/>
      <c r="N137" s="381">
        <f t="shared" si="26"/>
        <v>0</v>
      </c>
      <c r="O137" s="281">
        <f t="shared" si="27"/>
        <v>0</v>
      </c>
      <c r="P137" s="161" t="s">
        <v>335</v>
      </c>
      <c r="S137" s="283">
        <f t="shared" si="28"/>
        <v>0</v>
      </c>
    </row>
    <row r="138" spans="1:19" s="161" customFormat="1" ht="15.6" customHeight="1">
      <c r="A138" s="76" t="s">
        <v>336</v>
      </c>
      <c r="B138" s="379"/>
      <c r="C138" s="380"/>
      <c r="D138" s="380"/>
      <c r="E138" s="380"/>
      <c r="F138" s="380"/>
      <c r="G138" s="380"/>
      <c r="H138" s="380"/>
      <c r="I138" s="380"/>
      <c r="J138" s="380"/>
      <c r="K138" s="380"/>
      <c r="L138" s="380"/>
      <c r="M138" s="380"/>
      <c r="N138" s="381">
        <f t="shared" si="26"/>
        <v>0</v>
      </c>
      <c r="O138" s="281">
        <f t="shared" si="27"/>
        <v>0</v>
      </c>
      <c r="P138" s="161" t="s">
        <v>337</v>
      </c>
      <c r="S138" s="283">
        <f t="shared" si="28"/>
        <v>0</v>
      </c>
    </row>
    <row r="139" spans="1:19" s="163" customFormat="1" ht="15.6" customHeight="1">
      <c r="A139" s="77" t="s">
        <v>338</v>
      </c>
      <c r="B139" s="379"/>
      <c r="C139" s="380"/>
      <c r="D139" s="380"/>
      <c r="E139" s="380"/>
      <c r="F139" s="508">
        <v>45000</v>
      </c>
      <c r="G139" s="380"/>
      <c r="H139" s="380"/>
      <c r="I139" s="380"/>
      <c r="J139" s="380"/>
      <c r="K139" s="380"/>
      <c r="L139" s="380"/>
      <c r="M139" s="380"/>
      <c r="N139" s="385">
        <f t="shared" si="26"/>
        <v>45000</v>
      </c>
      <c r="O139" s="286">
        <f t="shared" si="27"/>
        <v>0</v>
      </c>
      <c r="P139" s="163" t="s">
        <v>339</v>
      </c>
      <c r="S139" s="287">
        <f t="shared" si="28"/>
        <v>0</v>
      </c>
    </row>
    <row r="140" spans="1:19" s="161" customFormat="1" ht="15.6" customHeight="1">
      <c r="A140" s="76" t="s">
        <v>340</v>
      </c>
      <c r="B140" s="379"/>
      <c r="C140" s="380"/>
      <c r="D140" s="380"/>
      <c r="E140" s="211">
        <v>500</v>
      </c>
      <c r="F140" s="508">
        <v>7200</v>
      </c>
      <c r="G140" s="380"/>
      <c r="H140" s="380"/>
      <c r="I140" s="380"/>
      <c r="J140" s="380"/>
      <c r="K140" s="380"/>
      <c r="L140" s="380"/>
      <c r="M140" s="380"/>
      <c r="N140" s="381">
        <f t="shared" si="26"/>
        <v>7700</v>
      </c>
      <c r="O140" s="281">
        <f t="shared" si="27"/>
        <v>0</v>
      </c>
      <c r="P140" s="161" t="s">
        <v>341</v>
      </c>
      <c r="S140" s="283">
        <f t="shared" si="28"/>
        <v>0</v>
      </c>
    </row>
    <row r="141" spans="1:19" s="161" customFormat="1" ht="15.6" customHeight="1">
      <c r="A141" s="76" t="s">
        <v>342</v>
      </c>
      <c r="B141" s="379"/>
      <c r="C141" s="380"/>
      <c r="D141" s="380"/>
      <c r="E141" s="210">
        <v>100000</v>
      </c>
      <c r="F141" s="508">
        <v>125414.39999999999</v>
      </c>
      <c r="G141" s="210">
        <v>137766.94</v>
      </c>
      <c r="H141" s="380"/>
      <c r="I141" s="380"/>
      <c r="J141" s="380"/>
      <c r="K141" s="380"/>
      <c r="L141" s="380"/>
      <c r="M141" s="380"/>
      <c r="N141" s="381">
        <f t="shared" si="26"/>
        <v>363181.33999999997</v>
      </c>
      <c r="O141" s="281">
        <f t="shared" si="27"/>
        <v>0</v>
      </c>
      <c r="P141" s="161" t="s">
        <v>343</v>
      </c>
      <c r="S141" s="283">
        <f t="shared" si="28"/>
        <v>0</v>
      </c>
    </row>
    <row r="142" spans="1:19" s="161" customFormat="1" ht="15.6" customHeight="1">
      <c r="A142" s="76" t="s">
        <v>344</v>
      </c>
      <c r="B142" s="379"/>
      <c r="C142" s="380"/>
      <c r="D142" s="380"/>
      <c r="E142" s="211">
        <v>835</v>
      </c>
      <c r="F142" s="508">
        <v>4784.03</v>
      </c>
      <c r="G142" s="210">
        <v>13329</v>
      </c>
      <c r="H142" s="380"/>
      <c r="I142" s="380"/>
      <c r="J142" s="380"/>
      <c r="K142" s="380"/>
      <c r="L142" s="380"/>
      <c r="M142" s="380"/>
      <c r="N142" s="381">
        <f t="shared" si="26"/>
        <v>18948.03</v>
      </c>
      <c r="O142" s="281">
        <f t="shared" si="27"/>
        <v>0</v>
      </c>
      <c r="P142" s="161" t="s">
        <v>345</v>
      </c>
      <c r="S142" s="283">
        <f t="shared" si="28"/>
        <v>0</v>
      </c>
    </row>
    <row r="143" spans="1:19" s="161" customFormat="1" ht="15.6" customHeight="1">
      <c r="A143" s="76" t="s">
        <v>346</v>
      </c>
      <c r="B143" s="379"/>
      <c r="C143" s="380"/>
      <c r="D143" s="380"/>
      <c r="E143" s="380"/>
      <c r="F143" s="380"/>
      <c r="G143" s="380"/>
      <c r="H143" s="380"/>
      <c r="I143" s="380"/>
      <c r="J143" s="380"/>
      <c r="K143" s="380"/>
      <c r="L143" s="380"/>
      <c r="M143" s="380"/>
      <c r="N143" s="381">
        <f t="shared" si="26"/>
        <v>0</v>
      </c>
      <c r="O143" s="281">
        <f t="shared" si="27"/>
        <v>0</v>
      </c>
      <c r="P143" s="161" t="s">
        <v>347</v>
      </c>
      <c r="S143" s="283">
        <f t="shared" si="28"/>
        <v>0</v>
      </c>
    </row>
    <row r="144" spans="1:19" s="161" customFormat="1" ht="15.6" customHeight="1">
      <c r="A144" s="76" t="s">
        <v>348</v>
      </c>
      <c r="B144" s="379"/>
      <c r="C144" s="380"/>
      <c r="D144" s="210">
        <v>2450.4</v>
      </c>
      <c r="E144" s="210">
        <v>45044.07</v>
      </c>
      <c r="F144" s="508">
        <v>119549.67</v>
      </c>
      <c r="G144" s="210">
        <v>66840.47</v>
      </c>
      <c r="H144" s="380"/>
      <c r="I144" s="380"/>
      <c r="J144" s="380"/>
      <c r="K144" s="380"/>
      <c r="L144" s="380"/>
      <c r="M144" s="380"/>
      <c r="N144" s="381">
        <f t="shared" si="26"/>
        <v>233884.61000000002</v>
      </c>
      <c r="O144" s="281">
        <f t="shared" si="27"/>
        <v>0</v>
      </c>
      <c r="P144" s="161" t="s">
        <v>349</v>
      </c>
      <c r="S144" s="283">
        <f t="shared" si="28"/>
        <v>0</v>
      </c>
    </row>
    <row r="145" spans="1:19" s="161" customFormat="1" ht="15.6" customHeight="1">
      <c r="A145" s="76" t="s">
        <v>350</v>
      </c>
      <c r="B145" s="379"/>
      <c r="C145" s="380"/>
      <c r="D145" s="380"/>
      <c r="E145" s="380"/>
      <c r="F145" s="380"/>
      <c r="G145" s="380"/>
      <c r="H145" s="380"/>
      <c r="I145" s="380"/>
      <c r="J145" s="380"/>
      <c r="K145" s="380"/>
      <c r="L145" s="380"/>
      <c r="M145" s="380"/>
      <c r="N145" s="381">
        <f t="shared" si="26"/>
        <v>0</v>
      </c>
      <c r="O145" s="281">
        <f t="shared" si="27"/>
        <v>0</v>
      </c>
      <c r="P145" s="161" t="s">
        <v>351</v>
      </c>
      <c r="S145" s="283">
        <f t="shared" si="28"/>
        <v>0</v>
      </c>
    </row>
    <row r="146" spans="1:19" s="161" customFormat="1" ht="15.6" customHeight="1">
      <c r="A146" s="76" t="s">
        <v>352</v>
      </c>
      <c r="B146" s="379"/>
      <c r="C146" s="380"/>
      <c r="D146" s="210">
        <v>1218</v>
      </c>
      <c r="E146" s="210">
        <v>6886.9</v>
      </c>
      <c r="F146" s="508">
        <v>23638</v>
      </c>
      <c r="G146" s="210">
        <v>1906</v>
      </c>
      <c r="H146" s="380"/>
      <c r="I146" s="380"/>
      <c r="J146" s="380"/>
      <c r="K146" s="380"/>
      <c r="L146" s="380"/>
      <c r="M146" s="380"/>
      <c r="N146" s="381">
        <f t="shared" si="26"/>
        <v>33648.9</v>
      </c>
      <c r="O146" s="281">
        <f t="shared" si="27"/>
        <v>0</v>
      </c>
      <c r="P146" s="161" t="s">
        <v>353</v>
      </c>
      <c r="S146" s="283">
        <f t="shared" si="28"/>
        <v>0</v>
      </c>
    </row>
    <row r="147" spans="1:19" ht="16.149999999999999" customHeight="1">
      <c r="A147" s="42" t="s">
        <v>354</v>
      </c>
      <c r="B147" s="377">
        <f t="shared" ref="B147:N147" si="29">SUM(B148:B153)</f>
        <v>0</v>
      </c>
      <c r="C147" s="377">
        <f t="shared" si="29"/>
        <v>0</v>
      </c>
      <c r="D147" s="377">
        <f t="shared" si="29"/>
        <v>1041.78</v>
      </c>
      <c r="E147" s="377">
        <f t="shared" si="29"/>
        <v>7869.9</v>
      </c>
      <c r="F147" s="377">
        <f t="shared" si="29"/>
        <v>28598.85</v>
      </c>
      <c r="G147" s="377">
        <f t="shared" si="29"/>
        <v>-7340</v>
      </c>
      <c r="H147" s="377">
        <f t="shared" si="29"/>
        <v>0</v>
      </c>
      <c r="I147" s="377">
        <f t="shared" si="29"/>
        <v>0</v>
      </c>
      <c r="J147" s="377">
        <f t="shared" si="29"/>
        <v>0</v>
      </c>
      <c r="K147" s="377">
        <f t="shared" si="29"/>
        <v>0</v>
      </c>
      <c r="L147" s="377">
        <f t="shared" si="29"/>
        <v>0</v>
      </c>
      <c r="M147" s="377">
        <f t="shared" si="29"/>
        <v>0</v>
      </c>
      <c r="N147" s="378">
        <f t="shared" si="29"/>
        <v>30170.53</v>
      </c>
      <c r="O147" s="281">
        <f t="shared" si="27"/>
        <v>0</v>
      </c>
      <c r="P147" s="157" t="s">
        <v>355</v>
      </c>
      <c r="S147" s="282">
        <f t="shared" si="28"/>
        <v>0</v>
      </c>
    </row>
    <row r="148" spans="1:19" s="161" customFormat="1" ht="15.6" customHeight="1">
      <c r="A148" s="78" t="s">
        <v>356</v>
      </c>
      <c r="B148" s="379"/>
      <c r="C148" s="380"/>
      <c r="D148" s="380"/>
      <c r="E148" s="380"/>
      <c r="F148" s="380"/>
      <c r="G148" s="380"/>
      <c r="H148" s="380"/>
      <c r="I148" s="380"/>
      <c r="J148" s="380"/>
      <c r="K148" s="380"/>
      <c r="L148" s="380"/>
      <c r="M148" s="380"/>
      <c r="N148" s="381">
        <f t="shared" ref="N148:N153" si="30">B148+C148+D148+E148+F148+G148+H148+I148+J148+K148+L148+M148</f>
        <v>0</v>
      </c>
      <c r="O148" s="281">
        <f t="shared" si="27"/>
        <v>0</v>
      </c>
      <c r="P148" s="161" t="s">
        <v>357</v>
      </c>
      <c r="S148" s="283">
        <f t="shared" si="28"/>
        <v>0</v>
      </c>
    </row>
    <row r="149" spans="1:19" s="161" customFormat="1" ht="15.6" customHeight="1">
      <c r="A149" s="62" t="s">
        <v>358</v>
      </c>
      <c r="B149" s="379"/>
      <c r="C149" s="380"/>
      <c r="D149" s="380"/>
      <c r="E149" s="380"/>
      <c r="F149" s="380"/>
      <c r="G149" s="380"/>
      <c r="H149" s="380"/>
      <c r="I149" s="380"/>
      <c r="J149" s="380"/>
      <c r="K149" s="380"/>
      <c r="L149" s="380"/>
      <c r="M149" s="380"/>
      <c r="N149" s="381">
        <f t="shared" si="30"/>
        <v>0</v>
      </c>
      <c r="O149" s="281">
        <f t="shared" si="27"/>
        <v>0</v>
      </c>
      <c r="P149" s="161" t="s">
        <v>359</v>
      </c>
      <c r="S149" s="283">
        <f t="shared" si="28"/>
        <v>0</v>
      </c>
    </row>
    <row r="150" spans="1:19" s="161" customFormat="1" ht="15.6" customHeight="1">
      <c r="A150" s="62" t="s">
        <v>360</v>
      </c>
      <c r="B150" s="379"/>
      <c r="C150" s="380"/>
      <c r="D150" s="211">
        <v>244</v>
      </c>
      <c r="E150" s="380"/>
      <c r="F150" s="516">
        <v>8270</v>
      </c>
      <c r="G150" s="219">
        <v>-7340</v>
      </c>
      <c r="H150" s="380"/>
      <c r="I150" s="380"/>
      <c r="J150" s="380"/>
      <c r="K150" s="380"/>
      <c r="L150" s="380"/>
      <c r="M150" s="380"/>
      <c r="N150" s="381">
        <f t="shared" si="30"/>
        <v>1174</v>
      </c>
      <c r="O150" s="281">
        <f t="shared" si="27"/>
        <v>0</v>
      </c>
      <c r="P150" s="161" t="s">
        <v>361</v>
      </c>
      <c r="S150" s="283">
        <f t="shared" si="28"/>
        <v>0</v>
      </c>
    </row>
    <row r="151" spans="1:19" s="161" customFormat="1" ht="15.6" customHeight="1">
      <c r="A151" s="78" t="s">
        <v>362</v>
      </c>
      <c r="B151" s="379"/>
      <c r="C151" s="380"/>
      <c r="D151" s="211">
        <v>797.78</v>
      </c>
      <c r="E151" s="210">
        <v>6629.9</v>
      </c>
      <c r="F151" s="508">
        <v>19990</v>
      </c>
      <c r="G151" s="380"/>
      <c r="H151" s="380"/>
      <c r="I151" s="380"/>
      <c r="J151" s="380"/>
      <c r="K151" s="380"/>
      <c r="L151" s="380"/>
      <c r="M151" s="380"/>
      <c r="N151" s="381">
        <f t="shared" si="30"/>
        <v>27417.68</v>
      </c>
      <c r="O151" s="281">
        <f t="shared" si="27"/>
        <v>0</v>
      </c>
      <c r="P151" s="161" t="s">
        <v>363</v>
      </c>
      <c r="S151" s="283">
        <f t="shared" si="28"/>
        <v>0</v>
      </c>
    </row>
    <row r="152" spans="1:19" s="161" customFormat="1" ht="15.6" customHeight="1">
      <c r="A152" s="78" t="s">
        <v>364</v>
      </c>
      <c r="B152" s="379"/>
      <c r="C152" s="380"/>
      <c r="D152" s="380"/>
      <c r="E152" s="210">
        <v>1240</v>
      </c>
      <c r="F152" s="515">
        <v>338.85</v>
      </c>
      <c r="G152" s="380"/>
      <c r="H152" s="380"/>
      <c r="I152" s="380"/>
      <c r="J152" s="380"/>
      <c r="K152" s="380"/>
      <c r="L152" s="380"/>
      <c r="M152" s="380"/>
      <c r="N152" s="381">
        <f t="shared" si="30"/>
        <v>1578.85</v>
      </c>
      <c r="O152" s="281">
        <f t="shared" si="27"/>
        <v>0</v>
      </c>
      <c r="P152" s="161" t="s">
        <v>365</v>
      </c>
      <c r="S152" s="283">
        <f t="shared" si="28"/>
        <v>0</v>
      </c>
    </row>
    <row r="153" spans="1:19" s="161" customFormat="1" ht="15.6" customHeight="1">
      <c r="A153" s="78" t="s">
        <v>366</v>
      </c>
      <c r="B153" s="379"/>
      <c r="C153" s="380"/>
      <c r="D153" s="380"/>
      <c r="E153" s="380"/>
      <c r="F153" s="512"/>
      <c r="G153" s="380"/>
      <c r="H153" s="380"/>
      <c r="I153" s="380"/>
      <c r="J153" s="380"/>
      <c r="K153" s="380"/>
      <c r="L153" s="380"/>
      <c r="M153" s="380"/>
      <c r="N153" s="381">
        <f t="shared" si="30"/>
        <v>0</v>
      </c>
      <c r="O153" s="281">
        <f t="shared" si="27"/>
        <v>0</v>
      </c>
      <c r="P153" s="161" t="s">
        <v>367</v>
      </c>
      <c r="S153" s="283">
        <f t="shared" si="28"/>
        <v>0</v>
      </c>
    </row>
    <row r="154" spans="1:19" s="161" customFormat="1" ht="15.6" customHeight="1">
      <c r="A154" s="29"/>
      <c r="B154" s="379"/>
      <c r="C154" s="380"/>
      <c r="D154" s="386"/>
      <c r="E154" s="386"/>
      <c r="F154" s="386"/>
      <c r="G154" s="386"/>
      <c r="H154" s="386"/>
      <c r="I154" s="386"/>
      <c r="J154" s="386"/>
      <c r="K154" s="386"/>
      <c r="L154" s="386"/>
      <c r="M154" s="386"/>
      <c r="N154" s="381"/>
      <c r="O154" s="281"/>
      <c r="S154" s="283"/>
    </row>
    <row r="155" spans="1:19" s="162" customFormat="1" ht="18" customHeight="1">
      <c r="A155" s="45" t="s">
        <v>368</v>
      </c>
      <c r="B155" s="387">
        <f t="shared" ref="B155:N155" si="31">SUM(B156:B175)</f>
        <v>0</v>
      </c>
      <c r="C155" s="388">
        <f t="shared" si="31"/>
        <v>0</v>
      </c>
      <c r="D155" s="388">
        <f t="shared" si="31"/>
        <v>26280</v>
      </c>
      <c r="E155" s="388">
        <f t="shared" si="31"/>
        <v>148319.84</v>
      </c>
      <c r="F155" s="388">
        <f t="shared" si="31"/>
        <v>187302</v>
      </c>
      <c r="G155" s="388">
        <f t="shared" si="31"/>
        <v>297405.08999999997</v>
      </c>
      <c r="H155" s="388">
        <f t="shared" si="31"/>
        <v>0</v>
      </c>
      <c r="I155" s="388">
        <f t="shared" si="31"/>
        <v>0</v>
      </c>
      <c r="J155" s="388">
        <f t="shared" si="31"/>
        <v>0</v>
      </c>
      <c r="K155" s="388">
        <f t="shared" si="31"/>
        <v>0</v>
      </c>
      <c r="L155" s="388">
        <f t="shared" si="31"/>
        <v>0</v>
      </c>
      <c r="M155" s="388">
        <f t="shared" si="31"/>
        <v>0</v>
      </c>
      <c r="N155" s="388">
        <f t="shared" si="31"/>
        <v>659306.93000000005</v>
      </c>
      <c r="O155" s="280">
        <f t="shared" ref="O155:O179" si="32">+SUM($B155:$M155)-N155</f>
        <v>0</v>
      </c>
      <c r="P155" s="162" t="s">
        <v>369</v>
      </c>
      <c r="S155" s="290">
        <f t="shared" ref="S155:S179" si="33">H155/1000</f>
        <v>0</v>
      </c>
    </row>
    <row r="156" spans="1:19" s="161" customFormat="1" ht="15.6" customHeight="1">
      <c r="A156" s="62" t="s">
        <v>370</v>
      </c>
      <c r="B156" s="379"/>
      <c r="C156" s="380"/>
      <c r="D156" s="380"/>
      <c r="E156" s="210">
        <v>6493.29</v>
      </c>
      <c r="F156" s="508">
        <v>9580</v>
      </c>
      <c r="G156" s="380"/>
      <c r="H156" s="380"/>
      <c r="I156" s="380"/>
      <c r="J156" s="380"/>
      <c r="K156" s="380"/>
      <c r="L156" s="380"/>
      <c r="M156" s="380"/>
      <c r="N156" s="381">
        <f t="shared" ref="N156:N176" si="34">B156+C156+D156+E156+F156+G156+H156+I156+J156+K156+L156+M156</f>
        <v>16073.29</v>
      </c>
      <c r="O156" s="281">
        <f t="shared" si="32"/>
        <v>0</v>
      </c>
      <c r="P156" s="161" t="s">
        <v>371</v>
      </c>
      <c r="S156" s="284">
        <f t="shared" si="33"/>
        <v>0</v>
      </c>
    </row>
    <row r="157" spans="1:19" s="161" customFormat="1" ht="15.6" customHeight="1">
      <c r="A157" s="62" t="s">
        <v>372</v>
      </c>
      <c r="B157" s="379"/>
      <c r="C157" s="380"/>
      <c r="D157" s="380"/>
      <c r="E157" s="380"/>
      <c r="F157" s="380"/>
      <c r="G157" s="380"/>
      <c r="H157" s="380"/>
      <c r="I157" s="380"/>
      <c r="J157" s="380"/>
      <c r="K157" s="380"/>
      <c r="L157" s="380"/>
      <c r="M157" s="380"/>
      <c r="N157" s="381">
        <f t="shared" si="34"/>
        <v>0</v>
      </c>
      <c r="O157" s="281">
        <f t="shared" si="32"/>
        <v>0</v>
      </c>
      <c r="P157" s="161" t="s">
        <v>373</v>
      </c>
      <c r="S157" s="284">
        <f t="shared" si="33"/>
        <v>0</v>
      </c>
    </row>
    <row r="158" spans="1:19" s="161" customFormat="1" ht="15.6" customHeight="1">
      <c r="A158" s="62" t="s">
        <v>374</v>
      </c>
      <c r="B158" s="379"/>
      <c r="C158" s="380"/>
      <c r="D158" s="380"/>
      <c r="E158" s="380"/>
      <c r="F158" s="380"/>
      <c r="G158" s="380"/>
      <c r="H158" s="380"/>
      <c r="I158" s="380"/>
      <c r="J158" s="380"/>
      <c r="K158" s="380"/>
      <c r="L158" s="380"/>
      <c r="M158" s="380"/>
      <c r="N158" s="381">
        <f t="shared" si="34"/>
        <v>0</v>
      </c>
      <c r="O158" s="281">
        <f t="shared" si="32"/>
        <v>0</v>
      </c>
      <c r="P158" s="161" t="s">
        <v>375</v>
      </c>
      <c r="S158" s="284">
        <f t="shared" si="33"/>
        <v>0</v>
      </c>
    </row>
    <row r="159" spans="1:19" s="161" customFormat="1" ht="15.6" customHeight="1">
      <c r="A159" s="62" t="s">
        <v>376</v>
      </c>
      <c r="B159" s="379"/>
      <c r="C159" s="380"/>
      <c r="D159" s="380"/>
      <c r="E159" s="210">
        <v>32725</v>
      </c>
      <c r="F159" s="508">
        <v>26500</v>
      </c>
      <c r="G159" s="522">
        <v>26500</v>
      </c>
      <c r="H159" s="380"/>
      <c r="I159" s="380"/>
      <c r="J159" s="380"/>
      <c r="K159" s="380"/>
      <c r="L159" s="380"/>
      <c r="M159" s="380"/>
      <c r="N159" s="381">
        <f t="shared" si="34"/>
        <v>85725</v>
      </c>
      <c r="O159" s="281">
        <f t="shared" si="32"/>
        <v>0</v>
      </c>
      <c r="P159" s="161" t="s">
        <v>377</v>
      </c>
      <c r="S159" s="284">
        <f t="shared" si="33"/>
        <v>0</v>
      </c>
    </row>
    <row r="160" spans="1:19" s="161" customFormat="1" ht="15.6" customHeight="1">
      <c r="A160" s="62" t="s">
        <v>378</v>
      </c>
      <c r="B160" s="379"/>
      <c r="C160" s="380"/>
      <c r="D160" s="380"/>
      <c r="E160" s="380"/>
      <c r="F160" s="380"/>
      <c r="G160" s="380"/>
      <c r="H160" s="380"/>
      <c r="I160" s="380"/>
      <c r="J160" s="380"/>
      <c r="K160" s="380"/>
      <c r="L160" s="380"/>
      <c r="M160" s="380"/>
      <c r="N160" s="381">
        <f t="shared" si="34"/>
        <v>0</v>
      </c>
      <c r="O160" s="281">
        <f t="shared" si="32"/>
        <v>0</v>
      </c>
      <c r="P160" s="161" t="s">
        <v>379</v>
      </c>
      <c r="S160" s="284">
        <f t="shared" si="33"/>
        <v>0</v>
      </c>
    </row>
    <row r="161" spans="1:20" s="161" customFormat="1" ht="15.6" customHeight="1">
      <c r="A161" s="62" t="s">
        <v>380</v>
      </c>
      <c r="B161" s="379"/>
      <c r="C161" s="380"/>
      <c r="D161" s="380"/>
      <c r="E161" s="380"/>
      <c r="F161" s="380"/>
      <c r="G161" s="380"/>
      <c r="H161" s="380"/>
      <c r="I161" s="380"/>
      <c r="J161" s="380"/>
      <c r="K161" s="380"/>
      <c r="L161" s="380"/>
      <c r="M161" s="380"/>
      <c r="N161" s="381">
        <f t="shared" si="34"/>
        <v>0</v>
      </c>
      <c r="O161" s="281">
        <f t="shared" si="32"/>
        <v>0</v>
      </c>
      <c r="P161" s="161" t="s">
        <v>381</v>
      </c>
      <c r="S161" s="284">
        <f t="shared" si="33"/>
        <v>0</v>
      </c>
    </row>
    <row r="162" spans="1:20" s="161" customFormat="1" ht="15.6" customHeight="1">
      <c r="A162" s="62" t="s">
        <v>382</v>
      </c>
      <c r="B162" s="379"/>
      <c r="C162" s="380"/>
      <c r="D162" s="380"/>
      <c r="E162" s="380"/>
      <c r="F162" s="380"/>
      <c r="G162" s="210">
        <v>73500</v>
      </c>
      <c r="H162" s="380"/>
      <c r="I162" s="380"/>
      <c r="J162" s="380"/>
      <c r="K162" s="380"/>
      <c r="L162" s="380"/>
      <c r="M162" s="380"/>
      <c r="N162" s="381">
        <f t="shared" si="34"/>
        <v>73500</v>
      </c>
      <c r="O162" s="281">
        <f t="shared" si="32"/>
        <v>0</v>
      </c>
      <c r="P162" s="161" t="s">
        <v>383</v>
      </c>
      <c r="S162" s="284">
        <f t="shared" si="33"/>
        <v>0</v>
      </c>
    </row>
    <row r="163" spans="1:20" s="161" customFormat="1" ht="15.6" customHeight="1">
      <c r="A163" s="62" t="s">
        <v>384</v>
      </c>
      <c r="B163" s="379"/>
      <c r="C163" s="380"/>
      <c r="D163" s="380"/>
      <c r="E163" s="380"/>
      <c r="F163" s="380"/>
      <c r="G163" s="380"/>
      <c r="H163" s="380"/>
      <c r="I163" s="380"/>
      <c r="J163" s="380"/>
      <c r="K163" s="380"/>
      <c r="L163" s="380"/>
      <c r="M163" s="380"/>
      <c r="N163" s="381">
        <f t="shared" si="34"/>
        <v>0</v>
      </c>
      <c r="O163" s="281">
        <f t="shared" si="32"/>
        <v>0</v>
      </c>
      <c r="P163" s="161" t="s">
        <v>385</v>
      </c>
      <c r="S163" s="284">
        <f t="shared" si="33"/>
        <v>0</v>
      </c>
    </row>
    <row r="164" spans="1:20" s="161" customFormat="1" ht="15.6" customHeight="1">
      <c r="A164" s="62" t="s">
        <v>386</v>
      </c>
      <c r="B164" s="379"/>
      <c r="C164" s="380"/>
      <c r="D164" s="380"/>
      <c r="E164" s="380"/>
      <c r="F164" s="380"/>
      <c r="G164" s="380"/>
      <c r="H164" s="380"/>
      <c r="I164" s="380"/>
      <c r="J164" s="380"/>
      <c r="K164" s="380"/>
      <c r="L164" s="380"/>
      <c r="M164" s="380"/>
      <c r="N164" s="381">
        <f t="shared" si="34"/>
        <v>0</v>
      </c>
      <c r="O164" s="281">
        <f t="shared" si="32"/>
        <v>0</v>
      </c>
      <c r="P164" s="161" t="s">
        <v>387</v>
      </c>
      <c r="S164" s="284">
        <f t="shared" si="33"/>
        <v>0</v>
      </c>
    </row>
    <row r="165" spans="1:20" s="161" customFormat="1" ht="15.6" customHeight="1">
      <c r="A165" s="62" t="s">
        <v>388</v>
      </c>
      <c r="B165" s="379"/>
      <c r="C165" s="380"/>
      <c r="D165" s="210">
        <v>25110</v>
      </c>
      <c r="E165" s="210">
        <v>12150</v>
      </c>
      <c r="F165" s="508">
        <v>14850</v>
      </c>
      <c r="G165" s="210">
        <v>11070</v>
      </c>
      <c r="H165" s="380"/>
      <c r="I165" s="380"/>
      <c r="J165" s="380"/>
      <c r="K165" s="380"/>
      <c r="L165" s="380"/>
      <c r="M165" s="380"/>
      <c r="N165" s="381">
        <f t="shared" si="34"/>
        <v>63180</v>
      </c>
      <c r="O165" s="281">
        <f t="shared" si="32"/>
        <v>0</v>
      </c>
      <c r="P165" s="161" t="s">
        <v>389</v>
      </c>
      <c r="S165" s="284">
        <f t="shared" si="33"/>
        <v>0</v>
      </c>
    </row>
    <row r="166" spans="1:20" s="161" customFormat="1" ht="15.6" customHeight="1">
      <c r="A166" s="62" t="s">
        <v>390</v>
      </c>
      <c r="B166" s="379"/>
      <c r="C166" s="380"/>
      <c r="D166" s="380"/>
      <c r="E166" s="380"/>
      <c r="F166" s="380"/>
      <c r="G166" s="380"/>
      <c r="H166" s="380"/>
      <c r="I166" s="380"/>
      <c r="J166" s="380"/>
      <c r="K166" s="380"/>
      <c r="L166" s="380"/>
      <c r="M166" s="380"/>
      <c r="N166" s="381">
        <f t="shared" si="34"/>
        <v>0</v>
      </c>
      <c r="O166" s="281">
        <f t="shared" si="32"/>
        <v>0</v>
      </c>
      <c r="P166" s="161" t="s">
        <v>391</v>
      </c>
      <c r="S166" s="284">
        <f t="shared" si="33"/>
        <v>0</v>
      </c>
    </row>
    <row r="167" spans="1:20" s="161" customFormat="1" ht="15.6" customHeight="1">
      <c r="A167" s="62" t="s">
        <v>392</v>
      </c>
      <c r="B167" s="379"/>
      <c r="C167" s="380"/>
      <c r="D167" s="210">
        <v>1170</v>
      </c>
      <c r="E167" s="210">
        <v>24665.91</v>
      </c>
      <c r="F167" s="508">
        <v>28770</v>
      </c>
      <c r="G167" s="210">
        <v>73900</v>
      </c>
      <c r="H167" s="380"/>
      <c r="I167" s="380"/>
      <c r="J167" s="380"/>
      <c r="K167" s="380"/>
      <c r="L167" s="380"/>
      <c r="M167" s="380"/>
      <c r="N167" s="381">
        <f t="shared" si="34"/>
        <v>128505.91</v>
      </c>
      <c r="O167" s="281">
        <f t="shared" si="32"/>
        <v>0</v>
      </c>
      <c r="P167" s="161" t="s">
        <v>393</v>
      </c>
      <c r="S167" s="284">
        <f t="shared" si="33"/>
        <v>0</v>
      </c>
    </row>
    <row r="168" spans="1:20" s="161" customFormat="1" ht="15.6" customHeight="1">
      <c r="A168" s="62" t="s">
        <v>394</v>
      </c>
      <c r="B168" s="379"/>
      <c r="C168" s="380"/>
      <c r="D168" s="380"/>
      <c r="E168" s="210">
        <v>27960</v>
      </c>
      <c r="F168" s="509">
        <v>748.5</v>
      </c>
      <c r="G168" s="210">
        <v>16585</v>
      </c>
      <c r="H168" s="380"/>
      <c r="I168" s="380"/>
      <c r="J168" s="380"/>
      <c r="K168" s="380"/>
      <c r="L168" s="380"/>
      <c r="M168" s="380"/>
      <c r="N168" s="381">
        <f t="shared" si="34"/>
        <v>45293.5</v>
      </c>
      <c r="O168" s="281">
        <f t="shared" si="32"/>
        <v>0</v>
      </c>
      <c r="P168" s="161" t="s">
        <v>395</v>
      </c>
      <c r="S168" s="284">
        <f t="shared" si="33"/>
        <v>0</v>
      </c>
    </row>
    <row r="169" spans="1:20" s="161" customFormat="1" ht="15.6" customHeight="1">
      <c r="A169" s="62" t="s">
        <v>396</v>
      </c>
      <c r="B169" s="379"/>
      <c r="C169" s="380"/>
      <c r="D169" s="380"/>
      <c r="E169" s="210">
        <v>44325.64</v>
      </c>
      <c r="F169" s="508">
        <v>72753.5</v>
      </c>
      <c r="G169" s="210">
        <v>27855.09</v>
      </c>
      <c r="H169" s="380"/>
      <c r="I169" s="380"/>
      <c r="J169" s="380"/>
      <c r="K169" s="380"/>
      <c r="L169" s="380"/>
      <c r="M169" s="380"/>
      <c r="N169" s="381">
        <f t="shared" si="34"/>
        <v>144934.23000000001</v>
      </c>
      <c r="O169" s="281">
        <f t="shared" si="32"/>
        <v>0</v>
      </c>
      <c r="P169" s="161" t="s">
        <v>397</v>
      </c>
      <c r="S169" s="284">
        <f t="shared" si="33"/>
        <v>0</v>
      </c>
    </row>
    <row r="170" spans="1:20" s="161" customFormat="1" ht="15.6" customHeight="1">
      <c r="A170" s="62" t="s">
        <v>398</v>
      </c>
      <c r="B170" s="379"/>
      <c r="C170" s="380"/>
      <c r="D170" s="380"/>
      <c r="E170" s="380"/>
      <c r="F170" s="380"/>
      <c r="G170" s="380"/>
      <c r="H170" s="380"/>
      <c r="I170" s="380"/>
      <c r="J170" s="380"/>
      <c r="K170" s="380"/>
      <c r="L170" s="380"/>
      <c r="M170" s="380"/>
      <c r="N170" s="381">
        <f t="shared" si="34"/>
        <v>0</v>
      </c>
      <c r="O170" s="281">
        <f t="shared" si="32"/>
        <v>0</v>
      </c>
      <c r="P170" s="161" t="s">
        <v>399</v>
      </c>
      <c r="S170" s="284">
        <f t="shared" si="33"/>
        <v>0</v>
      </c>
    </row>
    <row r="171" spans="1:20" s="161" customFormat="1" ht="15.6" customHeight="1">
      <c r="A171" s="62" t="s">
        <v>400</v>
      </c>
      <c r="B171" s="379"/>
      <c r="C171" s="380"/>
      <c r="D171" s="380"/>
      <c r="E171" s="380"/>
      <c r="F171" s="380"/>
      <c r="G171" s="210">
        <v>25595</v>
      </c>
      <c r="H171" s="380"/>
      <c r="I171" s="380"/>
      <c r="J171" s="380"/>
      <c r="K171" s="380"/>
      <c r="L171" s="380"/>
      <c r="M171" s="380"/>
      <c r="N171" s="381">
        <f t="shared" si="34"/>
        <v>25595</v>
      </c>
      <c r="O171" s="281">
        <f t="shared" si="32"/>
        <v>0</v>
      </c>
      <c r="P171" s="161" t="s">
        <v>401</v>
      </c>
      <c r="S171" s="284">
        <f t="shared" si="33"/>
        <v>0</v>
      </c>
    </row>
    <row r="172" spans="1:20" s="161" customFormat="1" ht="15.6" customHeight="1">
      <c r="A172" s="62" t="s">
        <v>402</v>
      </c>
      <c r="B172" s="379"/>
      <c r="C172" s="380"/>
      <c r="D172" s="380"/>
      <c r="E172" s="380"/>
      <c r="F172" s="380"/>
      <c r="G172" s="380"/>
      <c r="H172" s="380"/>
      <c r="I172" s="380"/>
      <c r="J172" s="380"/>
      <c r="K172" s="380"/>
      <c r="L172" s="380"/>
      <c r="M172" s="380"/>
      <c r="N172" s="381">
        <f t="shared" si="34"/>
        <v>0</v>
      </c>
      <c r="O172" s="281">
        <f t="shared" si="32"/>
        <v>0</v>
      </c>
      <c r="P172" s="161" t="s">
        <v>403</v>
      </c>
      <c r="S172" s="284">
        <f t="shared" si="33"/>
        <v>0</v>
      </c>
    </row>
    <row r="173" spans="1:20" s="161" customFormat="1" ht="15.6" customHeight="1">
      <c r="A173" s="62" t="s">
        <v>404</v>
      </c>
      <c r="B173" s="379"/>
      <c r="C173" s="380"/>
      <c r="D173" s="380"/>
      <c r="E173" s="380"/>
      <c r="F173" s="380"/>
      <c r="G173" s="380"/>
      <c r="H173" s="380"/>
      <c r="I173" s="380"/>
      <c r="J173" s="380"/>
      <c r="K173" s="380"/>
      <c r="L173" s="380"/>
      <c r="M173" s="380"/>
      <c r="N173" s="381">
        <f t="shared" si="34"/>
        <v>0</v>
      </c>
      <c r="O173" s="281">
        <f t="shared" si="32"/>
        <v>0</v>
      </c>
      <c r="P173" s="161" t="s">
        <v>405</v>
      </c>
      <c r="S173" s="284">
        <f t="shared" si="33"/>
        <v>0</v>
      </c>
    </row>
    <row r="174" spans="1:20" s="161" customFormat="1" ht="15.6" customHeight="1">
      <c r="A174" s="62" t="s">
        <v>406</v>
      </c>
      <c r="B174" s="379"/>
      <c r="C174" s="380"/>
      <c r="D174" s="380"/>
      <c r="E174" s="380"/>
      <c r="F174" s="508">
        <v>34100</v>
      </c>
      <c r="G174" s="210">
        <v>42400</v>
      </c>
      <c r="H174" s="380"/>
      <c r="I174" s="380"/>
      <c r="J174" s="380"/>
      <c r="K174" s="380"/>
      <c r="L174" s="380"/>
      <c r="M174" s="380"/>
      <c r="N174" s="381">
        <f t="shared" si="34"/>
        <v>76500</v>
      </c>
      <c r="O174" s="281">
        <f t="shared" si="32"/>
        <v>0</v>
      </c>
      <c r="P174" s="161" t="s">
        <v>407</v>
      </c>
      <c r="S174" s="284">
        <f t="shared" si="33"/>
        <v>0</v>
      </c>
    </row>
    <row r="175" spans="1:20" s="161" customFormat="1" ht="15.6" customHeight="1">
      <c r="A175" s="62" t="s">
        <v>408</v>
      </c>
      <c r="B175" s="379"/>
      <c r="C175" s="380"/>
      <c r="D175" s="380"/>
      <c r="E175" s="380"/>
      <c r="F175" s="380"/>
      <c r="G175" s="380"/>
      <c r="H175" s="380"/>
      <c r="I175" s="380"/>
      <c r="J175" s="380"/>
      <c r="K175" s="380"/>
      <c r="L175" s="380"/>
      <c r="M175" s="380"/>
      <c r="N175" s="381">
        <f t="shared" si="34"/>
        <v>0</v>
      </c>
      <c r="O175" s="281">
        <f t="shared" si="32"/>
        <v>0</v>
      </c>
      <c r="P175" s="161" t="s">
        <v>409</v>
      </c>
      <c r="S175" s="284">
        <f t="shared" si="33"/>
        <v>0</v>
      </c>
    </row>
    <row r="176" spans="1:20" s="123" customFormat="1" ht="18" customHeight="1">
      <c r="A176" s="169" t="s">
        <v>410</v>
      </c>
      <c r="B176" s="389"/>
      <c r="C176" s="390"/>
      <c r="D176" s="221">
        <v>576436.43999999994</v>
      </c>
      <c r="E176" s="221">
        <v>1349074.56</v>
      </c>
      <c r="F176" s="221">
        <f>1537406.55-319</f>
        <v>1537087.55</v>
      </c>
      <c r="G176" s="221">
        <v>1234399.1499999999</v>
      </c>
      <c r="H176" s="391"/>
      <c r="I176" s="391"/>
      <c r="J176" s="391"/>
      <c r="K176" s="392"/>
      <c r="L176" s="392"/>
      <c r="M176" s="392"/>
      <c r="N176" s="392">
        <f t="shared" si="34"/>
        <v>4696997.6999999993</v>
      </c>
      <c r="O176" s="280">
        <f t="shared" si="32"/>
        <v>0</v>
      </c>
      <c r="P176" s="123" t="s">
        <v>411</v>
      </c>
      <c r="Q176" s="46"/>
      <c r="R176" s="46"/>
      <c r="S176" s="291">
        <f t="shared" si="33"/>
        <v>0</v>
      </c>
      <c r="T176" s="46"/>
    </row>
    <row r="177" spans="1:20">
      <c r="O177" s="281">
        <f t="shared" si="32"/>
        <v>0</v>
      </c>
      <c r="S177" s="278">
        <f t="shared" si="33"/>
        <v>0</v>
      </c>
    </row>
    <row r="178" spans="1:20" s="170" customFormat="1" ht="18" customHeight="1">
      <c r="A178" s="171" t="s">
        <v>412</v>
      </c>
      <c r="B178" s="393">
        <f t="shared" ref="B178:N178" si="35">+B2+B30+B43+B53+B155+B176</f>
        <v>0</v>
      </c>
      <c r="C178" s="393">
        <f t="shared" si="35"/>
        <v>0</v>
      </c>
      <c r="D178" s="393">
        <f t="shared" si="35"/>
        <v>2581371.92</v>
      </c>
      <c r="E178" s="393">
        <f t="shared" si="35"/>
        <v>7143424.6899999995</v>
      </c>
      <c r="F178" s="393">
        <f t="shared" si="35"/>
        <v>8247988.7399999993</v>
      </c>
      <c r="G178" s="393">
        <f t="shared" si="35"/>
        <v>7678827.1499999985</v>
      </c>
      <c r="H178" s="393">
        <f t="shared" si="35"/>
        <v>0</v>
      </c>
      <c r="I178" s="393">
        <f t="shared" si="35"/>
        <v>0</v>
      </c>
      <c r="J178" s="393">
        <f t="shared" si="35"/>
        <v>0</v>
      </c>
      <c r="K178" s="393">
        <f t="shared" si="35"/>
        <v>0</v>
      </c>
      <c r="L178" s="393">
        <f t="shared" si="35"/>
        <v>0</v>
      </c>
      <c r="M178" s="393">
        <f t="shared" si="35"/>
        <v>0</v>
      </c>
      <c r="N178" s="393">
        <f t="shared" si="35"/>
        <v>25645612.499999996</v>
      </c>
      <c r="O178" s="281">
        <f t="shared" si="32"/>
        <v>6000</v>
      </c>
      <c r="S178" s="292">
        <f t="shared" si="33"/>
        <v>0</v>
      </c>
    </row>
    <row r="179" spans="1:20" s="162" customFormat="1" ht="18" customHeight="1">
      <c r="A179" s="31"/>
      <c r="B179" s="394"/>
      <c r="C179" s="394"/>
      <c r="D179" s="394"/>
      <c r="E179" s="394"/>
      <c r="F179" s="394"/>
      <c r="G179" s="394"/>
      <c r="H179" s="394"/>
      <c r="I179" s="394"/>
      <c r="J179" s="394"/>
      <c r="K179" s="394"/>
      <c r="L179" s="382"/>
      <c r="M179" s="382"/>
      <c r="N179" s="381"/>
      <c r="O179" s="172">
        <f t="shared" si="32"/>
        <v>0</v>
      </c>
      <c r="S179" s="283">
        <f t="shared" si="33"/>
        <v>0</v>
      </c>
    </row>
    <row r="180" spans="1:20">
      <c r="B180" s="395"/>
      <c r="C180" s="395"/>
      <c r="D180" s="395"/>
      <c r="E180" s="395"/>
      <c r="F180" s="395"/>
      <c r="N180" s="396"/>
    </row>
    <row r="181" spans="1:20" ht="16.149999999999999" customHeight="1">
      <c r="A181" s="26" t="s">
        <v>413</v>
      </c>
      <c r="B181" s="397">
        <f t="shared" ref="B181:N181" si="36">SUM(B182:B186)</f>
        <v>0</v>
      </c>
      <c r="C181" s="397">
        <f t="shared" si="36"/>
        <v>0</v>
      </c>
      <c r="D181" s="397">
        <f t="shared" si="36"/>
        <v>0</v>
      </c>
      <c r="E181" s="397">
        <f t="shared" si="36"/>
        <v>0</v>
      </c>
      <c r="F181" s="397">
        <f t="shared" si="36"/>
        <v>0</v>
      </c>
      <c r="G181" s="397">
        <f t="shared" si="36"/>
        <v>0</v>
      </c>
      <c r="H181" s="397">
        <f t="shared" si="36"/>
        <v>0</v>
      </c>
      <c r="I181" s="397">
        <f t="shared" si="36"/>
        <v>0</v>
      </c>
      <c r="J181" s="397">
        <f t="shared" si="36"/>
        <v>0</v>
      </c>
      <c r="K181" s="397">
        <f t="shared" si="36"/>
        <v>0</v>
      </c>
      <c r="L181" s="397">
        <f t="shared" si="36"/>
        <v>0</v>
      </c>
      <c r="M181" s="397">
        <f t="shared" si="36"/>
        <v>0</v>
      </c>
      <c r="N181" s="397">
        <f t="shared" si="36"/>
        <v>0</v>
      </c>
      <c r="O181" s="281">
        <f t="shared" ref="O181:O195" si="37">+SUM($B181:$M181)-N181</f>
        <v>0</v>
      </c>
      <c r="P181" s="157" t="s">
        <v>414</v>
      </c>
      <c r="S181" s="293">
        <f t="shared" ref="S181:S195" si="38">H181/1000</f>
        <v>0</v>
      </c>
    </row>
    <row r="182" spans="1:20" ht="15.6" customHeight="1">
      <c r="A182" s="62" t="s">
        <v>415</v>
      </c>
      <c r="B182" s="379"/>
      <c r="C182" s="380"/>
      <c r="D182" s="380"/>
      <c r="E182" s="380"/>
      <c r="F182" s="380"/>
      <c r="G182" s="380"/>
      <c r="H182" s="380"/>
      <c r="I182" s="380"/>
      <c r="J182" s="380"/>
      <c r="K182" s="380"/>
      <c r="L182" s="380"/>
      <c r="M182" s="380"/>
      <c r="N182" s="381">
        <f>SUM(B182:M182)</f>
        <v>0</v>
      </c>
      <c r="O182" s="281">
        <f t="shared" si="37"/>
        <v>0</v>
      </c>
      <c r="P182" s="161" t="s">
        <v>416</v>
      </c>
      <c r="Q182" s="161"/>
      <c r="R182" s="161"/>
      <c r="S182" s="283">
        <f t="shared" si="38"/>
        <v>0</v>
      </c>
      <c r="T182" s="173"/>
    </row>
    <row r="183" spans="1:20" ht="15.6" customHeight="1">
      <c r="A183" s="62" t="s">
        <v>413</v>
      </c>
      <c r="B183" s="379"/>
      <c r="C183" s="380"/>
      <c r="D183" s="380"/>
      <c r="E183" s="380"/>
      <c r="F183" s="380"/>
      <c r="G183" s="380"/>
      <c r="H183" s="380"/>
      <c r="I183" s="380"/>
      <c r="J183" s="380"/>
      <c r="K183" s="380"/>
      <c r="L183" s="380"/>
      <c r="M183" s="380"/>
      <c r="N183" s="381">
        <f>SUM(B183:M183)</f>
        <v>0</v>
      </c>
      <c r="O183" s="281">
        <f t="shared" si="37"/>
        <v>0</v>
      </c>
      <c r="P183" s="161" t="s">
        <v>417</v>
      </c>
      <c r="Q183" s="161"/>
      <c r="R183" s="161"/>
      <c r="S183" s="283">
        <f t="shared" si="38"/>
        <v>0</v>
      </c>
    </row>
    <row r="184" spans="1:20" ht="15.6" customHeight="1">
      <c r="A184" s="62" t="s">
        <v>418</v>
      </c>
      <c r="B184" s="379"/>
      <c r="C184" s="380"/>
      <c r="D184" s="380"/>
      <c r="E184" s="380"/>
      <c r="F184" s="380"/>
      <c r="G184" s="380"/>
      <c r="H184" s="380"/>
      <c r="I184" s="380"/>
      <c r="J184" s="380"/>
      <c r="K184" s="380"/>
      <c r="L184" s="380"/>
      <c r="M184" s="380"/>
      <c r="N184" s="381">
        <f>SUM(B184:M184)</f>
        <v>0</v>
      </c>
      <c r="O184" s="281">
        <f t="shared" si="37"/>
        <v>0</v>
      </c>
      <c r="P184" s="161" t="s">
        <v>419</v>
      </c>
      <c r="Q184" s="161"/>
      <c r="R184" s="161"/>
      <c r="S184" s="283">
        <f t="shared" si="38"/>
        <v>0</v>
      </c>
    </row>
    <row r="185" spans="1:20" ht="15.6" customHeight="1">
      <c r="A185" s="62" t="s">
        <v>420</v>
      </c>
      <c r="B185" s="379"/>
      <c r="C185" s="380"/>
      <c r="D185" s="380"/>
      <c r="E185" s="380"/>
      <c r="F185" s="380"/>
      <c r="G185" s="380"/>
      <c r="H185" s="380"/>
      <c r="I185" s="380"/>
      <c r="J185" s="380"/>
      <c r="K185" s="380"/>
      <c r="L185" s="380"/>
      <c r="M185" s="380"/>
      <c r="N185" s="381">
        <f>SUM(B185:M185)</f>
        <v>0</v>
      </c>
      <c r="O185" s="281">
        <f t="shared" si="37"/>
        <v>0</v>
      </c>
      <c r="P185" s="161" t="s">
        <v>421</v>
      </c>
      <c r="Q185" s="161"/>
      <c r="R185" s="161"/>
      <c r="S185" s="283">
        <f t="shared" si="38"/>
        <v>0</v>
      </c>
    </row>
    <row r="186" spans="1:20" ht="15.6" customHeight="1">
      <c r="A186" s="62" t="s">
        <v>422</v>
      </c>
      <c r="B186" s="379"/>
      <c r="C186" s="380"/>
      <c r="D186" s="380"/>
      <c r="E186" s="380"/>
      <c r="F186" s="380"/>
      <c r="G186" s="380"/>
      <c r="H186" s="380"/>
      <c r="I186" s="380"/>
      <c r="J186" s="380"/>
      <c r="K186" s="380"/>
      <c r="L186" s="380"/>
      <c r="M186" s="380"/>
      <c r="N186" s="381">
        <f>SUM(B186:M186)</f>
        <v>0</v>
      </c>
      <c r="O186" s="281">
        <f t="shared" si="37"/>
        <v>0</v>
      </c>
      <c r="P186" s="161" t="s">
        <v>423</v>
      </c>
      <c r="Q186" s="161"/>
      <c r="R186" s="161"/>
      <c r="S186" s="283">
        <f t="shared" si="38"/>
        <v>0</v>
      </c>
    </row>
    <row r="187" spans="1:20" ht="16.149999999999999" customHeight="1">
      <c r="A187" s="26" t="s">
        <v>424</v>
      </c>
      <c r="B187" s="398">
        <f t="shared" ref="B187:N187" si="39">SUM(B189:B190)</f>
        <v>0</v>
      </c>
      <c r="C187" s="397">
        <f t="shared" si="39"/>
        <v>0</v>
      </c>
      <c r="D187" s="397">
        <f t="shared" si="39"/>
        <v>0</v>
      </c>
      <c r="E187" s="397">
        <f t="shared" si="39"/>
        <v>0</v>
      </c>
      <c r="F187" s="397">
        <f t="shared" si="39"/>
        <v>0</v>
      </c>
      <c r="G187" s="397">
        <f t="shared" si="39"/>
        <v>0</v>
      </c>
      <c r="H187" s="397">
        <f t="shared" si="39"/>
        <v>0</v>
      </c>
      <c r="I187" s="397">
        <f t="shared" si="39"/>
        <v>0</v>
      </c>
      <c r="J187" s="397">
        <f t="shared" si="39"/>
        <v>0</v>
      </c>
      <c r="K187" s="397">
        <f t="shared" si="39"/>
        <v>0</v>
      </c>
      <c r="L187" s="397">
        <f t="shared" si="39"/>
        <v>0</v>
      </c>
      <c r="M187" s="397">
        <f t="shared" si="39"/>
        <v>0</v>
      </c>
      <c r="N187" s="397">
        <f t="shared" si="39"/>
        <v>0</v>
      </c>
      <c r="O187" s="281">
        <f t="shared" si="37"/>
        <v>0</v>
      </c>
      <c r="P187" s="161" t="s">
        <v>425</v>
      </c>
      <c r="Q187" s="161"/>
      <c r="R187" s="161"/>
      <c r="S187" s="293">
        <f t="shared" si="38"/>
        <v>0</v>
      </c>
    </row>
    <row r="188" spans="1:20" ht="15.6" customHeight="1">
      <c r="A188" s="79" t="s">
        <v>426</v>
      </c>
      <c r="B188" s="379"/>
      <c r="C188" s="380"/>
      <c r="D188" s="380"/>
      <c r="E188" s="380"/>
      <c r="F188" s="380"/>
      <c r="G188" s="380"/>
      <c r="H188" s="380"/>
      <c r="I188" s="380"/>
      <c r="J188" s="380"/>
      <c r="K188" s="380"/>
      <c r="L188" s="380"/>
      <c r="M188" s="380"/>
      <c r="N188" s="381">
        <f>SUM(B188:M188)</f>
        <v>0</v>
      </c>
      <c r="O188" s="281">
        <f t="shared" si="37"/>
        <v>0</v>
      </c>
      <c r="P188" s="157" t="s">
        <v>427</v>
      </c>
      <c r="Q188" s="161"/>
      <c r="R188" s="161"/>
      <c r="S188" s="283">
        <f t="shared" si="38"/>
        <v>0</v>
      </c>
    </row>
    <row r="189" spans="1:20" ht="15.6" customHeight="1">
      <c r="A189" s="79" t="s">
        <v>428</v>
      </c>
      <c r="B189" s="379"/>
      <c r="C189" s="380"/>
      <c r="D189" s="380"/>
      <c r="E189" s="380"/>
      <c r="F189" s="380"/>
      <c r="G189" s="380"/>
      <c r="H189" s="380"/>
      <c r="I189" s="380"/>
      <c r="J189" s="380"/>
      <c r="K189" s="380"/>
      <c r="L189" s="380"/>
      <c r="M189" s="380"/>
      <c r="N189" s="381">
        <f>SUM(B189:M189)</f>
        <v>0</v>
      </c>
      <c r="O189" s="281">
        <f t="shared" si="37"/>
        <v>0</v>
      </c>
      <c r="P189" s="161" t="s">
        <v>429</v>
      </c>
      <c r="Q189" s="161"/>
      <c r="R189" s="161"/>
      <c r="S189" s="283">
        <f t="shared" si="38"/>
        <v>0</v>
      </c>
    </row>
    <row r="190" spans="1:20" ht="15.6" customHeight="1">
      <c r="A190" s="79" t="s">
        <v>430</v>
      </c>
      <c r="B190" s="379"/>
      <c r="C190" s="380"/>
      <c r="D190" s="380"/>
      <c r="E190" s="380"/>
      <c r="F190" s="380"/>
      <c r="G190" s="380"/>
      <c r="H190" s="380"/>
      <c r="I190" s="380"/>
      <c r="J190" s="380"/>
      <c r="K190" s="380"/>
      <c r="L190" s="380"/>
      <c r="M190" s="380"/>
      <c r="N190" s="381">
        <f>SUM(B190:M190)</f>
        <v>0</v>
      </c>
      <c r="O190" s="281">
        <f t="shared" si="37"/>
        <v>0</v>
      </c>
      <c r="P190" s="161" t="s">
        <v>431</v>
      </c>
      <c r="Q190" s="161"/>
      <c r="R190" s="161"/>
      <c r="S190" s="283">
        <f t="shared" si="38"/>
        <v>0</v>
      </c>
    </row>
    <row r="191" spans="1:20" ht="16.149999999999999" customHeight="1">
      <c r="A191" s="26" t="s">
        <v>432</v>
      </c>
      <c r="B191" s="398">
        <f t="shared" ref="B191:N191" si="40">SUM(B192:B195)</f>
        <v>0</v>
      </c>
      <c r="C191" s="398">
        <f t="shared" si="40"/>
        <v>0</v>
      </c>
      <c r="D191" s="398">
        <f t="shared" si="40"/>
        <v>0</v>
      </c>
      <c r="E191" s="398">
        <f t="shared" si="40"/>
        <v>0</v>
      </c>
      <c r="F191" s="398">
        <f t="shared" si="40"/>
        <v>0</v>
      </c>
      <c r="G191" s="398">
        <f t="shared" si="40"/>
        <v>0</v>
      </c>
      <c r="H191" s="398">
        <f t="shared" si="40"/>
        <v>0</v>
      </c>
      <c r="I191" s="398">
        <f t="shared" si="40"/>
        <v>0</v>
      </c>
      <c r="J191" s="398">
        <f t="shared" si="40"/>
        <v>0</v>
      </c>
      <c r="K191" s="398">
        <f t="shared" si="40"/>
        <v>0</v>
      </c>
      <c r="L191" s="398">
        <f t="shared" si="40"/>
        <v>0</v>
      </c>
      <c r="M191" s="398">
        <f t="shared" si="40"/>
        <v>0</v>
      </c>
      <c r="N191" s="398">
        <f t="shared" si="40"/>
        <v>0</v>
      </c>
      <c r="O191" s="281">
        <f t="shared" si="37"/>
        <v>0</v>
      </c>
      <c r="P191" s="161" t="s">
        <v>433</v>
      </c>
      <c r="Q191" s="161"/>
      <c r="R191" s="161"/>
      <c r="S191" s="398">
        <f t="shared" si="38"/>
        <v>0</v>
      </c>
      <c r="T191" s="173"/>
    </row>
    <row r="192" spans="1:20" ht="15.6" customHeight="1">
      <c r="A192" s="79" t="s">
        <v>434</v>
      </c>
      <c r="B192" s="379"/>
      <c r="C192" s="380"/>
      <c r="D192" s="380"/>
      <c r="E192" s="380"/>
      <c r="F192" s="380"/>
      <c r="G192" s="380"/>
      <c r="H192" s="380"/>
      <c r="I192" s="380"/>
      <c r="J192" s="380"/>
      <c r="K192" s="380"/>
      <c r="L192" s="380"/>
      <c r="M192" s="380"/>
      <c r="N192" s="381">
        <f>SUM(B192:M192)</f>
        <v>0</v>
      </c>
      <c r="O192" s="281">
        <f t="shared" si="37"/>
        <v>0</v>
      </c>
      <c r="P192" s="161" t="s">
        <v>435</v>
      </c>
      <c r="Q192" s="161"/>
      <c r="R192" s="161"/>
      <c r="S192" s="399">
        <f t="shared" si="38"/>
        <v>0</v>
      </c>
      <c r="T192" s="173"/>
    </row>
    <row r="193" spans="1:20" ht="15.6" customHeight="1">
      <c r="A193" s="79" t="s">
        <v>436</v>
      </c>
      <c r="B193" s="379"/>
      <c r="C193" s="380"/>
      <c r="D193" s="380"/>
      <c r="E193" s="380"/>
      <c r="F193" s="380"/>
      <c r="G193" s="380"/>
      <c r="H193" s="380"/>
      <c r="I193" s="380"/>
      <c r="J193" s="380"/>
      <c r="K193" s="380"/>
      <c r="L193" s="380"/>
      <c r="M193" s="380"/>
      <c r="N193" s="381">
        <f>SUM(B193:M193)</f>
        <v>0</v>
      </c>
      <c r="O193" s="281">
        <f t="shared" si="37"/>
        <v>0</v>
      </c>
      <c r="P193" s="161" t="s">
        <v>437</v>
      </c>
      <c r="Q193" s="161"/>
      <c r="R193" s="161"/>
      <c r="S193" s="399">
        <f t="shared" si="38"/>
        <v>0</v>
      </c>
      <c r="T193" s="173"/>
    </row>
    <row r="194" spans="1:20" ht="15.6" customHeight="1">
      <c r="A194" s="79" t="s">
        <v>438</v>
      </c>
      <c r="B194" s="379"/>
      <c r="C194" s="380"/>
      <c r="D194" s="380"/>
      <c r="E194" s="380"/>
      <c r="F194" s="508"/>
      <c r="G194" s="380"/>
      <c r="H194" s="380"/>
      <c r="I194" s="380"/>
      <c r="J194" s="380"/>
      <c r="K194" s="380"/>
      <c r="L194" s="380"/>
      <c r="M194" s="380"/>
      <c r="N194" s="381">
        <f>SUM(B194:M194)</f>
        <v>0</v>
      </c>
      <c r="O194" s="281">
        <f t="shared" si="37"/>
        <v>0</v>
      </c>
      <c r="P194" s="161" t="s">
        <v>439</v>
      </c>
      <c r="Q194" s="161"/>
      <c r="R194" s="161"/>
      <c r="S194" s="399">
        <f t="shared" si="38"/>
        <v>0</v>
      </c>
      <c r="T194" s="173"/>
    </row>
    <row r="195" spans="1:20" ht="15.6" customHeight="1">
      <c r="A195" s="79" t="s">
        <v>440</v>
      </c>
      <c r="B195" s="379"/>
      <c r="C195" s="380"/>
      <c r="D195" s="380"/>
      <c r="E195" s="380"/>
      <c r="F195" s="380"/>
      <c r="G195" s="380"/>
      <c r="H195" s="380"/>
      <c r="I195" s="380"/>
      <c r="J195" s="380"/>
      <c r="K195" s="380"/>
      <c r="L195" s="380"/>
      <c r="M195" s="380"/>
      <c r="N195" s="381">
        <f>SUM(B195:M195)</f>
        <v>0</v>
      </c>
      <c r="O195" s="281">
        <f t="shared" si="37"/>
        <v>0</v>
      </c>
      <c r="P195" s="161" t="s">
        <v>441</v>
      </c>
      <c r="Q195" s="161"/>
      <c r="R195" s="161"/>
      <c r="S195" s="399">
        <f t="shared" si="38"/>
        <v>0</v>
      </c>
    </row>
    <row r="196" spans="1:20" ht="10.15" customHeight="1">
      <c r="A196" s="80"/>
      <c r="B196" s="400"/>
      <c r="C196" s="401"/>
      <c r="D196" s="401"/>
      <c r="E196" s="401"/>
      <c r="F196" s="402"/>
      <c r="G196" s="402"/>
      <c r="H196" s="402"/>
      <c r="I196" s="400"/>
      <c r="J196" s="402"/>
      <c r="K196" s="402"/>
      <c r="L196" s="400"/>
      <c r="M196" s="402"/>
      <c r="N196" s="402"/>
      <c r="O196" s="281"/>
      <c r="P196" s="161"/>
      <c r="Q196" s="161"/>
      <c r="R196" s="161"/>
      <c r="S196" s="402"/>
    </row>
    <row r="197" spans="1:20" ht="15.6" customHeight="1">
      <c r="A197" s="79" t="s">
        <v>442</v>
      </c>
      <c r="B197" s="379"/>
      <c r="C197" s="380"/>
      <c r="D197" s="380"/>
      <c r="E197" s="380"/>
      <c r="F197" s="509">
        <v>104.78</v>
      </c>
      <c r="G197" s="522">
        <v>2470.4899999999998</v>
      </c>
      <c r="H197" s="380"/>
      <c r="I197" s="380"/>
      <c r="J197" s="380"/>
      <c r="K197" s="380"/>
      <c r="L197" s="380"/>
      <c r="M197" s="380"/>
      <c r="N197" s="381">
        <f t="shared" ref="N197:N205" si="41">SUM(B197:M197)</f>
        <v>2575.27</v>
      </c>
      <c r="O197" s="281">
        <f t="shared" ref="O197:O244" si="42">+SUM($B197:$M197)-N197</f>
        <v>0</v>
      </c>
      <c r="P197" s="161" t="s">
        <v>443</v>
      </c>
      <c r="Q197" s="161"/>
      <c r="R197" s="161"/>
      <c r="S197" s="399">
        <f t="shared" ref="S197:S244" si="43">H197/1000</f>
        <v>0</v>
      </c>
    </row>
    <row r="198" spans="1:20" ht="15.6" customHeight="1">
      <c r="A198" s="79" t="s">
        <v>444</v>
      </c>
      <c r="B198" s="379"/>
      <c r="C198" s="380"/>
      <c r="D198" s="380"/>
      <c r="E198" s="380"/>
      <c r="F198" s="380"/>
      <c r="G198" s="380"/>
      <c r="H198" s="380"/>
      <c r="I198" s="380"/>
      <c r="J198" s="380"/>
      <c r="K198" s="380"/>
      <c r="L198" s="380"/>
      <c r="M198" s="380"/>
      <c r="N198" s="381">
        <f t="shared" si="41"/>
        <v>0</v>
      </c>
      <c r="O198" s="281">
        <f t="shared" si="42"/>
        <v>0</v>
      </c>
      <c r="P198" s="161" t="s">
        <v>445</v>
      </c>
      <c r="Q198" s="161"/>
      <c r="R198" s="161"/>
      <c r="S198" s="399">
        <f t="shared" si="43"/>
        <v>0</v>
      </c>
    </row>
    <row r="199" spans="1:20" ht="15.6" customHeight="1">
      <c r="A199" s="79" t="s">
        <v>446</v>
      </c>
      <c r="B199" s="379"/>
      <c r="C199" s="380"/>
      <c r="D199" s="380"/>
      <c r="E199" s="380"/>
      <c r="F199" s="380"/>
      <c r="G199" s="380"/>
      <c r="H199" s="380"/>
      <c r="I199" s="380"/>
      <c r="J199" s="380"/>
      <c r="K199" s="380"/>
      <c r="L199" s="380"/>
      <c r="M199" s="380"/>
      <c r="N199" s="381">
        <f t="shared" si="41"/>
        <v>0</v>
      </c>
      <c r="O199" s="281">
        <f t="shared" si="42"/>
        <v>0</v>
      </c>
      <c r="P199" s="161" t="s">
        <v>447</v>
      </c>
      <c r="Q199" s="161"/>
      <c r="R199" s="161"/>
      <c r="S199" s="399">
        <f t="shared" si="43"/>
        <v>0</v>
      </c>
      <c r="T199" s="173"/>
    </row>
    <row r="200" spans="1:20" ht="15.6" customHeight="1">
      <c r="A200" s="79" t="s">
        <v>448</v>
      </c>
      <c r="B200" s="379"/>
      <c r="C200" s="380"/>
      <c r="D200" s="380"/>
      <c r="E200" s="380"/>
      <c r="F200" s="380"/>
      <c r="G200" s="380"/>
      <c r="H200" s="380"/>
      <c r="I200" s="380"/>
      <c r="J200" s="380"/>
      <c r="K200" s="380"/>
      <c r="L200" s="380"/>
      <c r="M200" s="380"/>
      <c r="N200" s="381">
        <f t="shared" si="41"/>
        <v>0</v>
      </c>
      <c r="O200" s="281">
        <f t="shared" si="42"/>
        <v>0</v>
      </c>
      <c r="P200" s="161" t="s">
        <v>449</v>
      </c>
      <c r="Q200" s="161"/>
      <c r="R200" s="161"/>
      <c r="S200" s="399">
        <f t="shared" si="43"/>
        <v>0</v>
      </c>
      <c r="T200" s="173"/>
    </row>
    <row r="201" spans="1:20" ht="15.6" customHeight="1">
      <c r="A201" s="79" t="s">
        <v>450</v>
      </c>
      <c r="B201" s="379"/>
      <c r="C201" s="380"/>
      <c r="D201" s="380"/>
      <c r="E201" s="380"/>
      <c r="F201" s="380"/>
      <c r="G201" s="210">
        <v>8250</v>
      </c>
      <c r="H201" s="380"/>
      <c r="I201" s="380"/>
      <c r="J201" s="380"/>
      <c r="K201" s="380"/>
      <c r="L201" s="380"/>
      <c r="M201" s="380"/>
      <c r="N201" s="381">
        <f t="shared" si="41"/>
        <v>8250</v>
      </c>
      <c r="O201" s="281">
        <f t="shared" si="42"/>
        <v>0</v>
      </c>
      <c r="P201" s="161" t="s">
        <v>451</v>
      </c>
      <c r="Q201" s="161"/>
      <c r="R201" s="161"/>
      <c r="S201" s="399">
        <f t="shared" si="43"/>
        <v>0</v>
      </c>
      <c r="T201" s="173"/>
    </row>
    <row r="202" spans="1:20" ht="15.6" customHeight="1">
      <c r="A202" s="79" t="s">
        <v>452</v>
      </c>
      <c r="B202" s="379"/>
      <c r="C202" s="380"/>
      <c r="D202" s="380"/>
      <c r="E202" s="380"/>
      <c r="F202" s="380"/>
      <c r="G202" s="380"/>
      <c r="H202" s="380"/>
      <c r="I202" s="380"/>
      <c r="J202" s="380"/>
      <c r="K202" s="380"/>
      <c r="L202" s="380"/>
      <c r="M202" s="380"/>
      <c r="N202" s="381">
        <f t="shared" si="41"/>
        <v>0</v>
      </c>
      <c r="O202" s="281">
        <f t="shared" si="42"/>
        <v>0</v>
      </c>
      <c r="P202" s="161" t="s">
        <v>453</v>
      </c>
      <c r="Q202" s="161"/>
      <c r="R202" s="161"/>
      <c r="S202" s="399">
        <f t="shared" si="43"/>
        <v>0</v>
      </c>
    </row>
    <row r="203" spans="1:20" ht="15.6" customHeight="1">
      <c r="A203" s="79" t="s">
        <v>454</v>
      </c>
      <c r="B203" s="379"/>
      <c r="C203" s="380"/>
      <c r="D203" s="380"/>
      <c r="E203" s="380"/>
      <c r="F203" s="380"/>
      <c r="G203" s="380"/>
      <c r="H203" s="380"/>
      <c r="I203" s="380"/>
      <c r="J203" s="380"/>
      <c r="K203" s="380"/>
      <c r="L203" s="380"/>
      <c r="M203" s="380"/>
      <c r="N203" s="381">
        <f t="shared" si="41"/>
        <v>0</v>
      </c>
      <c r="O203" s="281">
        <f t="shared" si="42"/>
        <v>0</v>
      </c>
      <c r="P203" s="161" t="s">
        <v>455</v>
      </c>
      <c r="Q203" s="161"/>
      <c r="R203" s="161"/>
      <c r="S203" s="399">
        <f t="shared" si="43"/>
        <v>0</v>
      </c>
    </row>
    <row r="204" spans="1:20" ht="15.6" customHeight="1">
      <c r="A204" s="79" t="s">
        <v>456</v>
      </c>
      <c r="B204" s="379"/>
      <c r="C204" s="380"/>
      <c r="D204" s="380"/>
      <c r="E204" s="380"/>
      <c r="F204" s="508">
        <v>30000</v>
      </c>
      <c r="G204" s="210">
        <v>1431</v>
      </c>
      <c r="H204" s="380"/>
      <c r="I204" s="380"/>
      <c r="J204" s="380"/>
      <c r="K204" s="380"/>
      <c r="L204" s="380"/>
      <c r="M204" s="380"/>
      <c r="N204" s="381">
        <f t="shared" si="41"/>
        <v>31431</v>
      </c>
      <c r="O204" s="281">
        <f t="shared" si="42"/>
        <v>0</v>
      </c>
      <c r="P204" s="161" t="s">
        <v>457</v>
      </c>
      <c r="Q204" s="161"/>
      <c r="R204" s="161"/>
      <c r="S204" s="399">
        <f t="shared" si="43"/>
        <v>0</v>
      </c>
      <c r="T204" s="173"/>
    </row>
    <row r="205" spans="1:20" ht="15.6" customHeight="1">
      <c r="A205" s="79" t="s">
        <v>458</v>
      </c>
      <c r="B205" s="379"/>
      <c r="C205" s="380"/>
      <c r="D205" s="380"/>
      <c r="E205" s="380"/>
      <c r="F205" s="380"/>
      <c r="G205" s="380"/>
      <c r="H205" s="380"/>
      <c r="I205" s="380"/>
      <c r="J205" s="380"/>
      <c r="K205" s="380"/>
      <c r="L205" s="380"/>
      <c r="M205" s="380"/>
      <c r="N205" s="381">
        <f t="shared" si="41"/>
        <v>0</v>
      </c>
      <c r="O205" s="281">
        <f t="shared" si="42"/>
        <v>0</v>
      </c>
      <c r="P205" s="161" t="s">
        <v>459</v>
      </c>
      <c r="Q205" s="161"/>
      <c r="R205" s="161"/>
      <c r="S205" s="399">
        <f t="shared" si="43"/>
        <v>0</v>
      </c>
    </row>
    <row r="206" spans="1:20">
      <c r="A206" s="47"/>
      <c r="B206" s="403"/>
      <c r="C206" s="403"/>
      <c r="D206" s="403"/>
      <c r="E206" s="403"/>
      <c r="F206" s="403"/>
      <c r="G206" s="403"/>
      <c r="H206" s="403"/>
      <c r="I206" s="403"/>
      <c r="J206" s="403"/>
      <c r="K206" s="403"/>
      <c r="L206" s="403"/>
      <c r="M206" s="403"/>
      <c r="N206" s="404"/>
      <c r="O206" s="281">
        <f t="shared" si="42"/>
        <v>0</v>
      </c>
      <c r="S206" s="278">
        <f t="shared" si="43"/>
        <v>0</v>
      </c>
      <c r="T206" s="173"/>
    </row>
    <row r="207" spans="1:20">
      <c r="O207" s="281">
        <f t="shared" si="42"/>
        <v>0</v>
      </c>
      <c r="S207" s="278">
        <f t="shared" si="43"/>
        <v>0</v>
      </c>
    </row>
    <row r="208" spans="1:20" ht="18" customHeight="1">
      <c r="A208" s="171" t="s">
        <v>460</v>
      </c>
      <c r="B208" s="393">
        <f t="shared" ref="B208:N208" si="44">+B181+B187+B191+SUM(B197:B205)</f>
        <v>0</v>
      </c>
      <c r="C208" s="393">
        <f t="shared" si="44"/>
        <v>0</v>
      </c>
      <c r="D208" s="393">
        <f t="shared" si="44"/>
        <v>0</v>
      </c>
      <c r="E208" s="393">
        <f t="shared" si="44"/>
        <v>0</v>
      </c>
      <c r="F208" s="393">
        <f t="shared" si="44"/>
        <v>30104.78</v>
      </c>
      <c r="G208" s="393">
        <f t="shared" si="44"/>
        <v>12151.49</v>
      </c>
      <c r="H208" s="393">
        <f t="shared" si="44"/>
        <v>0</v>
      </c>
      <c r="I208" s="393">
        <f t="shared" si="44"/>
        <v>0</v>
      </c>
      <c r="J208" s="393">
        <f t="shared" si="44"/>
        <v>0</v>
      </c>
      <c r="K208" s="393">
        <f t="shared" si="44"/>
        <v>0</v>
      </c>
      <c r="L208" s="393">
        <f t="shared" si="44"/>
        <v>0</v>
      </c>
      <c r="M208" s="393">
        <f t="shared" si="44"/>
        <v>0</v>
      </c>
      <c r="N208" s="393">
        <f t="shared" si="44"/>
        <v>42256.270000000004</v>
      </c>
      <c r="O208" s="281">
        <f t="shared" si="42"/>
        <v>0</v>
      </c>
      <c r="P208" s="170"/>
      <c r="Q208" s="170"/>
      <c r="R208" s="170"/>
      <c r="S208" s="393">
        <f t="shared" si="43"/>
        <v>0</v>
      </c>
    </row>
    <row r="209" spans="1:19" ht="18" customHeight="1">
      <c r="A209" s="31"/>
      <c r="B209" s="394"/>
      <c r="C209" s="394"/>
      <c r="D209" s="394"/>
      <c r="E209" s="394"/>
      <c r="F209" s="394"/>
      <c r="G209" s="394"/>
      <c r="H209" s="394"/>
      <c r="I209" s="394"/>
      <c r="J209" s="394"/>
      <c r="K209" s="394"/>
      <c r="L209" s="382"/>
      <c r="M209" s="382"/>
      <c r="N209" s="381"/>
      <c r="O209" s="281">
        <f t="shared" si="42"/>
        <v>0</v>
      </c>
      <c r="P209" s="162"/>
      <c r="Q209" s="162"/>
      <c r="R209" s="162"/>
      <c r="S209" s="283">
        <f t="shared" si="43"/>
        <v>0</v>
      </c>
    </row>
    <row r="210" spans="1:19">
      <c r="N210" s="396"/>
      <c r="O210" s="174">
        <f t="shared" si="42"/>
        <v>0</v>
      </c>
      <c r="S210" s="278">
        <f t="shared" si="43"/>
        <v>0</v>
      </c>
    </row>
    <row r="211" spans="1:19" ht="16.149999999999999" customHeight="1">
      <c r="A211" s="42" t="s">
        <v>35</v>
      </c>
      <c r="B211" s="377">
        <f t="shared" ref="B211:N211" si="45">SUM(B212:B223)</f>
        <v>0</v>
      </c>
      <c r="C211" s="377">
        <f t="shared" si="45"/>
        <v>0</v>
      </c>
      <c r="D211" s="377">
        <f t="shared" si="45"/>
        <v>0</v>
      </c>
      <c r="E211" s="377">
        <f t="shared" si="45"/>
        <v>404924.17</v>
      </c>
      <c r="F211" s="377">
        <f t="shared" si="45"/>
        <v>382803.17</v>
      </c>
      <c r="G211" s="377">
        <f t="shared" si="45"/>
        <v>300371.40000000002</v>
      </c>
      <c r="H211" s="377">
        <f t="shared" si="45"/>
        <v>0</v>
      </c>
      <c r="I211" s="377">
        <f t="shared" si="45"/>
        <v>0</v>
      </c>
      <c r="J211" s="377">
        <f t="shared" si="45"/>
        <v>0</v>
      </c>
      <c r="K211" s="377">
        <f t="shared" si="45"/>
        <v>0</v>
      </c>
      <c r="L211" s="377">
        <f t="shared" si="45"/>
        <v>0</v>
      </c>
      <c r="M211" s="377">
        <f t="shared" si="45"/>
        <v>0</v>
      </c>
      <c r="N211" s="378">
        <f t="shared" si="45"/>
        <v>1088098.74</v>
      </c>
      <c r="O211" s="281">
        <f t="shared" si="42"/>
        <v>0</v>
      </c>
      <c r="P211" s="157" t="s">
        <v>461</v>
      </c>
      <c r="S211" s="282">
        <f t="shared" si="43"/>
        <v>0</v>
      </c>
    </row>
    <row r="212" spans="1:19" s="161" customFormat="1" ht="15.6" customHeight="1">
      <c r="A212" s="62" t="s">
        <v>462</v>
      </c>
      <c r="B212" s="379"/>
      <c r="C212" s="380"/>
      <c r="D212" s="380"/>
      <c r="E212" s="210">
        <v>41000</v>
      </c>
      <c r="F212" s="510">
        <v>42500</v>
      </c>
      <c r="G212" s="210">
        <v>46000</v>
      </c>
      <c r="H212" s="380"/>
      <c r="I212" s="380"/>
      <c r="J212" s="380"/>
      <c r="K212" s="380"/>
      <c r="L212" s="380"/>
      <c r="M212" s="380"/>
      <c r="N212" s="381">
        <f t="shared" ref="N212:N223" si="46">SUM(B212:M212)</f>
        <v>129500</v>
      </c>
      <c r="O212" s="281">
        <f t="shared" si="42"/>
        <v>0</v>
      </c>
      <c r="P212" s="161" t="s">
        <v>463</v>
      </c>
      <c r="S212" s="284">
        <f t="shared" si="43"/>
        <v>0</v>
      </c>
    </row>
    <row r="213" spans="1:19" s="161" customFormat="1" ht="15.6" customHeight="1">
      <c r="A213" s="62" t="s">
        <v>464</v>
      </c>
      <c r="B213" s="379"/>
      <c r="C213" s="380"/>
      <c r="D213" s="380"/>
      <c r="E213" s="210">
        <v>29066.240000000002</v>
      </c>
      <c r="F213" s="510">
        <v>33475.67</v>
      </c>
      <c r="G213" s="210">
        <v>26539.58</v>
      </c>
      <c r="H213" s="380"/>
      <c r="I213" s="380"/>
      <c r="J213" s="380"/>
      <c r="K213" s="380"/>
      <c r="L213" s="380"/>
      <c r="M213" s="380"/>
      <c r="N213" s="381">
        <f t="shared" si="46"/>
        <v>89081.49</v>
      </c>
      <c r="O213" s="281">
        <f t="shared" si="42"/>
        <v>0</v>
      </c>
      <c r="P213" s="161" t="s">
        <v>465</v>
      </c>
      <c r="S213" s="284">
        <f t="shared" si="43"/>
        <v>0</v>
      </c>
    </row>
    <row r="214" spans="1:19" s="161" customFormat="1" ht="15.6" customHeight="1">
      <c r="A214" s="62" t="s">
        <v>466</v>
      </c>
      <c r="B214" s="379"/>
      <c r="C214" s="380"/>
      <c r="D214" s="380"/>
      <c r="E214" s="210">
        <v>170705.5</v>
      </c>
      <c r="F214" s="510">
        <v>61555.5</v>
      </c>
      <c r="G214" s="210">
        <v>5447.5</v>
      </c>
      <c r="H214" s="380"/>
      <c r="I214" s="380"/>
      <c r="J214" s="380"/>
      <c r="K214" s="380"/>
      <c r="L214" s="380"/>
      <c r="M214" s="380"/>
      <c r="N214" s="381">
        <f t="shared" si="46"/>
        <v>237708.5</v>
      </c>
      <c r="O214" s="281">
        <f t="shared" si="42"/>
        <v>0</v>
      </c>
      <c r="P214" s="161" t="s">
        <v>467</v>
      </c>
      <c r="S214" s="284">
        <f t="shared" si="43"/>
        <v>0</v>
      </c>
    </row>
    <row r="215" spans="1:19" s="161" customFormat="1" ht="15.6" customHeight="1">
      <c r="A215" s="62" t="s">
        <v>468</v>
      </c>
      <c r="B215" s="379"/>
      <c r="C215" s="380"/>
      <c r="D215" s="380"/>
      <c r="E215" s="380"/>
      <c r="F215" s="510">
        <v>19200</v>
      </c>
      <c r="G215" s="210">
        <v>21600</v>
      </c>
      <c r="H215" s="380"/>
      <c r="I215" s="380"/>
      <c r="J215" s="380"/>
      <c r="K215" s="380"/>
      <c r="L215" s="380"/>
      <c r="M215" s="380"/>
      <c r="N215" s="381">
        <f t="shared" si="46"/>
        <v>40800</v>
      </c>
      <c r="O215" s="281">
        <f t="shared" si="42"/>
        <v>0</v>
      </c>
      <c r="P215" s="161" t="s">
        <v>469</v>
      </c>
      <c r="S215" s="284">
        <f t="shared" si="43"/>
        <v>0</v>
      </c>
    </row>
    <row r="216" spans="1:19" s="161" customFormat="1" ht="15.6" customHeight="1">
      <c r="A216" s="62" t="s">
        <v>470</v>
      </c>
      <c r="B216" s="379"/>
      <c r="C216" s="380"/>
      <c r="D216" s="380"/>
      <c r="E216" s="210">
        <v>34602.43</v>
      </c>
      <c r="F216" s="510">
        <v>34852</v>
      </c>
      <c r="G216" s="210">
        <v>43684.32</v>
      </c>
      <c r="H216" s="380"/>
      <c r="I216" s="380"/>
      <c r="J216" s="380"/>
      <c r="K216" s="380"/>
      <c r="L216" s="380"/>
      <c r="M216" s="380"/>
      <c r="N216" s="381">
        <f t="shared" si="46"/>
        <v>113138.75</v>
      </c>
      <c r="O216" s="281">
        <f t="shared" si="42"/>
        <v>0</v>
      </c>
      <c r="P216" s="161" t="s">
        <v>471</v>
      </c>
      <c r="S216" s="284">
        <f t="shared" si="43"/>
        <v>0</v>
      </c>
    </row>
    <row r="217" spans="1:19" s="161" customFormat="1" ht="15.6" customHeight="1">
      <c r="A217" s="62" t="s">
        <v>472</v>
      </c>
      <c r="B217" s="379"/>
      <c r="C217" s="380"/>
      <c r="D217" s="380"/>
      <c r="E217" s="380"/>
      <c r="F217" s="380"/>
      <c r="G217" s="380"/>
      <c r="H217" s="380"/>
      <c r="I217" s="380"/>
      <c r="J217" s="380"/>
      <c r="K217" s="380"/>
      <c r="L217" s="380"/>
      <c r="M217" s="380"/>
      <c r="N217" s="381">
        <f t="shared" si="46"/>
        <v>0</v>
      </c>
      <c r="O217" s="281">
        <f t="shared" si="42"/>
        <v>0</v>
      </c>
      <c r="P217" s="161" t="s">
        <v>473</v>
      </c>
      <c r="S217" s="284">
        <f t="shared" si="43"/>
        <v>0</v>
      </c>
    </row>
    <row r="218" spans="1:19" s="161" customFormat="1" ht="15.6" customHeight="1">
      <c r="A218" s="62" t="s">
        <v>474</v>
      </c>
      <c r="B218" s="379"/>
      <c r="C218" s="380"/>
      <c r="D218" s="380"/>
      <c r="E218" s="210">
        <v>41800</v>
      </c>
      <c r="F218" s="510">
        <f>6445+35000</f>
        <v>41445</v>
      </c>
      <c r="G218" s="210">
        <v>25000</v>
      </c>
      <c r="H218" s="380"/>
      <c r="I218" s="380"/>
      <c r="J218" s="380"/>
      <c r="K218" s="380"/>
      <c r="L218" s="380"/>
      <c r="M218" s="380"/>
      <c r="N218" s="381">
        <f t="shared" si="46"/>
        <v>108245</v>
      </c>
      <c r="O218" s="281">
        <f t="shared" si="42"/>
        <v>0</v>
      </c>
      <c r="P218" s="161" t="s">
        <v>475</v>
      </c>
      <c r="S218" s="284">
        <f t="shared" si="43"/>
        <v>0</v>
      </c>
    </row>
    <row r="219" spans="1:19" s="161" customFormat="1" ht="15.6" customHeight="1">
      <c r="A219" s="62" t="s">
        <v>476</v>
      </c>
      <c r="B219" s="379"/>
      <c r="C219" s="380"/>
      <c r="D219" s="380"/>
      <c r="E219" s="380"/>
      <c r="F219" s="380"/>
      <c r="G219" s="380"/>
      <c r="H219" s="380"/>
      <c r="I219" s="380"/>
      <c r="J219" s="380"/>
      <c r="K219" s="380"/>
      <c r="L219" s="380"/>
      <c r="M219" s="380"/>
      <c r="N219" s="381">
        <f t="shared" si="46"/>
        <v>0</v>
      </c>
      <c r="O219" s="281">
        <f t="shared" si="42"/>
        <v>0</v>
      </c>
      <c r="P219" s="161" t="s">
        <v>477</v>
      </c>
      <c r="S219" s="284">
        <f t="shared" si="43"/>
        <v>0</v>
      </c>
    </row>
    <row r="220" spans="1:19" s="161" customFormat="1" ht="15.6" customHeight="1">
      <c r="A220" s="62" t="s">
        <v>478</v>
      </c>
      <c r="B220" s="379"/>
      <c r="C220" s="380"/>
      <c r="D220" s="380"/>
      <c r="E220" s="210">
        <v>30750</v>
      </c>
      <c r="F220" s="510">
        <v>67975</v>
      </c>
      <c r="G220" s="210">
        <v>61000</v>
      </c>
      <c r="H220" s="380"/>
      <c r="I220" s="380"/>
      <c r="J220" s="380"/>
      <c r="K220" s="380"/>
      <c r="L220" s="380"/>
      <c r="M220" s="380"/>
      <c r="N220" s="381">
        <f t="shared" si="46"/>
        <v>159725</v>
      </c>
      <c r="O220" s="281">
        <f t="shared" si="42"/>
        <v>0</v>
      </c>
      <c r="P220" s="161" t="s">
        <v>479</v>
      </c>
      <c r="S220" s="284">
        <f t="shared" si="43"/>
        <v>0</v>
      </c>
    </row>
    <row r="221" spans="1:19" s="161" customFormat="1" ht="15.6" customHeight="1">
      <c r="A221" s="62" t="s">
        <v>480</v>
      </c>
      <c r="B221" s="379"/>
      <c r="C221" s="380"/>
      <c r="D221" s="380"/>
      <c r="E221" s="380">
        <v>10000</v>
      </c>
      <c r="F221" s="514">
        <v>10000</v>
      </c>
      <c r="G221" s="210">
        <v>10000</v>
      </c>
      <c r="H221" s="380"/>
      <c r="I221" s="380"/>
      <c r="J221" s="380"/>
      <c r="K221" s="380"/>
      <c r="L221" s="380"/>
      <c r="M221" s="380"/>
      <c r="N221" s="381">
        <f t="shared" si="46"/>
        <v>30000</v>
      </c>
      <c r="O221" s="281">
        <f t="shared" si="42"/>
        <v>0</v>
      </c>
      <c r="P221" s="161" t="s">
        <v>481</v>
      </c>
      <c r="S221" s="284">
        <f t="shared" si="43"/>
        <v>0</v>
      </c>
    </row>
    <row r="222" spans="1:19" s="161" customFormat="1" ht="15.6" customHeight="1">
      <c r="A222" s="62" t="s">
        <v>482</v>
      </c>
      <c r="B222" s="379"/>
      <c r="C222" s="380"/>
      <c r="D222" s="380"/>
      <c r="E222" s="380">
        <v>40000</v>
      </c>
      <c r="F222" s="513">
        <v>64800</v>
      </c>
      <c r="G222" s="210">
        <v>61100</v>
      </c>
      <c r="H222" s="380"/>
      <c r="I222" s="380"/>
      <c r="J222" s="380"/>
      <c r="K222" s="380"/>
      <c r="L222" s="380"/>
      <c r="M222" s="380"/>
      <c r="N222" s="381">
        <f t="shared" si="46"/>
        <v>165900</v>
      </c>
      <c r="O222" s="281">
        <f t="shared" si="42"/>
        <v>0</v>
      </c>
      <c r="P222" s="161" t="s">
        <v>483</v>
      </c>
      <c r="S222" s="284">
        <f t="shared" si="43"/>
        <v>0</v>
      </c>
    </row>
    <row r="223" spans="1:19" s="161" customFormat="1" ht="15.6" customHeight="1">
      <c r="A223" s="62" t="s">
        <v>484</v>
      </c>
      <c r="B223" s="379"/>
      <c r="C223" s="380"/>
      <c r="D223" s="380"/>
      <c r="E223" s="210">
        <v>7000</v>
      </c>
      <c r="F223" s="510">
        <v>7000</v>
      </c>
      <c r="G223" s="380"/>
      <c r="H223" s="380"/>
      <c r="I223" s="380"/>
      <c r="J223" s="380"/>
      <c r="K223" s="380"/>
      <c r="L223" s="380"/>
      <c r="M223" s="380"/>
      <c r="N223" s="381">
        <f t="shared" si="46"/>
        <v>14000</v>
      </c>
      <c r="O223" s="281">
        <f t="shared" si="42"/>
        <v>0</v>
      </c>
      <c r="P223" s="161" t="s">
        <v>485</v>
      </c>
      <c r="S223" s="284">
        <f t="shared" si="43"/>
        <v>0</v>
      </c>
    </row>
    <row r="224" spans="1:19" ht="16.149999999999999" customHeight="1">
      <c r="A224" s="42" t="s">
        <v>36</v>
      </c>
      <c r="B224" s="377">
        <f t="shared" ref="B224:N224" si="47">SUM(B225:B233)</f>
        <v>0</v>
      </c>
      <c r="C224" s="377">
        <f t="shared" si="47"/>
        <v>0</v>
      </c>
      <c r="D224" s="377">
        <f t="shared" si="47"/>
        <v>95476.760000000009</v>
      </c>
      <c r="E224" s="377">
        <f t="shared" si="47"/>
        <v>342829.81</v>
      </c>
      <c r="F224" s="377">
        <f t="shared" si="47"/>
        <v>316957.3</v>
      </c>
      <c r="G224" s="377">
        <f t="shared" si="47"/>
        <v>362167</v>
      </c>
      <c r="H224" s="377">
        <f t="shared" si="47"/>
        <v>0</v>
      </c>
      <c r="I224" s="377">
        <f t="shared" si="47"/>
        <v>0</v>
      </c>
      <c r="J224" s="377">
        <f t="shared" si="47"/>
        <v>0</v>
      </c>
      <c r="K224" s="377">
        <f t="shared" si="47"/>
        <v>0</v>
      </c>
      <c r="L224" s="377">
        <f t="shared" si="47"/>
        <v>0</v>
      </c>
      <c r="M224" s="377">
        <f t="shared" si="47"/>
        <v>0</v>
      </c>
      <c r="N224" s="378">
        <f t="shared" si="47"/>
        <v>1117430.8700000001</v>
      </c>
      <c r="O224" s="281">
        <f t="shared" si="42"/>
        <v>0</v>
      </c>
      <c r="P224" s="157" t="s">
        <v>486</v>
      </c>
      <c r="S224" s="282">
        <f t="shared" si="43"/>
        <v>0</v>
      </c>
    </row>
    <row r="225" spans="1:19" s="161" customFormat="1" ht="15.6" customHeight="1">
      <c r="A225" s="62" t="s">
        <v>487</v>
      </c>
      <c r="B225" s="379"/>
      <c r="C225" s="380"/>
      <c r="D225" s="380"/>
      <c r="E225" s="380"/>
      <c r="F225" s="380"/>
      <c r="G225" s="380"/>
      <c r="H225" s="380"/>
      <c r="I225" s="380"/>
      <c r="J225" s="380"/>
      <c r="K225" s="380"/>
      <c r="L225" s="380"/>
      <c r="M225" s="380"/>
      <c r="N225" s="381">
        <f t="shared" ref="N225:N244" si="48">SUM(B225:M225)</f>
        <v>0</v>
      </c>
      <c r="O225" s="281">
        <f t="shared" si="42"/>
        <v>0</v>
      </c>
      <c r="P225" s="161" t="s">
        <v>488</v>
      </c>
      <c r="S225" s="283">
        <f t="shared" si="43"/>
        <v>0</v>
      </c>
    </row>
    <row r="226" spans="1:19" s="161" customFormat="1" ht="15.6" customHeight="1">
      <c r="A226" s="62" t="s">
        <v>489</v>
      </c>
      <c r="B226" s="379"/>
      <c r="C226" s="380"/>
      <c r="D226" s="380"/>
      <c r="E226" s="380"/>
      <c r="F226" s="380"/>
      <c r="G226" s="380"/>
      <c r="H226" s="380"/>
      <c r="I226" s="380"/>
      <c r="J226" s="380"/>
      <c r="K226" s="380"/>
      <c r="L226" s="380"/>
      <c r="M226" s="380"/>
      <c r="N226" s="381">
        <f t="shared" si="48"/>
        <v>0</v>
      </c>
      <c r="O226" s="281">
        <f t="shared" si="42"/>
        <v>0</v>
      </c>
      <c r="P226" s="161" t="s">
        <v>490</v>
      </c>
      <c r="S226" s="283">
        <f t="shared" si="43"/>
        <v>0</v>
      </c>
    </row>
    <row r="227" spans="1:19" s="161" customFormat="1" ht="15.6" customHeight="1">
      <c r="A227" s="62" t="s">
        <v>491</v>
      </c>
      <c r="B227" s="379"/>
      <c r="C227" s="380"/>
      <c r="D227" s="380"/>
      <c r="E227" s="380"/>
      <c r="F227" s="380"/>
      <c r="G227" s="380"/>
      <c r="H227" s="380"/>
      <c r="I227" s="380"/>
      <c r="J227" s="380"/>
      <c r="K227" s="380"/>
      <c r="L227" s="380"/>
      <c r="M227" s="380"/>
      <c r="N227" s="381">
        <f t="shared" si="48"/>
        <v>0</v>
      </c>
      <c r="O227" s="281">
        <f t="shared" si="42"/>
        <v>0</v>
      </c>
      <c r="P227" s="161" t="s">
        <v>492</v>
      </c>
      <c r="S227" s="283">
        <f t="shared" si="43"/>
        <v>0</v>
      </c>
    </row>
    <row r="228" spans="1:19" s="161" customFormat="1" ht="15.6" customHeight="1">
      <c r="A228" s="62" t="s">
        <v>493</v>
      </c>
      <c r="B228" s="379"/>
      <c r="C228" s="380"/>
      <c r="D228" s="380"/>
      <c r="E228" s="380"/>
      <c r="F228" s="380"/>
      <c r="G228" s="380"/>
      <c r="H228" s="380"/>
      <c r="I228" s="380"/>
      <c r="J228" s="380"/>
      <c r="K228" s="380"/>
      <c r="L228" s="380"/>
      <c r="M228" s="380"/>
      <c r="N228" s="381">
        <f t="shared" si="48"/>
        <v>0</v>
      </c>
      <c r="O228" s="281">
        <f t="shared" si="42"/>
        <v>0</v>
      </c>
      <c r="P228" s="161" t="s">
        <v>494</v>
      </c>
      <c r="S228" s="283">
        <f t="shared" si="43"/>
        <v>0</v>
      </c>
    </row>
    <row r="229" spans="1:19" s="161" customFormat="1" ht="15.6" customHeight="1">
      <c r="A229" s="62" t="s">
        <v>495</v>
      </c>
      <c r="B229" s="379"/>
      <c r="C229" s="380"/>
      <c r="D229" s="210">
        <v>55176.76</v>
      </c>
      <c r="E229" s="210">
        <v>125419.81</v>
      </c>
      <c r="F229" s="510">
        <v>141184.29999999999</v>
      </c>
      <c r="G229" s="210">
        <v>141058</v>
      </c>
      <c r="H229" s="380"/>
      <c r="I229" s="380"/>
      <c r="J229" s="380"/>
      <c r="K229" s="380"/>
      <c r="L229" s="380"/>
      <c r="M229" s="380"/>
      <c r="N229" s="381">
        <f t="shared" si="48"/>
        <v>462838.87</v>
      </c>
      <c r="O229" s="281">
        <f t="shared" si="42"/>
        <v>0</v>
      </c>
      <c r="P229" s="161" t="s">
        <v>496</v>
      </c>
      <c r="S229" s="283">
        <f t="shared" si="43"/>
        <v>0</v>
      </c>
    </row>
    <row r="230" spans="1:19" s="161" customFormat="1" ht="15.6" customHeight="1">
      <c r="A230" s="62" t="s">
        <v>497</v>
      </c>
      <c r="B230" s="379"/>
      <c r="C230" s="380"/>
      <c r="D230" s="210">
        <v>40300</v>
      </c>
      <c r="E230" s="210">
        <v>217410</v>
      </c>
      <c r="F230" s="510">
        <v>175773</v>
      </c>
      <c r="G230" s="210">
        <v>221109</v>
      </c>
      <c r="H230" s="380"/>
      <c r="I230" s="380"/>
      <c r="J230" s="380"/>
      <c r="K230" s="380"/>
      <c r="L230" s="380"/>
      <c r="M230" s="380"/>
      <c r="N230" s="381">
        <f t="shared" si="48"/>
        <v>654592</v>
      </c>
      <c r="O230" s="281">
        <f t="shared" si="42"/>
        <v>0</v>
      </c>
      <c r="P230" s="161" t="s">
        <v>498</v>
      </c>
      <c r="S230" s="283">
        <f t="shared" si="43"/>
        <v>0</v>
      </c>
    </row>
    <row r="231" spans="1:19" s="161" customFormat="1" ht="15.6" customHeight="1">
      <c r="A231" s="62" t="s">
        <v>499</v>
      </c>
      <c r="B231" s="379"/>
      <c r="C231" s="380"/>
      <c r="D231" s="380"/>
      <c r="E231" s="380"/>
      <c r="F231" s="380"/>
      <c r="G231" s="380"/>
      <c r="H231" s="380"/>
      <c r="I231" s="380"/>
      <c r="J231" s="380"/>
      <c r="K231" s="380"/>
      <c r="L231" s="380"/>
      <c r="M231" s="380"/>
      <c r="N231" s="381">
        <f t="shared" si="48"/>
        <v>0</v>
      </c>
      <c r="O231" s="281">
        <f t="shared" si="42"/>
        <v>0</v>
      </c>
      <c r="P231" s="161" t="s">
        <v>500</v>
      </c>
      <c r="S231" s="283">
        <f t="shared" si="43"/>
        <v>0</v>
      </c>
    </row>
    <row r="232" spans="1:19" s="161" customFormat="1" ht="15.6" customHeight="1">
      <c r="A232" s="62" t="s">
        <v>501</v>
      </c>
      <c r="B232" s="379"/>
      <c r="C232" s="380"/>
      <c r="D232" s="380"/>
      <c r="E232" s="380"/>
      <c r="F232" s="380"/>
      <c r="G232" s="380"/>
      <c r="H232" s="380"/>
      <c r="I232" s="380"/>
      <c r="J232" s="380"/>
      <c r="K232" s="380"/>
      <c r="L232" s="380"/>
      <c r="M232" s="380"/>
      <c r="N232" s="381">
        <f t="shared" si="48"/>
        <v>0</v>
      </c>
      <c r="O232" s="281">
        <f t="shared" si="42"/>
        <v>0</v>
      </c>
      <c r="P232" s="161" t="s">
        <v>502</v>
      </c>
      <c r="S232" s="283">
        <f t="shared" si="43"/>
        <v>0</v>
      </c>
    </row>
    <row r="233" spans="1:19" s="161" customFormat="1" ht="15.6" customHeight="1">
      <c r="A233" s="62" t="s">
        <v>503</v>
      </c>
      <c r="B233" s="379"/>
      <c r="C233" s="380"/>
      <c r="D233" s="380"/>
      <c r="E233" s="380"/>
      <c r="F233" s="380"/>
      <c r="G233" s="380"/>
      <c r="H233" s="380"/>
      <c r="I233" s="380"/>
      <c r="J233" s="380"/>
      <c r="K233" s="380"/>
      <c r="L233" s="380"/>
      <c r="M233" s="380"/>
      <c r="N233" s="381">
        <f t="shared" si="48"/>
        <v>0</v>
      </c>
      <c r="O233" s="281">
        <f t="shared" si="42"/>
        <v>0</v>
      </c>
      <c r="P233" s="161" t="s">
        <v>504</v>
      </c>
      <c r="S233" s="283">
        <f t="shared" si="43"/>
        <v>0</v>
      </c>
    </row>
    <row r="234" spans="1:19" s="161" customFormat="1" ht="15.6" customHeight="1">
      <c r="A234" s="62"/>
      <c r="B234" s="379"/>
      <c r="C234" s="380"/>
      <c r="D234" s="380"/>
      <c r="E234" s="380"/>
      <c r="F234" s="394"/>
      <c r="G234" s="394"/>
      <c r="H234" s="394"/>
      <c r="I234" s="394"/>
      <c r="J234" s="394"/>
      <c r="K234" s="394"/>
      <c r="L234" s="394"/>
      <c r="M234" s="394"/>
      <c r="N234" s="399">
        <f t="shared" si="48"/>
        <v>0</v>
      </c>
      <c r="O234" s="281">
        <f t="shared" si="42"/>
        <v>0</v>
      </c>
      <c r="S234" s="283">
        <f t="shared" si="43"/>
        <v>0</v>
      </c>
    </row>
    <row r="235" spans="1:19" s="161" customFormat="1" ht="15.6" customHeight="1">
      <c r="A235" s="62" t="s">
        <v>37</v>
      </c>
      <c r="B235" s="379"/>
      <c r="C235" s="380"/>
      <c r="D235" s="380"/>
      <c r="E235" s="380"/>
      <c r="F235" s="380"/>
      <c r="G235" s="380"/>
      <c r="H235" s="380"/>
      <c r="I235" s="380"/>
      <c r="J235" s="380"/>
      <c r="K235" s="380"/>
      <c r="L235" s="380"/>
      <c r="M235" s="380"/>
      <c r="N235" s="381">
        <f t="shared" si="48"/>
        <v>0</v>
      </c>
      <c r="O235" s="281">
        <f t="shared" si="42"/>
        <v>0</v>
      </c>
      <c r="P235" s="161" t="s">
        <v>505</v>
      </c>
      <c r="S235" s="283">
        <f t="shared" si="43"/>
        <v>0</v>
      </c>
    </row>
    <row r="236" spans="1:19" s="161" customFormat="1" ht="15.6" customHeight="1">
      <c r="A236" s="62" t="s">
        <v>38</v>
      </c>
      <c r="B236" s="379"/>
      <c r="C236" s="380"/>
      <c r="D236" s="380"/>
      <c r="E236" s="380"/>
      <c r="F236" s="380"/>
      <c r="G236" s="380"/>
      <c r="H236" s="380"/>
      <c r="I236" s="380"/>
      <c r="J236" s="380"/>
      <c r="K236" s="380"/>
      <c r="L236" s="380"/>
      <c r="M236" s="380"/>
      <c r="N236" s="381">
        <f t="shared" si="48"/>
        <v>0</v>
      </c>
      <c r="O236" s="281">
        <f t="shared" si="42"/>
        <v>0</v>
      </c>
      <c r="P236" s="161" t="s">
        <v>506</v>
      </c>
      <c r="S236" s="283">
        <f t="shared" si="43"/>
        <v>0</v>
      </c>
    </row>
    <row r="237" spans="1:19" s="161" customFormat="1" ht="15.6" customHeight="1">
      <c r="A237" s="62" t="s">
        <v>39</v>
      </c>
      <c r="B237" s="379"/>
      <c r="C237" s="380"/>
      <c r="D237" s="380"/>
      <c r="E237" s="380"/>
      <c r="F237" s="380"/>
      <c r="G237" s="380"/>
      <c r="H237" s="380"/>
      <c r="I237" s="380"/>
      <c r="J237" s="380"/>
      <c r="K237" s="380"/>
      <c r="L237" s="380"/>
      <c r="M237" s="380"/>
      <c r="N237" s="381">
        <f t="shared" si="48"/>
        <v>0</v>
      </c>
      <c r="O237" s="281">
        <f t="shared" si="42"/>
        <v>0</v>
      </c>
      <c r="P237" s="161" t="s">
        <v>507</v>
      </c>
      <c r="S237" s="283">
        <f t="shared" si="43"/>
        <v>0</v>
      </c>
    </row>
    <row r="238" spans="1:19" s="161" customFormat="1" ht="15.6" customHeight="1">
      <c r="A238" s="62" t="s">
        <v>40</v>
      </c>
      <c r="B238" s="379"/>
      <c r="C238" s="380"/>
      <c r="D238" s="380"/>
      <c r="E238" s="210">
        <v>12000</v>
      </c>
      <c r="F238" s="508">
        <v>13780</v>
      </c>
      <c r="G238" s="210">
        <v>12890</v>
      </c>
      <c r="H238" s="380"/>
      <c r="I238" s="380"/>
      <c r="J238" s="380"/>
      <c r="K238" s="380"/>
      <c r="L238" s="380"/>
      <c r="M238" s="380"/>
      <c r="N238" s="381">
        <f t="shared" si="48"/>
        <v>38670</v>
      </c>
      <c r="O238" s="281">
        <f t="shared" si="42"/>
        <v>0</v>
      </c>
      <c r="P238" s="161" t="s">
        <v>508</v>
      </c>
      <c r="S238" s="283">
        <f t="shared" si="43"/>
        <v>0</v>
      </c>
    </row>
    <row r="239" spans="1:19" s="161" customFormat="1" ht="15.6" customHeight="1">
      <c r="A239" s="62" t="s">
        <v>41</v>
      </c>
      <c r="B239" s="379"/>
      <c r="C239" s="380"/>
      <c r="D239" s="380"/>
      <c r="E239" s="380"/>
      <c r="F239" s="380"/>
      <c r="G239" s="210">
        <v>96885</v>
      </c>
      <c r="H239" s="380"/>
      <c r="I239" s="380"/>
      <c r="J239" s="380"/>
      <c r="K239" s="380"/>
      <c r="L239" s="380"/>
      <c r="M239" s="380"/>
      <c r="N239" s="381">
        <f t="shared" si="48"/>
        <v>96885</v>
      </c>
      <c r="O239" s="281">
        <f t="shared" si="42"/>
        <v>0</v>
      </c>
      <c r="P239" s="161" t="s">
        <v>509</v>
      </c>
      <c r="S239" s="283">
        <f t="shared" si="43"/>
        <v>0</v>
      </c>
    </row>
    <row r="240" spans="1:19" s="161" customFormat="1" ht="15.6" customHeight="1">
      <c r="A240" s="62" t="s">
        <v>42</v>
      </c>
      <c r="B240" s="379"/>
      <c r="C240" s="380"/>
      <c r="D240" s="380"/>
      <c r="E240" s="210">
        <v>33034.120000000003</v>
      </c>
      <c r="F240" s="510">
        <v>27888.639999999999</v>
      </c>
      <c r="G240" s="210">
        <v>26968.09</v>
      </c>
      <c r="H240" s="380"/>
      <c r="I240" s="380"/>
      <c r="J240" s="380"/>
      <c r="K240" s="380"/>
      <c r="L240" s="380"/>
      <c r="M240" s="380"/>
      <c r="N240" s="381">
        <f t="shared" si="48"/>
        <v>87890.85</v>
      </c>
      <c r="O240" s="281">
        <f t="shared" si="42"/>
        <v>0</v>
      </c>
      <c r="P240" s="161" t="s">
        <v>510</v>
      </c>
      <c r="S240" s="283">
        <f t="shared" si="43"/>
        <v>0</v>
      </c>
    </row>
    <row r="241" spans="1:19" s="161" customFormat="1" ht="15.6" customHeight="1">
      <c r="A241" s="62" t="s">
        <v>43</v>
      </c>
      <c r="B241" s="379"/>
      <c r="C241" s="380"/>
      <c r="D241" s="380"/>
      <c r="E241" s="380"/>
      <c r="F241" s="380"/>
      <c r="G241" s="380"/>
      <c r="H241" s="380"/>
      <c r="I241" s="380"/>
      <c r="J241" s="380"/>
      <c r="K241" s="380"/>
      <c r="L241" s="380"/>
      <c r="M241" s="380"/>
      <c r="N241" s="381">
        <f t="shared" si="48"/>
        <v>0</v>
      </c>
      <c r="O241" s="281">
        <f t="shared" si="42"/>
        <v>0</v>
      </c>
      <c r="P241" s="161" t="s">
        <v>511</v>
      </c>
      <c r="S241" s="283">
        <f t="shared" si="43"/>
        <v>0</v>
      </c>
    </row>
    <row r="242" spans="1:19" s="161" customFormat="1" ht="15.6" customHeight="1">
      <c r="A242" s="62" t="s">
        <v>44</v>
      </c>
      <c r="B242" s="379"/>
      <c r="C242" s="380"/>
      <c r="D242" s="380"/>
      <c r="E242" s="380"/>
      <c r="F242" s="380"/>
      <c r="G242" s="380"/>
      <c r="H242" s="380"/>
      <c r="I242" s="380"/>
      <c r="J242" s="380"/>
      <c r="K242" s="380"/>
      <c r="L242" s="380"/>
      <c r="M242" s="380"/>
      <c r="N242" s="381">
        <f t="shared" si="48"/>
        <v>0</v>
      </c>
      <c r="O242" s="281">
        <f t="shared" si="42"/>
        <v>0</v>
      </c>
      <c r="P242" s="161" t="s">
        <v>512</v>
      </c>
      <c r="S242" s="283">
        <f t="shared" si="43"/>
        <v>0</v>
      </c>
    </row>
    <row r="243" spans="1:19" s="161" customFormat="1" ht="15.6" customHeight="1">
      <c r="A243" s="62" t="s">
        <v>513</v>
      </c>
      <c r="B243" s="379"/>
      <c r="C243" s="380"/>
      <c r="D243" s="380"/>
      <c r="E243" s="380"/>
      <c r="F243" s="380"/>
      <c r="G243" s="380"/>
      <c r="H243" s="380"/>
      <c r="I243" s="380"/>
      <c r="J243" s="380"/>
      <c r="K243" s="380"/>
      <c r="L243" s="380"/>
      <c r="M243" s="380"/>
      <c r="N243" s="381">
        <f t="shared" si="48"/>
        <v>0</v>
      </c>
      <c r="O243" s="281">
        <f t="shared" si="42"/>
        <v>0</v>
      </c>
      <c r="P243" s="161" t="s">
        <v>514</v>
      </c>
      <c r="S243" s="283">
        <f t="shared" si="43"/>
        <v>0</v>
      </c>
    </row>
    <row r="244" spans="1:19" s="161" customFormat="1" ht="15.6" customHeight="1">
      <c r="A244" s="62" t="s">
        <v>46</v>
      </c>
      <c r="B244" s="379"/>
      <c r="C244" s="380"/>
      <c r="D244" s="380"/>
      <c r="E244" s="380"/>
      <c r="F244" s="380"/>
      <c r="G244" s="380"/>
      <c r="H244" s="380"/>
      <c r="I244" s="380"/>
      <c r="J244" s="380"/>
      <c r="K244" s="380"/>
      <c r="L244" s="380"/>
      <c r="M244" s="380"/>
      <c r="N244" s="381">
        <f t="shared" si="48"/>
        <v>0</v>
      </c>
      <c r="O244" s="281">
        <f t="shared" si="42"/>
        <v>0</v>
      </c>
      <c r="P244" s="161" t="s">
        <v>515</v>
      </c>
      <c r="S244" s="283">
        <f t="shared" si="43"/>
        <v>0</v>
      </c>
    </row>
    <row r="245" spans="1:19">
      <c r="B245" s="395"/>
      <c r="C245" s="395"/>
      <c r="D245" s="395"/>
      <c r="E245" s="395"/>
      <c r="F245" s="395"/>
      <c r="N245" s="396"/>
    </row>
    <row r="246" spans="1:19" ht="18" customHeight="1">
      <c r="A246" s="171" t="s">
        <v>34</v>
      </c>
      <c r="B246" s="393">
        <f t="shared" ref="B246:N246" si="49">B211+B224+SUM(B235:B244)</f>
        <v>0</v>
      </c>
      <c r="C246" s="393">
        <f t="shared" si="49"/>
        <v>0</v>
      </c>
      <c r="D246" s="393">
        <f t="shared" si="49"/>
        <v>95476.760000000009</v>
      </c>
      <c r="E246" s="393">
        <f t="shared" si="49"/>
        <v>792788.1</v>
      </c>
      <c r="F246" s="393">
        <f t="shared" si="49"/>
        <v>741429.11</v>
      </c>
      <c r="G246" s="393">
        <f>G211+G224+SUM(G235:G244)</f>
        <v>799281.49</v>
      </c>
      <c r="H246" s="393">
        <f t="shared" si="49"/>
        <v>0</v>
      </c>
      <c r="I246" s="393">
        <f t="shared" si="49"/>
        <v>0</v>
      </c>
      <c r="J246" s="393">
        <f t="shared" si="49"/>
        <v>0</v>
      </c>
      <c r="K246" s="393">
        <f t="shared" si="49"/>
        <v>0</v>
      </c>
      <c r="L246" s="393">
        <f t="shared" si="49"/>
        <v>0</v>
      </c>
      <c r="M246" s="393">
        <f t="shared" si="49"/>
        <v>0</v>
      </c>
      <c r="N246" s="393">
        <f t="shared" si="49"/>
        <v>2428975.4600000004</v>
      </c>
      <c r="O246" s="281">
        <f>+SUM($B246:$M246)-N246</f>
        <v>0</v>
      </c>
      <c r="P246" s="170" t="s">
        <v>516</v>
      </c>
      <c r="Q246" s="170"/>
      <c r="R246" s="170"/>
      <c r="S246" s="393">
        <f>H246/1000</f>
        <v>0</v>
      </c>
    </row>
    <row r="247" spans="1:19">
      <c r="B247" s="395"/>
      <c r="C247" s="395"/>
      <c r="D247" s="395"/>
      <c r="E247" s="395"/>
      <c r="F247" s="395"/>
      <c r="N247" s="396"/>
    </row>
    <row r="248" spans="1:19" ht="16.149999999999999" customHeight="1">
      <c r="A248" s="42" t="s">
        <v>517</v>
      </c>
      <c r="B248" s="377">
        <f t="shared" ref="B248:N248" si="50">SUM(B249:B254)</f>
        <v>0</v>
      </c>
      <c r="C248" s="377">
        <f t="shared" si="50"/>
        <v>0</v>
      </c>
      <c r="D248" s="377">
        <f t="shared" si="50"/>
        <v>10667.21</v>
      </c>
      <c r="E248" s="377">
        <f t="shared" si="50"/>
        <v>-918.93999999999869</v>
      </c>
      <c r="F248" s="377">
        <f t="shared" si="50"/>
        <v>8711.880000000001</v>
      </c>
      <c r="G248" s="377">
        <f t="shared" si="50"/>
        <v>-225.10000000000218</v>
      </c>
      <c r="H248" s="377">
        <f t="shared" si="50"/>
        <v>0</v>
      </c>
      <c r="I248" s="377">
        <f t="shared" si="50"/>
        <v>0</v>
      </c>
      <c r="J248" s="377">
        <f t="shared" si="50"/>
        <v>0</v>
      </c>
      <c r="K248" s="377">
        <f t="shared" si="50"/>
        <v>0</v>
      </c>
      <c r="L248" s="377">
        <f t="shared" si="50"/>
        <v>0</v>
      </c>
      <c r="M248" s="377">
        <f t="shared" si="50"/>
        <v>0</v>
      </c>
      <c r="N248" s="377" t="e">
        <f t="shared" si="50"/>
        <v>#REF!</v>
      </c>
      <c r="O248" s="281" t="e">
        <f t="shared" ref="O248:O261" si="51">+SUM($B248:$M248)-N248</f>
        <v>#REF!</v>
      </c>
      <c r="P248" s="157" t="s">
        <v>518</v>
      </c>
      <c r="S248" s="282">
        <f t="shared" ref="S248:S261" si="52">H248/1000</f>
        <v>0</v>
      </c>
    </row>
    <row r="249" spans="1:19" s="161" customFormat="1" ht="15.6" customHeight="1">
      <c r="A249" s="62" t="s">
        <v>519</v>
      </c>
      <c r="B249" s="379"/>
      <c r="C249" s="380"/>
      <c r="D249" s="380"/>
      <c r="E249" s="380"/>
      <c r="F249" s="380"/>
      <c r="G249" s="380"/>
      <c r="H249" s="380"/>
      <c r="I249" s="380"/>
      <c r="J249" s="380"/>
      <c r="K249" s="380"/>
      <c r="L249" s="380"/>
      <c r="M249" s="380"/>
      <c r="N249" s="381">
        <f>B249+C249+D249+E249+F249+G249+H249+I249+J249+K249+L249+M249</f>
        <v>0</v>
      </c>
      <c r="O249" s="281">
        <f t="shared" si="51"/>
        <v>0</v>
      </c>
      <c r="P249" s="161" t="s">
        <v>520</v>
      </c>
      <c r="S249" s="283">
        <f t="shared" si="52"/>
        <v>0</v>
      </c>
    </row>
    <row r="250" spans="1:19" s="161" customFormat="1" ht="15.6" customHeight="1">
      <c r="A250" s="62" t="s">
        <v>521</v>
      </c>
      <c r="B250" s="379"/>
      <c r="C250" s="380"/>
      <c r="D250" s="380"/>
      <c r="E250" s="380"/>
      <c r="F250" s="380"/>
      <c r="G250" s="380"/>
      <c r="H250" s="380"/>
      <c r="I250" s="380"/>
      <c r="J250" s="380"/>
      <c r="K250" s="380"/>
      <c r="L250" s="380"/>
      <c r="M250" s="380"/>
      <c r="N250" s="381">
        <f>B250+C250+D250+E250+F250+G250+H250+I250+J250+K250+L250+M250</f>
        <v>0</v>
      </c>
      <c r="O250" s="281">
        <f t="shared" si="51"/>
        <v>0</v>
      </c>
      <c r="P250" s="161" t="s">
        <v>522</v>
      </c>
      <c r="S250" s="283">
        <f t="shared" si="52"/>
        <v>0</v>
      </c>
    </row>
    <row r="251" spans="1:19" s="161" customFormat="1" ht="15.6" customHeight="1">
      <c r="A251" s="62" t="s">
        <v>523</v>
      </c>
      <c r="B251" s="379"/>
      <c r="C251" s="380"/>
      <c r="D251" s="219">
        <v>-7596.09</v>
      </c>
      <c r="E251" s="219">
        <v>-27430.01</v>
      </c>
      <c r="F251" s="517">
        <v>-22157.16</v>
      </c>
      <c r="G251" s="219">
        <v>-25113.08</v>
      </c>
      <c r="H251" s="380"/>
      <c r="I251" s="380"/>
      <c r="J251" s="380"/>
      <c r="K251" s="380"/>
      <c r="L251" s="380"/>
      <c r="M251" s="380"/>
      <c r="N251" s="381">
        <f>B251+C251+D251+E251+F251+G251+H251+I251+J251+K251+L251+M251</f>
        <v>-82296.34</v>
      </c>
      <c r="O251" s="281">
        <f t="shared" si="51"/>
        <v>0</v>
      </c>
      <c r="P251" s="161" t="s">
        <v>524</v>
      </c>
      <c r="S251" s="283">
        <f t="shared" si="52"/>
        <v>0</v>
      </c>
    </row>
    <row r="252" spans="1:19" s="161" customFormat="1" ht="15.6" customHeight="1">
      <c r="A252" s="62" t="s">
        <v>525</v>
      </c>
      <c r="B252" s="379"/>
      <c r="C252" s="380"/>
      <c r="E252" s="210">
        <v>12823.04</v>
      </c>
      <c r="F252" s="516">
        <v>6414.77</v>
      </c>
      <c r="G252" s="210">
        <v>6283.39</v>
      </c>
      <c r="H252" s="380"/>
      <c r="I252" s="380"/>
      <c r="J252" s="380"/>
      <c r="K252" s="380"/>
      <c r="L252" s="380"/>
      <c r="M252" s="380"/>
      <c r="N252" s="381" t="e">
        <f>B252+C252+E252+#REF!+F252+G252+H252+I252+J252+K252+L252+M252</f>
        <v>#REF!</v>
      </c>
      <c r="O252" s="281" t="e">
        <f t="shared" si="51"/>
        <v>#REF!</v>
      </c>
      <c r="P252" s="161" t="s">
        <v>526</v>
      </c>
      <c r="S252" s="283">
        <f t="shared" si="52"/>
        <v>0</v>
      </c>
    </row>
    <row r="253" spans="1:19" s="161" customFormat="1" ht="15.6" customHeight="1">
      <c r="A253" s="62" t="s">
        <v>527</v>
      </c>
      <c r="B253" s="379"/>
      <c r="C253" s="380"/>
      <c r="D253" s="210">
        <v>11751.24</v>
      </c>
      <c r="E253" s="211">
        <v>601.04999999999995</v>
      </c>
      <c r="F253" s="516">
        <v>2154.0700000000002</v>
      </c>
      <c r="G253" s="210">
        <v>1410.02</v>
      </c>
      <c r="H253" s="380"/>
      <c r="I253" s="380"/>
      <c r="J253" s="380"/>
      <c r="K253" s="380"/>
      <c r="L253" s="380"/>
      <c r="M253" s="380"/>
      <c r="N253" s="381" t="e">
        <f>B253+C253+E253+#REF!+F253+G253+H253+I253+J253+K253+L253+M253</f>
        <v>#REF!</v>
      </c>
      <c r="O253" s="281" t="e">
        <f t="shared" si="51"/>
        <v>#REF!</v>
      </c>
      <c r="P253" s="161" t="s">
        <v>528</v>
      </c>
      <c r="S253" s="283">
        <f t="shared" si="52"/>
        <v>0</v>
      </c>
    </row>
    <row r="254" spans="1:19" s="161" customFormat="1" ht="15.6" customHeight="1">
      <c r="A254" s="62" t="s">
        <v>529</v>
      </c>
      <c r="B254" s="379"/>
      <c r="C254" s="380"/>
      <c r="D254" s="210">
        <v>6512.06</v>
      </c>
      <c r="E254" s="210">
        <v>13086.98</v>
      </c>
      <c r="F254" s="516">
        <v>22300.2</v>
      </c>
      <c r="G254" s="210">
        <v>17194.57</v>
      </c>
      <c r="H254" s="380"/>
      <c r="I254" s="380"/>
      <c r="J254" s="380"/>
      <c r="K254" s="380"/>
      <c r="L254" s="380"/>
      <c r="M254" s="380"/>
      <c r="N254" s="381" t="e">
        <f>B254+C254+E254+#REF!+F254+G254+H254+I254+J254+K254+L254+M254</f>
        <v>#REF!</v>
      </c>
      <c r="O254" s="281" t="e">
        <f t="shared" si="51"/>
        <v>#REF!</v>
      </c>
      <c r="P254" s="161" t="s">
        <v>530</v>
      </c>
      <c r="S254" s="283">
        <f t="shared" si="52"/>
        <v>0</v>
      </c>
    </row>
    <row r="255" spans="1:19" ht="16.149999999999999" customHeight="1">
      <c r="A255" s="42" t="s">
        <v>531</v>
      </c>
      <c r="B255" s="377">
        <f t="shared" ref="B255:N255" si="53">SUM(B256:B262)</f>
        <v>0</v>
      </c>
      <c r="C255" s="377">
        <f t="shared" si="53"/>
        <v>0</v>
      </c>
      <c r="D255" s="377">
        <f t="shared" si="53"/>
        <v>385698.72</v>
      </c>
      <c r="E255" s="377">
        <f t="shared" si="53"/>
        <v>182149.85000000003</v>
      </c>
      <c r="F255" s="377">
        <f t="shared" si="53"/>
        <v>140311.02000000002</v>
      </c>
      <c r="G255" s="377">
        <f t="shared" si="53"/>
        <v>121570.09</v>
      </c>
      <c r="H255" s="377">
        <f t="shared" si="53"/>
        <v>0</v>
      </c>
      <c r="I255" s="377">
        <f t="shared" si="53"/>
        <v>0</v>
      </c>
      <c r="J255" s="377">
        <f t="shared" si="53"/>
        <v>0</v>
      </c>
      <c r="K255" s="377">
        <f t="shared" si="53"/>
        <v>0</v>
      </c>
      <c r="L255" s="377">
        <f t="shared" si="53"/>
        <v>0</v>
      </c>
      <c r="M255" s="377">
        <f t="shared" si="53"/>
        <v>0</v>
      </c>
      <c r="N255" s="377" t="e">
        <f t="shared" si="53"/>
        <v>#REF!</v>
      </c>
      <c r="O255" s="281" t="e">
        <f t="shared" si="51"/>
        <v>#REF!</v>
      </c>
      <c r="P255" s="157" t="s">
        <v>532</v>
      </c>
      <c r="S255" s="282">
        <f t="shared" si="52"/>
        <v>0</v>
      </c>
    </row>
    <row r="256" spans="1:19" s="161" customFormat="1" ht="15.6" customHeight="1">
      <c r="A256" s="62" t="s">
        <v>533</v>
      </c>
      <c r="B256" s="379"/>
      <c r="C256" s="380"/>
      <c r="D256" s="380"/>
      <c r="E256" s="380"/>
      <c r="F256" s="380"/>
      <c r="G256" s="380"/>
      <c r="H256" s="380"/>
      <c r="I256" s="380"/>
      <c r="J256" s="380"/>
      <c r="K256" s="380"/>
      <c r="L256" s="380"/>
      <c r="M256" s="380"/>
      <c r="N256" s="381">
        <f>B256+C256+D256+E256+F256+G256+H256+I256+J256+K256+L256+M256</f>
        <v>0</v>
      </c>
      <c r="O256" s="281">
        <f t="shared" si="51"/>
        <v>0</v>
      </c>
      <c r="P256" s="161" t="s">
        <v>534</v>
      </c>
      <c r="S256" s="283">
        <f t="shared" si="52"/>
        <v>0</v>
      </c>
    </row>
    <row r="257" spans="1:19" s="161" customFormat="1" ht="15.6" customHeight="1">
      <c r="A257" s="62" t="s">
        <v>535</v>
      </c>
      <c r="B257" s="379"/>
      <c r="C257" s="380"/>
      <c r="D257" s="380"/>
      <c r="E257" s="380"/>
      <c r="F257" s="380"/>
      <c r="G257" s="380"/>
      <c r="H257" s="380"/>
      <c r="I257" s="380"/>
      <c r="J257" s="380"/>
      <c r="K257" s="380"/>
      <c r="L257" s="380"/>
      <c r="M257" s="380"/>
      <c r="N257" s="381">
        <f>B257+C257+D257+E257+F257+G257+H257+I257+J257+K257+L257+M257</f>
        <v>0</v>
      </c>
      <c r="O257" s="281">
        <f t="shared" si="51"/>
        <v>0</v>
      </c>
      <c r="P257" s="161" t="s">
        <v>536</v>
      </c>
      <c r="S257" s="283">
        <f t="shared" si="52"/>
        <v>0</v>
      </c>
    </row>
    <row r="258" spans="1:19" s="161" customFormat="1" ht="15.6" customHeight="1">
      <c r="A258" s="62" t="s">
        <v>537</v>
      </c>
      <c r="B258" s="379"/>
      <c r="C258" s="380"/>
      <c r="D258" s="219">
        <v>-27988.17</v>
      </c>
      <c r="E258" s="219">
        <v>-95472.84</v>
      </c>
      <c r="F258" s="517">
        <v>-99079.14</v>
      </c>
      <c r="G258" s="219">
        <v>-98996.95</v>
      </c>
      <c r="H258" s="380"/>
      <c r="I258" s="380"/>
      <c r="J258" s="380"/>
      <c r="K258" s="380"/>
      <c r="L258" s="380"/>
      <c r="M258" s="380"/>
      <c r="N258" s="381">
        <f>B258+C258+D258+E258+F258+G258+H258+I258+J258+K258+L258+M258</f>
        <v>-321537.09999999998</v>
      </c>
      <c r="O258" s="281">
        <f t="shared" si="51"/>
        <v>0</v>
      </c>
      <c r="P258" s="161" t="s">
        <v>538</v>
      </c>
      <c r="S258" s="283">
        <f t="shared" si="52"/>
        <v>0</v>
      </c>
    </row>
    <row r="259" spans="1:19" s="161" customFormat="1" ht="15.6" customHeight="1">
      <c r="A259" s="62" t="s">
        <v>539</v>
      </c>
      <c r="B259" s="379"/>
      <c r="C259" s="380"/>
      <c r="D259" s="210">
        <v>133313.26999999999</v>
      </c>
      <c r="E259" s="210">
        <v>170319.23</v>
      </c>
      <c r="F259" s="516">
        <v>157026.42000000001</v>
      </c>
      <c r="G259" s="210">
        <v>95806.33</v>
      </c>
      <c r="H259" s="380"/>
      <c r="I259" s="380"/>
      <c r="J259" s="380"/>
      <c r="K259" s="380"/>
      <c r="L259" s="380"/>
      <c r="M259" s="380"/>
      <c r="N259" s="381" t="e">
        <f>B259+C259+E259+#REF!+F259+G259+H259+I259+J259+K259+L259+M259</f>
        <v>#REF!</v>
      </c>
      <c r="O259" s="281" t="e">
        <f t="shared" si="51"/>
        <v>#REF!</v>
      </c>
      <c r="P259" s="161" t="s">
        <v>540</v>
      </c>
      <c r="S259" s="283">
        <f t="shared" si="52"/>
        <v>0</v>
      </c>
    </row>
    <row r="260" spans="1:19" s="161" customFormat="1" ht="15.6" customHeight="1">
      <c r="A260" s="62" t="s">
        <v>541</v>
      </c>
      <c r="B260" s="379"/>
      <c r="C260" s="380"/>
      <c r="D260" s="210">
        <v>266235.07</v>
      </c>
      <c r="E260" s="210">
        <v>16834.099999999999</v>
      </c>
      <c r="F260" s="516">
        <v>10699.55</v>
      </c>
      <c r="G260" s="210">
        <v>2167.9299999999998</v>
      </c>
      <c r="H260" s="380"/>
      <c r="I260" s="380"/>
      <c r="J260" s="380"/>
      <c r="K260" s="380"/>
      <c r="L260" s="380"/>
      <c r="M260" s="380"/>
      <c r="N260" s="381">
        <f>B260+C260+D260+E260+F260+G260+H260+I260+J260+K260+L260+M260</f>
        <v>295936.64999999997</v>
      </c>
      <c r="O260" s="281">
        <f t="shared" si="51"/>
        <v>0</v>
      </c>
      <c r="P260" s="161" t="s">
        <v>542</v>
      </c>
      <c r="S260" s="283">
        <f t="shared" si="52"/>
        <v>0</v>
      </c>
    </row>
    <row r="261" spans="1:19" s="161" customFormat="1" ht="15.6" customHeight="1">
      <c r="A261" s="62" t="s">
        <v>543</v>
      </c>
      <c r="B261" s="379"/>
      <c r="C261" s="380"/>
      <c r="D261" s="210">
        <v>14138.55</v>
      </c>
      <c r="E261" s="210">
        <v>90469.36</v>
      </c>
      <c r="F261" s="516">
        <v>71664.19</v>
      </c>
      <c r="G261" s="210">
        <v>122592.78</v>
      </c>
      <c r="H261" s="380"/>
      <c r="I261" s="380"/>
      <c r="J261" s="380"/>
      <c r="K261" s="380"/>
      <c r="L261" s="380"/>
      <c r="M261" s="380"/>
      <c r="N261" s="381" t="e">
        <f>B261+C261+E261+#REF!+F261+G261+H261+I261+J261+K261+L261+M261</f>
        <v>#REF!</v>
      </c>
      <c r="O261" s="281" t="e">
        <f t="shared" si="51"/>
        <v>#REF!</v>
      </c>
      <c r="P261" s="161" t="s">
        <v>544</v>
      </c>
      <c r="S261" s="283">
        <f t="shared" si="52"/>
        <v>0</v>
      </c>
    </row>
    <row r="262" spans="1:19" s="161" customFormat="1" ht="15.6" customHeight="1">
      <c r="A262" s="62" t="s">
        <v>545</v>
      </c>
      <c r="B262" s="379"/>
      <c r="C262" s="380"/>
      <c r="D262" s="380"/>
      <c r="E262" s="380"/>
      <c r="F262" s="380"/>
      <c r="G262" s="380"/>
      <c r="H262" s="380"/>
      <c r="I262" s="380"/>
      <c r="J262" s="380"/>
      <c r="K262" s="380"/>
      <c r="L262" s="380"/>
      <c r="M262" s="380"/>
      <c r="N262" s="381">
        <f>B262+C262+D262+E262+F262+G262+H262+I262+J262+K262+L262+M262</f>
        <v>0</v>
      </c>
      <c r="O262" s="281"/>
      <c r="P262" s="161" t="s">
        <v>546</v>
      </c>
      <c r="S262" s="283"/>
    </row>
    <row r="263" spans="1:19" ht="16.149999999999999" customHeight="1">
      <c r="A263" s="42" t="s">
        <v>547</v>
      </c>
      <c r="B263" s="377">
        <f t="shared" ref="B263:N263" si="54">SUM(B264:B267)</f>
        <v>0</v>
      </c>
      <c r="C263" s="377">
        <f t="shared" si="54"/>
        <v>0</v>
      </c>
      <c r="D263" s="377">
        <f t="shared" si="54"/>
        <v>59772.890000000007</v>
      </c>
      <c r="E263" s="377">
        <f t="shared" si="54"/>
        <v>54852.24</v>
      </c>
      <c r="F263" s="377">
        <f t="shared" si="54"/>
        <v>127958.38</v>
      </c>
      <c r="G263" s="377">
        <f t="shared" si="54"/>
        <v>29527.34</v>
      </c>
      <c r="H263" s="377">
        <f t="shared" si="54"/>
        <v>0</v>
      </c>
      <c r="I263" s="377">
        <f t="shared" si="54"/>
        <v>0</v>
      </c>
      <c r="J263" s="377">
        <f t="shared" si="54"/>
        <v>0</v>
      </c>
      <c r="K263" s="377">
        <f t="shared" si="54"/>
        <v>0</v>
      </c>
      <c r="L263" s="377">
        <f t="shared" si="54"/>
        <v>0</v>
      </c>
      <c r="M263" s="377">
        <f t="shared" si="54"/>
        <v>0</v>
      </c>
      <c r="N263" s="377" t="e">
        <f t="shared" si="54"/>
        <v>#REF!</v>
      </c>
      <c r="O263" s="281" t="e">
        <f>+SUM($B263:$M263)-N263</f>
        <v>#REF!</v>
      </c>
      <c r="P263" s="157" t="s">
        <v>548</v>
      </c>
      <c r="S263" s="282">
        <f>H263/1000</f>
        <v>0</v>
      </c>
    </row>
    <row r="264" spans="1:19" s="161" customFormat="1" ht="15.6" customHeight="1">
      <c r="A264" s="62" t="s">
        <v>549</v>
      </c>
      <c r="B264" s="379"/>
      <c r="C264" s="380"/>
      <c r="D264" s="210">
        <v>51232.55</v>
      </c>
      <c r="E264" s="210">
        <v>28992.87</v>
      </c>
      <c r="F264" s="516">
        <v>69314</v>
      </c>
      <c r="G264" s="210">
        <v>15135.43</v>
      </c>
      <c r="H264" s="380"/>
      <c r="I264" s="380"/>
      <c r="J264" s="380"/>
      <c r="K264" s="380"/>
      <c r="L264" s="380"/>
      <c r="M264" s="380"/>
      <c r="N264" s="381">
        <f>B264+C264+D264+E264+F264+G264+H264+I264+J264+K264+L264+M264</f>
        <v>164674.84999999998</v>
      </c>
      <c r="O264" s="281">
        <f>+SUM($B264:$M264)-N264</f>
        <v>0</v>
      </c>
      <c r="P264" s="161" t="s">
        <v>550</v>
      </c>
      <c r="S264" s="283">
        <f>H264/1000</f>
        <v>0</v>
      </c>
    </row>
    <row r="265" spans="1:19" s="161" customFormat="1" ht="15.6" customHeight="1">
      <c r="A265" s="62" t="s">
        <v>551</v>
      </c>
      <c r="B265" s="379"/>
      <c r="C265" s="380"/>
      <c r="D265" s="210">
        <v>7822.62</v>
      </c>
      <c r="E265" s="210">
        <v>18690.16</v>
      </c>
      <c r="F265" s="516">
        <v>9294.3799999999992</v>
      </c>
      <c r="G265" s="210">
        <v>4702.18</v>
      </c>
      <c r="H265" s="380"/>
      <c r="I265" s="380"/>
      <c r="J265" s="380"/>
      <c r="K265" s="380"/>
      <c r="L265" s="380"/>
      <c r="M265" s="380"/>
      <c r="N265" s="381" t="e">
        <f>B265+C265+E265+#REF!+F265+G265+H265+I265+J265+K265+L265+M265</f>
        <v>#REF!</v>
      </c>
      <c r="O265" s="281" t="e">
        <f>+SUM($B265:$M265)-N265</f>
        <v>#REF!</v>
      </c>
      <c r="P265" s="161" t="s">
        <v>552</v>
      </c>
      <c r="S265" s="283">
        <f>H265/1000</f>
        <v>0</v>
      </c>
    </row>
    <row r="266" spans="1:19" s="161" customFormat="1" ht="15.6" customHeight="1">
      <c r="A266" s="62" t="s">
        <v>553</v>
      </c>
      <c r="B266" s="379"/>
      <c r="C266" s="380"/>
      <c r="D266" s="211">
        <v>717.72</v>
      </c>
      <c r="E266" s="210">
        <v>7169.21</v>
      </c>
      <c r="F266" s="516">
        <v>49350</v>
      </c>
      <c r="G266" s="210">
        <v>9689.73</v>
      </c>
      <c r="H266" s="380"/>
      <c r="I266" s="380"/>
      <c r="J266" s="380"/>
      <c r="K266" s="380"/>
      <c r="L266" s="380"/>
      <c r="M266" s="380"/>
      <c r="N266" s="381" t="e">
        <f>B266+C266+E266+#REF!+F266+G266+H266+I266+J266+K266+L266+M266</f>
        <v>#REF!</v>
      </c>
      <c r="O266" s="281" t="e">
        <f>+SUM($B266:$M266)-N266</f>
        <v>#REF!</v>
      </c>
      <c r="P266" s="161" t="s">
        <v>554</v>
      </c>
      <c r="S266" s="283">
        <f>H266/1000</f>
        <v>0</v>
      </c>
    </row>
    <row r="267" spans="1:19" s="161" customFormat="1" ht="15.6" customHeight="1">
      <c r="A267" s="24"/>
      <c r="B267" s="379"/>
      <c r="C267" s="380"/>
      <c r="D267" s="380"/>
      <c r="E267" s="380"/>
      <c r="F267" s="394"/>
      <c r="G267" s="394"/>
      <c r="H267" s="394"/>
      <c r="I267" s="394"/>
      <c r="J267" s="394"/>
      <c r="K267" s="394"/>
      <c r="L267" s="394"/>
      <c r="M267" s="394"/>
      <c r="N267" s="399">
        <f>B267+C267+D267+E267+F267+G267+H267+I267+J267+K267+L267+M267</f>
        <v>0</v>
      </c>
      <c r="O267" s="281">
        <f>+SUM($B267:$M267)-N267</f>
        <v>0</v>
      </c>
      <c r="S267" s="283">
        <f>H267/1000</f>
        <v>0</v>
      </c>
    </row>
    <row r="268" spans="1:19">
      <c r="B268" s="395"/>
      <c r="C268" s="395"/>
      <c r="D268" s="395"/>
      <c r="E268" s="395"/>
      <c r="F268" s="395"/>
      <c r="N268" s="396"/>
    </row>
    <row r="269" spans="1:19" ht="18" customHeight="1">
      <c r="A269" s="171" t="s">
        <v>23</v>
      </c>
      <c r="B269" s="393">
        <f t="shared" ref="B269:N269" si="55">+B248+B255+B263</f>
        <v>0</v>
      </c>
      <c r="C269" s="393">
        <f t="shared" si="55"/>
        <v>0</v>
      </c>
      <c r="D269" s="393">
        <f t="shared" si="55"/>
        <v>456138.82</v>
      </c>
      <c r="E269" s="393">
        <f t="shared" si="55"/>
        <v>236083.15000000002</v>
      </c>
      <c r="F269" s="393">
        <f t="shared" si="55"/>
        <v>276981.28000000003</v>
      </c>
      <c r="G269" s="393">
        <f t="shared" si="55"/>
        <v>150872.32999999999</v>
      </c>
      <c r="H269" s="393">
        <f t="shared" si="55"/>
        <v>0</v>
      </c>
      <c r="I269" s="393">
        <f t="shared" si="55"/>
        <v>0</v>
      </c>
      <c r="J269" s="393">
        <f t="shared" si="55"/>
        <v>0</v>
      </c>
      <c r="K269" s="393">
        <f t="shared" si="55"/>
        <v>0</v>
      </c>
      <c r="L269" s="393">
        <f t="shared" si="55"/>
        <v>0</v>
      </c>
      <c r="M269" s="393">
        <f t="shared" si="55"/>
        <v>0</v>
      </c>
      <c r="N269" s="393" t="e">
        <f t="shared" si="55"/>
        <v>#REF!</v>
      </c>
      <c r="O269" s="281" t="e">
        <f>+SUM($B269:$M269)-N269</f>
        <v>#REF!</v>
      </c>
      <c r="P269" s="170" t="s">
        <v>555</v>
      </c>
      <c r="Q269" s="170"/>
      <c r="R269" s="170"/>
      <c r="S269" s="393">
        <f>H269/1000</f>
        <v>0</v>
      </c>
    </row>
    <row r="270" spans="1:19">
      <c r="B270" s="395"/>
      <c r="C270" s="395"/>
      <c r="D270" s="395"/>
      <c r="E270" s="395"/>
      <c r="F270" s="395"/>
      <c r="N270" s="396"/>
    </row>
    <row r="271" spans="1:19">
      <c r="B271" s="395"/>
      <c r="C271" s="395"/>
      <c r="D271" s="395"/>
      <c r="E271" s="395"/>
      <c r="F271" s="395"/>
      <c r="N271" s="396"/>
    </row>
    <row r="272" spans="1:19">
      <c r="A272" s="3" t="s">
        <v>20</v>
      </c>
      <c r="B272" s="395" t="e">
        <f>'Отчет о фин.рез.'!B4*1000/Расходы!B274</f>
        <v>#DIV/0!</v>
      </c>
      <c r="C272" s="395" t="e">
        <f>'Отчет о фин.рез.'!C4*1000/Расходы!C274</f>
        <v>#DIV/0!</v>
      </c>
      <c r="D272" s="395" t="e">
        <f>'Отчет о фин.рез.'!D4*1000/Расходы!D274</f>
        <v>#DIV/0!</v>
      </c>
      <c r="E272" s="395" t="e">
        <f>'Отчет о фин.рез.'!E4*1000/Расходы!E274</f>
        <v>#DIV/0!</v>
      </c>
      <c r="F272" s="395" t="e">
        <f>'Отчет о фин.рез.'!F4*1000/Расходы!F274</f>
        <v>#DIV/0!</v>
      </c>
      <c r="G272" s="395">
        <f>'Отчет о фин.рез.'!G4*1000/Расходы!G274</f>
        <v>0</v>
      </c>
      <c r="H272" s="395" t="e">
        <f>'Отчет о фин.рез.'!H4*1000/Расходы!H274</f>
        <v>#DIV/0!</v>
      </c>
      <c r="I272" s="395" t="e">
        <f>'Отчет о фин.рез.'!I4*1000/Расходы!I274</f>
        <v>#DIV/0!</v>
      </c>
      <c r="J272" s="395" t="e">
        <f>'Отчет о фин.рез.'!J4*1000/Расходы!J274</f>
        <v>#DIV/0!</v>
      </c>
      <c r="K272" s="395" t="e">
        <f>'Отчет о фин.рез.'!K4*1000/Расходы!K274</f>
        <v>#DIV/0!</v>
      </c>
      <c r="L272" s="395" t="e">
        <f>'Отчет о фин.рез.'!L4*1000/Расходы!L274</f>
        <v>#DIV/0!</v>
      </c>
      <c r="M272" s="395" t="e">
        <f>'Отчет о фин.рез.'!M4*1000/Расходы!M274</f>
        <v>#DIV/0!</v>
      </c>
      <c r="N272" s="395">
        <f>'Отчет о фин.рез.'!N4*1000/Расходы!N274</f>
        <v>0</v>
      </c>
      <c r="S272" s="405"/>
    </row>
    <row r="273" spans="1:19">
      <c r="A273" s="3" t="s">
        <v>556</v>
      </c>
      <c r="B273" s="395" t="e">
        <f>'Отчет о фин.рез.'!B22*1000/Расходы!B274</f>
        <v>#DIV/0!</v>
      </c>
      <c r="C273" s="395" t="e">
        <f>'Отчет о фин.рез.'!C22*1000/Расходы!C274</f>
        <v>#DIV/0!</v>
      </c>
      <c r="D273" s="395" t="e">
        <f>'Отчет о фин.рез.'!D22*1000/Расходы!D274</f>
        <v>#DIV/0!</v>
      </c>
      <c r="E273" s="395" t="e">
        <f>'Отчет о фин.рез.'!E22*1000/Расходы!E274</f>
        <v>#DIV/0!</v>
      </c>
      <c r="F273" s="395" t="e">
        <f>'Отчет о фин.рез.'!F22*1000/Расходы!F274</f>
        <v>#DIV/0!</v>
      </c>
      <c r="G273" s="395">
        <f>'Отчет о фин.рез.'!G22*1000/Расходы!G274</f>
        <v>0</v>
      </c>
      <c r="H273" s="395" t="e">
        <f>'Отчет о фин.рез.'!H22*1000/Расходы!H274</f>
        <v>#DIV/0!</v>
      </c>
      <c r="I273" s="395" t="e">
        <f>'Отчет о фин.рез.'!I22*1000/Расходы!I274</f>
        <v>#DIV/0!</v>
      </c>
      <c r="J273" s="395" t="e">
        <f>'Отчет о фин.рез.'!J22*1000/Расходы!J274</f>
        <v>#DIV/0!</v>
      </c>
      <c r="K273" s="395" t="e">
        <f>'Отчет о фин.рез.'!K22*1000/Расходы!K274</f>
        <v>#DIV/0!</v>
      </c>
      <c r="L273" s="395" t="e">
        <f>'Отчет о фин.рез.'!L22*1000/Расходы!L274</f>
        <v>#DIV/0!</v>
      </c>
      <c r="M273" s="395" t="e">
        <f>'Отчет о фин.рез.'!M22*1000/Расходы!M274</f>
        <v>#DIV/0!</v>
      </c>
      <c r="N273" s="395">
        <f>'Отчет о фин.рез.'!N22*1000/Расходы!N274</f>
        <v>0</v>
      </c>
      <c r="S273" s="405"/>
    </row>
    <row r="274" spans="1:19">
      <c r="A274" s="3" t="s">
        <v>557</v>
      </c>
      <c r="B274" s="371">
        <f>'Отчет о фин.рез.'!B8</f>
        <v>0</v>
      </c>
      <c r="C274" s="371">
        <f>'Отчет о фин.рез.'!C8</f>
        <v>0</v>
      </c>
      <c r="D274" s="371">
        <f>'Отчет о фин.рез.'!D8</f>
        <v>0</v>
      </c>
      <c r="E274" s="371">
        <f>'Отчет о фин.рез.'!E8</f>
        <v>0</v>
      </c>
      <c r="F274" s="371">
        <f>'Отчет о фин.рез.'!F8</f>
        <v>0</v>
      </c>
      <c r="G274" s="371">
        <f>'Отчет о фин.рез.'!G8</f>
        <v>81</v>
      </c>
      <c r="H274" s="371">
        <f>'Отчет о фин.рез.'!H8</f>
        <v>0</v>
      </c>
      <c r="I274" s="371">
        <f>'Отчет о фин.рез.'!I8</f>
        <v>0</v>
      </c>
      <c r="J274" s="371">
        <f>'Отчет о фин.рез.'!J8</f>
        <v>0</v>
      </c>
      <c r="K274" s="371">
        <f>'Отчет о фин.рез.'!K8</f>
        <v>0</v>
      </c>
      <c r="L274" s="371">
        <f>'Отчет о фин.рез.'!L8</f>
        <v>0</v>
      </c>
      <c r="M274" s="371">
        <f>'Отчет о фин.рез.'!M8</f>
        <v>0</v>
      </c>
      <c r="N274" s="371">
        <f>'Отчет о фин.рез.'!N8</f>
        <v>81</v>
      </c>
      <c r="S274" s="157"/>
    </row>
    <row r="275" spans="1:19">
      <c r="A275" s="3" t="s">
        <v>558</v>
      </c>
      <c r="B275" s="371" t="e">
        <f>Расходы!B176/'Отчет о фин.рез.'!B2*'Отчет о фин.рез.'!B4/Расходы!B274</f>
        <v>#DIV/0!</v>
      </c>
      <c r="C275" s="371" t="e">
        <f>Расходы!C176/'Отчет о фин.рез.'!C2*'Отчет о фин.рез.'!C4/Расходы!C274</f>
        <v>#DIV/0!</v>
      </c>
      <c r="D275" s="371" t="e">
        <f>Расходы!D176/'Отчет о фин.рез.'!D2*'Отчет о фин.рез.'!D4/Расходы!D274</f>
        <v>#DIV/0!</v>
      </c>
      <c r="E275" s="371" t="e">
        <f>Расходы!E176/'Отчет о фин.рез.'!E2*'Отчет о фин.рез.'!E4/Расходы!E274</f>
        <v>#DIV/0!</v>
      </c>
      <c r="F275" s="371" t="e">
        <f>Расходы!F176/'Отчет о фин.рез.'!F2*'Отчет о фин.рез.'!F4/Расходы!F274</f>
        <v>#DIV/0!</v>
      </c>
      <c r="G275" s="371">
        <f>Расходы!G176/'Отчет о фин.рез.'!G2*'Отчет о фин.рез.'!G4/Расходы!G274</f>
        <v>0</v>
      </c>
      <c r="H275" s="371" t="e">
        <f>Расходы!H176/'Отчет о фин.рез.'!H2*'Отчет о фин.рез.'!H4/Расходы!H274</f>
        <v>#DIV/0!</v>
      </c>
      <c r="I275" s="371" t="e">
        <f>Расходы!I176/'Отчет о фин.рез.'!I2*'Отчет о фин.рез.'!I4/Расходы!I274</f>
        <v>#DIV/0!</v>
      </c>
      <c r="J275" s="371" t="e">
        <f>Расходы!J176/'Отчет о фин.рез.'!J2*'Отчет о фин.рез.'!J4/Расходы!J274</f>
        <v>#DIV/0!</v>
      </c>
      <c r="K275" s="371" t="e">
        <f>Расходы!K176/'Отчет о фин.рез.'!K2*'Отчет о фин.рез.'!K4/Расходы!K274</f>
        <v>#DIV/0!</v>
      </c>
      <c r="L275" s="371" t="e">
        <f>Расходы!L176/'Отчет о фин.рез.'!L2*'Отчет о фин.рез.'!L4/Расходы!L274</f>
        <v>#DIV/0!</v>
      </c>
      <c r="M275" s="371" t="e">
        <f>Расходы!M176/'Отчет о фин.рез.'!M2*'Отчет о фин.рез.'!M4/Расходы!M274</f>
        <v>#DIV/0!</v>
      </c>
      <c r="N275" s="371">
        <f>Расходы!N176/'Отчет о фин.рез.'!N2*'Отчет о фин.рез.'!N4/Расходы!N274</f>
        <v>0</v>
      </c>
      <c r="S275" s="406"/>
    </row>
    <row r="276" spans="1:19">
      <c r="A276" s="3" t="s">
        <v>559</v>
      </c>
      <c r="B276" s="371" t="e">
        <f>Расходы!B183/B274</f>
        <v>#DIV/0!</v>
      </c>
      <c r="C276" s="371" t="e">
        <f>Расходы!C183/C274</f>
        <v>#DIV/0!</v>
      </c>
      <c r="D276" s="371" t="e">
        <f>Расходы!D183/D274</f>
        <v>#DIV/0!</v>
      </c>
      <c r="E276" s="371" t="e">
        <f>Расходы!E183/E274</f>
        <v>#DIV/0!</v>
      </c>
      <c r="F276" s="371" t="e">
        <f>Расходы!F183/F274</f>
        <v>#DIV/0!</v>
      </c>
      <c r="G276" s="371">
        <f>Расходы!G183/G274</f>
        <v>0</v>
      </c>
      <c r="H276" s="371" t="e">
        <f>Расходы!H183/H274</f>
        <v>#DIV/0!</v>
      </c>
      <c r="I276" s="371" t="e">
        <f>Расходы!I183/I274</f>
        <v>#DIV/0!</v>
      </c>
      <c r="J276" s="371" t="e">
        <f>Расходы!J183/J274</f>
        <v>#DIV/0!</v>
      </c>
      <c r="K276" s="371" t="e">
        <f>Расходы!K183/K274</f>
        <v>#DIV/0!</v>
      </c>
      <c r="L276" s="371" t="e">
        <f>Расходы!L183/L274</f>
        <v>#DIV/0!</v>
      </c>
      <c r="M276" s="371" t="e">
        <f>Расходы!M183/M274</f>
        <v>#DIV/0!</v>
      </c>
      <c r="N276" s="371">
        <f>Расходы!N183/N274</f>
        <v>0</v>
      </c>
      <c r="S276" s="406"/>
    </row>
    <row r="277" spans="1:19">
      <c r="A277" s="3" t="s">
        <v>560</v>
      </c>
      <c r="B277" s="371" t="e">
        <f>(Расходы!B182+B184)/B274</f>
        <v>#DIV/0!</v>
      </c>
      <c r="C277" s="371" t="e">
        <f>(Расходы!C182+C184)/C274</f>
        <v>#DIV/0!</v>
      </c>
      <c r="D277" s="371" t="e">
        <f>(Расходы!D182+D184)/D274</f>
        <v>#DIV/0!</v>
      </c>
      <c r="E277" s="371" t="e">
        <f>(Расходы!E182+E184)/E274</f>
        <v>#DIV/0!</v>
      </c>
      <c r="F277" s="371" t="e">
        <f>(Расходы!F182+F184)/F274</f>
        <v>#DIV/0!</v>
      </c>
      <c r="G277" s="371">
        <f>(Расходы!G182+G184)/G274</f>
        <v>0</v>
      </c>
      <c r="H277" s="371" t="e">
        <f>(Расходы!H182+H184)/H274</f>
        <v>#DIV/0!</v>
      </c>
      <c r="I277" s="371" t="e">
        <f>(Расходы!I182+I184)/I274</f>
        <v>#DIV/0!</v>
      </c>
      <c r="J277" s="371" t="e">
        <f>(Расходы!J182+J184)/J274</f>
        <v>#DIV/0!</v>
      </c>
      <c r="K277" s="371" t="e">
        <f>(Расходы!K182+K184)/K274</f>
        <v>#DIV/0!</v>
      </c>
      <c r="L277" s="371" t="e">
        <f>(Расходы!L182+L184)/L274</f>
        <v>#DIV/0!</v>
      </c>
      <c r="M277" s="371" t="e">
        <f>(Расходы!M182+M184)/M274</f>
        <v>#DIV/0!</v>
      </c>
      <c r="N277" s="371">
        <f>(Расходы!N182+N184)/N274</f>
        <v>0</v>
      </c>
      <c r="S277" s="406"/>
    </row>
    <row r="278" spans="1:19">
      <c r="A278" s="3" t="s">
        <v>561</v>
      </c>
      <c r="B278" s="371" t="e">
        <f>Расходы!B191/B274</f>
        <v>#DIV/0!</v>
      </c>
      <c r="C278" s="371" t="e">
        <f>Расходы!C191/C274</f>
        <v>#DIV/0!</v>
      </c>
      <c r="D278" s="371" t="e">
        <f>Расходы!D191/D274</f>
        <v>#DIV/0!</v>
      </c>
      <c r="E278" s="371" t="e">
        <f>Расходы!E191/E274</f>
        <v>#DIV/0!</v>
      </c>
      <c r="F278" s="371" t="e">
        <f>Расходы!F191/F274</f>
        <v>#DIV/0!</v>
      </c>
      <c r="G278" s="371">
        <f>Расходы!G191/G274</f>
        <v>0</v>
      </c>
      <c r="H278" s="371" t="e">
        <f>Расходы!H191/H274</f>
        <v>#DIV/0!</v>
      </c>
      <c r="I278" s="371" t="e">
        <f>Расходы!I191/I274</f>
        <v>#DIV/0!</v>
      </c>
      <c r="J278" s="371" t="e">
        <f>Расходы!J191/J274</f>
        <v>#DIV/0!</v>
      </c>
      <c r="K278" s="371" t="e">
        <f>Расходы!K191/K274</f>
        <v>#DIV/0!</v>
      </c>
      <c r="L278" s="371" t="e">
        <f>Расходы!L191/L274</f>
        <v>#DIV/0!</v>
      </c>
      <c r="M278" s="371" t="e">
        <f>Расходы!M191/M274</f>
        <v>#DIV/0!</v>
      </c>
      <c r="N278" s="371">
        <f>Расходы!N191/N274</f>
        <v>0</v>
      </c>
      <c r="S278" s="406"/>
    </row>
    <row r="279" spans="1:19">
      <c r="A279" s="3" t="s">
        <v>562</v>
      </c>
      <c r="B279" s="371" t="e">
        <f>Расходы!B206/B274</f>
        <v>#DIV/0!</v>
      </c>
      <c r="C279" s="371" t="e">
        <f>Расходы!C206/C274</f>
        <v>#DIV/0!</v>
      </c>
      <c r="D279" s="371" t="e">
        <f>Расходы!D206/D274</f>
        <v>#DIV/0!</v>
      </c>
      <c r="E279" s="371" t="e">
        <f>Расходы!E206/E274</f>
        <v>#DIV/0!</v>
      </c>
      <c r="F279" s="371" t="e">
        <f>Расходы!F206/F274</f>
        <v>#DIV/0!</v>
      </c>
      <c r="G279" s="371">
        <f>Расходы!G206/G274</f>
        <v>0</v>
      </c>
      <c r="H279" s="371" t="e">
        <f>Расходы!H206/H274</f>
        <v>#DIV/0!</v>
      </c>
      <c r="I279" s="371" t="e">
        <f>Расходы!I206/I274</f>
        <v>#DIV/0!</v>
      </c>
      <c r="J279" s="371" t="e">
        <f>Расходы!J206/J274</f>
        <v>#DIV/0!</v>
      </c>
      <c r="K279" s="371" t="e">
        <f>Расходы!K206/K274</f>
        <v>#DIV/0!</v>
      </c>
      <c r="L279" s="371" t="e">
        <f>Расходы!L206/L274</f>
        <v>#DIV/0!</v>
      </c>
      <c r="M279" s="371" t="e">
        <f>Расходы!M206/M274</f>
        <v>#DIV/0!</v>
      </c>
      <c r="N279" s="371">
        <f>Расходы!N206/N274</f>
        <v>0</v>
      </c>
      <c r="S279" s="407"/>
    </row>
    <row r="280" spans="1:19">
      <c r="A280" s="3" t="s">
        <v>563</v>
      </c>
      <c r="B280" s="371" t="e">
        <f t="shared" ref="B280:N280" si="56">B273*4.5%</f>
        <v>#DIV/0!</v>
      </c>
      <c r="C280" s="371" t="e">
        <f t="shared" si="56"/>
        <v>#DIV/0!</v>
      </c>
      <c r="D280" s="371" t="e">
        <f t="shared" si="56"/>
        <v>#DIV/0!</v>
      </c>
      <c r="E280" s="371" t="e">
        <f t="shared" si="56"/>
        <v>#DIV/0!</v>
      </c>
      <c r="F280" s="371" t="e">
        <f t="shared" si="56"/>
        <v>#DIV/0!</v>
      </c>
      <c r="G280" s="371">
        <f t="shared" si="56"/>
        <v>0</v>
      </c>
      <c r="H280" s="371" t="e">
        <f t="shared" si="56"/>
        <v>#DIV/0!</v>
      </c>
      <c r="I280" s="371" t="e">
        <f t="shared" si="56"/>
        <v>#DIV/0!</v>
      </c>
      <c r="J280" s="371" t="e">
        <f t="shared" si="56"/>
        <v>#DIV/0!</v>
      </c>
      <c r="K280" s="371" t="e">
        <f t="shared" si="56"/>
        <v>#DIV/0!</v>
      </c>
      <c r="L280" s="371" t="e">
        <f t="shared" si="56"/>
        <v>#DIV/0!</v>
      </c>
      <c r="M280" s="371" t="e">
        <f t="shared" si="56"/>
        <v>#DIV/0!</v>
      </c>
      <c r="N280" s="371">
        <f t="shared" si="56"/>
        <v>0</v>
      </c>
      <c r="S280" s="406"/>
    </row>
    <row r="281" spans="1:19">
      <c r="A281" s="3" t="s">
        <v>564</v>
      </c>
      <c r="B281" s="371" t="e">
        <f>Расходы!B203/B274</f>
        <v>#DIV/0!</v>
      </c>
      <c r="C281" s="371" t="e">
        <f>Расходы!C203/C274</f>
        <v>#DIV/0!</v>
      </c>
      <c r="D281" s="371" t="e">
        <f>Расходы!D203/D274</f>
        <v>#DIV/0!</v>
      </c>
      <c r="E281" s="371" t="e">
        <f>Расходы!E203/E274</f>
        <v>#DIV/0!</v>
      </c>
      <c r="F281" s="371" t="e">
        <f>Расходы!F203/F274</f>
        <v>#DIV/0!</v>
      </c>
      <c r="G281" s="371">
        <f>Расходы!G203/G274</f>
        <v>0</v>
      </c>
      <c r="H281" s="371" t="e">
        <f>Расходы!H203/H274</f>
        <v>#DIV/0!</v>
      </c>
      <c r="I281" s="371" t="e">
        <f>Расходы!I203/I274</f>
        <v>#DIV/0!</v>
      </c>
      <c r="J281" s="371" t="e">
        <f>Расходы!J203/J274</f>
        <v>#DIV/0!</v>
      </c>
      <c r="K281" s="371" t="e">
        <f>Расходы!K203/K274</f>
        <v>#DIV/0!</v>
      </c>
      <c r="L281" s="371" t="e">
        <f>Расходы!L203/L274</f>
        <v>#DIV/0!</v>
      </c>
      <c r="M281" s="371" t="e">
        <f>Расходы!M203/M274</f>
        <v>#DIV/0!</v>
      </c>
      <c r="N281" s="371">
        <f>Расходы!N203/N274</f>
        <v>0</v>
      </c>
      <c r="S281" s="406"/>
    </row>
    <row r="282" spans="1:19">
      <c r="A282" s="3" t="s">
        <v>565</v>
      </c>
      <c r="B282" s="371" t="e">
        <f t="shared" ref="B282:N282" si="57">B273-SUM(B275:B281)</f>
        <v>#DIV/0!</v>
      </c>
      <c r="C282" s="371" t="e">
        <f t="shared" si="57"/>
        <v>#DIV/0!</v>
      </c>
      <c r="D282" s="371" t="e">
        <f t="shared" si="57"/>
        <v>#DIV/0!</v>
      </c>
      <c r="E282" s="371" t="e">
        <f t="shared" si="57"/>
        <v>#DIV/0!</v>
      </c>
      <c r="F282" s="371" t="e">
        <f t="shared" si="57"/>
        <v>#DIV/0!</v>
      </c>
      <c r="G282" s="371">
        <f t="shared" si="57"/>
        <v>0</v>
      </c>
      <c r="H282" s="371" t="e">
        <f t="shared" si="57"/>
        <v>#DIV/0!</v>
      </c>
      <c r="I282" s="371" t="e">
        <f t="shared" si="57"/>
        <v>#DIV/0!</v>
      </c>
      <c r="J282" s="371" t="e">
        <f t="shared" si="57"/>
        <v>#DIV/0!</v>
      </c>
      <c r="K282" s="371" t="e">
        <f t="shared" si="57"/>
        <v>#DIV/0!</v>
      </c>
      <c r="L282" s="371" t="e">
        <f t="shared" si="57"/>
        <v>#DIV/0!</v>
      </c>
      <c r="M282" s="371" t="e">
        <f t="shared" si="57"/>
        <v>#DIV/0!</v>
      </c>
      <c r="N282" s="371">
        <f t="shared" si="57"/>
        <v>0</v>
      </c>
      <c r="S282" s="406"/>
    </row>
    <row r="283" spans="1:19">
      <c r="A283" s="3" t="s">
        <v>566</v>
      </c>
      <c r="B283" s="371" t="e">
        <f t="shared" ref="B283:N283" si="58">B282/B272</f>
        <v>#DIV/0!</v>
      </c>
      <c r="C283" s="371" t="e">
        <f t="shared" si="58"/>
        <v>#DIV/0!</v>
      </c>
      <c r="D283" s="371" t="e">
        <f t="shared" si="58"/>
        <v>#DIV/0!</v>
      </c>
      <c r="E283" s="371" t="e">
        <f t="shared" si="58"/>
        <v>#DIV/0!</v>
      </c>
      <c r="F283" s="371" t="e">
        <f t="shared" si="58"/>
        <v>#DIV/0!</v>
      </c>
      <c r="G283" s="371" t="e">
        <f t="shared" si="58"/>
        <v>#DIV/0!</v>
      </c>
      <c r="H283" s="371" t="e">
        <f t="shared" si="58"/>
        <v>#DIV/0!</v>
      </c>
      <c r="I283" s="371" t="e">
        <f t="shared" si="58"/>
        <v>#DIV/0!</v>
      </c>
      <c r="J283" s="371" t="e">
        <f t="shared" si="58"/>
        <v>#DIV/0!</v>
      </c>
      <c r="K283" s="371" t="e">
        <f t="shared" si="58"/>
        <v>#DIV/0!</v>
      </c>
      <c r="L283" s="371" t="e">
        <f t="shared" si="58"/>
        <v>#DIV/0!</v>
      </c>
      <c r="M283" s="371" t="e">
        <f t="shared" si="58"/>
        <v>#DIV/0!</v>
      </c>
      <c r="N283" s="371" t="e">
        <f t="shared" si="58"/>
        <v>#DIV/0!</v>
      </c>
      <c r="S283" s="7"/>
    </row>
    <row r="284" spans="1:19">
      <c r="N284" s="396"/>
    </row>
    <row r="285" spans="1:19">
      <c r="N285" s="396"/>
    </row>
    <row r="286" spans="1:19">
      <c r="N286" s="396"/>
    </row>
    <row r="288" spans="1:19" ht="115.15" customHeight="1">
      <c r="C288" s="408" t="s">
        <v>567</v>
      </c>
      <c r="D288" s="409" t="s">
        <v>568</v>
      </c>
      <c r="E288" s="409" t="s">
        <v>569</v>
      </c>
      <c r="F288" s="409" t="s">
        <v>570</v>
      </c>
      <c r="G288" s="409" t="s">
        <v>559</v>
      </c>
      <c r="H288" s="409" t="s">
        <v>560</v>
      </c>
      <c r="I288" s="409" t="s">
        <v>36</v>
      </c>
      <c r="J288" s="409" t="s">
        <v>482</v>
      </c>
      <c r="K288" s="409" t="s">
        <v>571</v>
      </c>
      <c r="L288" s="410" t="s">
        <v>368</v>
      </c>
      <c r="M288" s="409" t="s">
        <v>572</v>
      </c>
      <c r="N288" s="409" t="s">
        <v>354</v>
      </c>
      <c r="O288" s="12" t="s">
        <v>573</v>
      </c>
      <c r="Q288" s="11" t="s">
        <v>574</v>
      </c>
      <c r="R288" s="11" t="s">
        <v>460</v>
      </c>
      <c r="S288" s="294" t="s">
        <v>575</v>
      </c>
    </row>
    <row r="289" spans="1:19" ht="18" customHeight="1">
      <c r="C289" s="411"/>
      <c r="D289" s="411" t="s">
        <v>576</v>
      </c>
      <c r="E289" s="412" t="s">
        <v>577</v>
      </c>
      <c r="F289" s="412" t="s">
        <v>578</v>
      </c>
      <c r="G289" s="412" t="s">
        <v>579</v>
      </c>
      <c r="H289" s="413" t="s">
        <v>91</v>
      </c>
      <c r="I289" s="412" t="s">
        <v>580</v>
      </c>
      <c r="J289" s="414" t="s">
        <v>482</v>
      </c>
      <c r="K289" s="412" t="s">
        <v>581</v>
      </c>
      <c r="L289" s="415" t="s">
        <v>582</v>
      </c>
      <c r="M289" s="416"/>
      <c r="N289" s="416"/>
      <c r="O289" s="15"/>
      <c r="Q289" s="14"/>
      <c r="R289" s="175" t="s">
        <v>583</v>
      </c>
      <c r="S289" s="295" t="s">
        <v>584</v>
      </c>
    </row>
    <row r="290" spans="1:19">
      <c r="C290" s="411"/>
      <c r="D290" s="411" t="e">
        <f t="shared" ref="D290:L290" si="59">MATCH(D289,$A$1:$A$288,0)</f>
        <v>#N/A</v>
      </c>
      <c r="E290" s="411" t="e">
        <f t="shared" si="59"/>
        <v>#N/A</v>
      </c>
      <c r="F290" s="411" t="e">
        <f t="shared" si="59"/>
        <v>#N/A</v>
      </c>
      <c r="G290" s="411" t="e">
        <f t="shared" si="59"/>
        <v>#N/A</v>
      </c>
      <c r="H290" s="411">
        <f t="shared" si="59"/>
        <v>14</v>
      </c>
      <c r="I290" s="411" t="e">
        <f t="shared" si="59"/>
        <v>#N/A</v>
      </c>
      <c r="J290" s="411">
        <f t="shared" si="59"/>
        <v>222</v>
      </c>
      <c r="K290" s="411" t="e">
        <f t="shared" si="59"/>
        <v>#N/A</v>
      </c>
      <c r="L290" s="411" t="e">
        <f t="shared" si="59"/>
        <v>#N/A</v>
      </c>
      <c r="M290" s="411"/>
      <c r="N290" s="411"/>
      <c r="O290" s="13"/>
      <c r="Q290" s="13"/>
      <c r="R290" s="13"/>
      <c r="S290" s="296"/>
    </row>
    <row r="291" spans="1:19">
      <c r="A291" s="176" t="s">
        <v>1</v>
      </c>
      <c r="B291" s="417">
        <f>MATCH(A291,A1:O1,0)</f>
        <v>2</v>
      </c>
      <c r="C291" s="371" t="e">
        <f>D291+R291</f>
        <v>#N/A</v>
      </c>
      <c r="D291" s="371" t="e">
        <f>INDEX($A$1:$N$287,D$290,$B291)/1000</f>
        <v>#N/A</v>
      </c>
      <c r="E291" s="371" t="e">
        <f>INDEX($A$1:$N$287,E$290,$B291)/1000</f>
        <v>#N/A</v>
      </c>
      <c r="F291" s="371" t="e">
        <f>INDEX($A$1:$N$287,F$290,$B291)/1000</f>
        <v>#N/A</v>
      </c>
      <c r="G291" s="371" t="e">
        <f>INDEX($A$1:$N$287,G$290,$B291)/1000</f>
        <v>#N/A</v>
      </c>
      <c r="H291" s="371">
        <f>INDEX($A$1:$N$287,H$290,$B291)/1000</f>
        <v>0</v>
      </c>
      <c r="I291" s="371" t="e">
        <f>INDEX($A$1:$N$287,I$290,$B291)/1000-H291</f>
        <v>#N/A</v>
      </c>
      <c r="J291" s="371">
        <f>INDEX($A$1:$N$287,J$290,$B291)/1000</f>
        <v>0</v>
      </c>
      <c r="K291" s="371" t="e">
        <f>INDEX($A$1:$N$287,K$290,$B291)/1000</f>
        <v>#N/A</v>
      </c>
      <c r="L291" s="371" t="e">
        <f>INDEX($A$1:$N$287,L$290,$B291)/1000</f>
        <v>#N/A</v>
      </c>
      <c r="N291" s="371" t="e">
        <f>D291-SUM(E291:M291)</f>
        <v>#N/A</v>
      </c>
      <c r="O291" s="297"/>
      <c r="Q291" s="298"/>
      <c r="R291" s="299"/>
    </row>
  </sheetData>
  <autoFilter ref="A1:T397" xr:uid="{00000000-0009-0000-0000-000001000000}"/>
  <pageMargins left="0" right="0" top="0.74803149606299213" bottom="0.74803149606299213" header="0.31496062992125978" footer="0.31496062992125978"/>
  <pageSetup paperSize="9" scale="39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95"/>
  <sheetViews>
    <sheetView zoomScale="80" zoomScaleNormal="80" workbookViewId="0">
      <pane xSplit="1" ySplit="2" topLeftCell="B3" activePane="bottomRight" state="frozen"/>
      <selection activeCell="P1" sqref="P1:P1048576"/>
      <selection pane="topRight" activeCell="P1" sqref="P1:P1048576"/>
      <selection pane="bottomLeft" activeCell="P1" sqref="P1:P1048576"/>
      <selection pane="bottomRight" activeCell="A179" sqref="A179"/>
    </sheetView>
  </sheetViews>
  <sheetFormatPr defaultColWidth="9.42578125" defaultRowHeight="15"/>
  <cols>
    <col min="1" max="1" width="41.140625" style="30" customWidth="1"/>
    <col min="2" max="13" width="15.5703125" style="371" customWidth="1"/>
    <col min="14" max="14" width="16.7109375" style="372" customWidth="1"/>
    <col min="15" max="15" width="23.85546875" style="156" customWidth="1"/>
    <col min="16" max="16" width="11.5703125" style="157" customWidth="1"/>
    <col min="17" max="18" width="9.42578125" style="157" customWidth="1"/>
    <col min="19" max="19" width="16.42578125" style="278" bestFit="1" customWidth="1"/>
    <col min="20" max="21" width="9.42578125" style="157" customWidth="1"/>
    <col min="22" max="22" width="10.28515625" style="157" bestFit="1" customWidth="1"/>
    <col min="23" max="34" width="9.42578125" style="157" customWidth="1"/>
    <col min="35" max="16384" width="9.42578125" style="157"/>
  </cols>
  <sheetData>
    <row r="1" spans="1:22" s="158" customFormat="1" ht="15.6" customHeight="1">
      <c r="A1" s="22" t="s">
        <v>65</v>
      </c>
      <c r="B1" s="373" t="s">
        <v>1</v>
      </c>
      <c r="C1" s="373" t="s">
        <v>2</v>
      </c>
      <c r="D1" s="374" t="s">
        <v>3</v>
      </c>
      <c r="E1" s="374" t="s">
        <v>4</v>
      </c>
      <c r="F1" s="373" t="s">
        <v>5</v>
      </c>
      <c r="G1" s="373" t="s">
        <v>6</v>
      </c>
      <c r="H1" s="373" t="s">
        <v>7</v>
      </c>
      <c r="I1" s="373" t="s">
        <v>8</v>
      </c>
      <c r="J1" s="373" t="s">
        <v>9</v>
      </c>
      <c r="K1" s="373" t="s">
        <v>10</v>
      </c>
      <c r="L1" s="373" t="s">
        <v>11</v>
      </c>
      <c r="M1" s="373" t="s">
        <v>12</v>
      </c>
      <c r="N1" s="375" t="s">
        <v>13</v>
      </c>
      <c r="O1" s="159" t="s">
        <v>14</v>
      </c>
      <c r="P1" s="158" t="s">
        <v>66</v>
      </c>
      <c r="S1" s="279"/>
    </row>
    <row r="2" spans="1:22" ht="18" customHeight="1">
      <c r="A2" s="43" t="s">
        <v>67</v>
      </c>
      <c r="B2" s="376">
        <f t="shared" ref="B2:N2" si="0">+B3+B14+B18</f>
        <v>0</v>
      </c>
      <c r="C2" s="376">
        <f t="shared" si="0"/>
        <v>0</v>
      </c>
      <c r="D2" s="376">
        <f t="shared" si="0"/>
        <v>0</v>
      </c>
      <c r="E2" s="376">
        <f t="shared" si="0"/>
        <v>0</v>
      </c>
      <c r="F2" s="376">
        <f t="shared" si="0"/>
        <v>0</v>
      </c>
      <c r="G2" s="376">
        <f t="shared" si="0"/>
        <v>0</v>
      </c>
      <c r="H2" s="376">
        <f t="shared" si="0"/>
        <v>0</v>
      </c>
      <c r="I2" s="376">
        <f t="shared" si="0"/>
        <v>0</v>
      </c>
      <c r="J2" s="376">
        <f t="shared" si="0"/>
        <v>0</v>
      </c>
      <c r="K2" s="376">
        <f t="shared" si="0"/>
        <v>0</v>
      </c>
      <c r="L2" s="376">
        <f t="shared" si="0"/>
        <v>0</v>
      </c>
      <c r="M2" s="376">
        <f t="shared" si="0"/>
        <v>0</v>
      </c>
      <c r="N2" s="376">
        <f t="shared" si="0"/>
        <v>0</v>
      </c>
      <c r="O2" s="280">
        <f t="shared" ref="O2:O26" si="1">+SUM($B2:$M2)-N2</f>
        <v>0</v>
      </c>
      <c r="P2" s="160" t="s">
        <v>68</v>
      </c>
      <c r="Q2" s="160"/>
      <c r="R2" s="160"/>
      <c r="S2" s="376">
        <f t="shared" ref="S2:S26" si="2">H2/1000</f>
        <v>0</v>
      </c>
      <c r="T2" s="160"/>
      <c r="U2" s="158"/>
      <c r="V2" s="158"/>
    </row>
    <row r="3" spans="1:22" s="161" customFormat="1" ht="16.149999999999999" customHeight="1">
      <c r="A3" s="42" t="s">
        <v>69</v>
      </c>
      <c r="B3" s="377">
        <f t="shared" ref="B3:N3" si="3">SUM(B4:B13)</f>
        <v>0</v>
      </c>
      <c r="C3" s="377">
        <f t="shared" si="3"/>
        <v>0</v>
      </c>
      <c r="D3" s="377">
        <f t="shared" si="3"/>
        <v>0</v>
      </c>
      <c r="E3" s="377">
        <f t="shared" si="3"/>
        <v>0</v>
      </c>
      <c r="F3" s="377">
        <f t="shared" si="3"/>
        <v>0</v>
      </c>
      <c r="G3" s="377">
        <f t="shared" si="3"/>
        <v>0</v>
      </c>
      <c r="H3" s="377">
        <f t="shared" si="3"/>
        <v>0</v>
      </c>
      <c r="I3" s="377">
        <f t="shared" si="3"/>
        <v>0</v>
      </c>
      <c r="J3" s="377">
        <f t="shared" si="3"/>
        <v>0</v>
      </c>
      <c r="K3" s="377">
        <f t="shared" si="3"/>
        <v>0</v>
      </c>
      <c r="L3" s="377">
        <f t="shared" si="3"/>
        <v>0</v>
      </c>
      <c r="M3" s="377">
        <f t="shared" si="3"/>
        <v>0</v>
      </c>
      <c r="N3" s="378">
        <f t="shared" si="3"/>
        <v>0</v>
      </c>
      <c r="O3" s="281">
        <f t="shared" si="1"/>
        <v>0</v>
      </c>
      <c r="P3" s="157" t="s">
        <v>70</v>
      </c>
      <c r="Q3" s="157"/>
      <c r="R3" s="157"/>
      <c r="S3" s="282">
        <f t="shared" si="2"/>
        <v>0</v>
      </c>
      <c r="T3" s="157"/>
      <c r="U3" s="158"/>
      <c r="V3" s="158"/>
    </row>
    <row r="4" spans="1:22" s="161" customFormat="1" ht="15.6" customHeight="1">
      <c r="A4" s="24" t="s">
        <v>71</v>
      </c>
      <c r="B4" s="379"/>
      <c r="C4" s="380"/>
      <c r="D4" s="380"/>
      <c r="E4" s="418"/>
      <c r="F4" s="418"/>
      <c r="G4" s="418"/>
      <c r="H4" s="418"/>
      <c r="I4" s="418"/>
      <c r="J4" s="418"/>
      <c r="K4" s="418"/>
      <c r="L4" s="418"/>
      <c r="M4" s="418"/>
      <c r="N4" s="399">
        <f t="shared" ref="N4:N13" si="4">SUM(B4:M4)</f>
        <v>0</v>
      </c>
      <c r="O4" s="281">
        <f t="shared" si="1"/>
        <v>0</v>
      </c>
      <c r="P4" s="161" t="s">
        <v>72</v>
      </c>
      <c r="S4" s="283">
        <f t="shared" si="2"/>
        <v>0</v>
      </c>
      <c r="U4" s="158"/>
      <c r="V4" s="158"/>
    </row>
    <row r="5" spans="1:22" s="161" customFormat="1" ht="15.6" customHeight="1">
      <c r="A5" s="24" t="s">
        <v>73</v>
      </c>
      <c r="B5" s="379"/>
      <c r="C5" s="380"/>
      <c r="D5" s="380"/>
      <c r="E5" s="418"/>
      <c r="F5" s="418"/>
      <c r="G5" s="418"/>
      <c r="H5" s="418"/>
      <c r="I5" s="418"/>
      <c r="J5" s="418"/>
      <c r="K5" s="418"/>
      <c r="L5" s="418"/>
      <c r="M5" s="418"/>
      <c r="N5" s="399">
        <f t="shared" si="4"/>
        <v>0</v>
      </c>
      <c r="O5" s="281">
        <f t="shared" si="1"/>
        <v>0</v>
      </c>
      <c r="P5" s="161" t="s">
        <v>74</v>
      </c>
      <c r="S5" s="283">
        <f t="shared" si="2"/>
        <v>0</v>
      </c>
      <c r="U5" s="158"/>
      <c r="V5" s="158"/>
    </row>
    <row r="6" spans="1:22" s="161" customFormat="1" ht="15.6" customHeight="1">
      <c r="A6" s="24" t="s">
        <v>75</v>
      </c>
      <c r="B6" s="379"/>
      <c r="C6" s="380"/>
      <c r="D6" s="380"/>
      <c r="E6" s="418"/>
      <c r="F6" s="418"/>
      <c r="G6" s="418"/>
      <c r="H6" s="418"/>
      <c r="I6" s="418"/>
      <c r="J6" s="418"/>
      <c r="K6" s="418"/>
      <c r="L6" s="418"/>
      <c r="M6" s="418"/>
      <c r="N6" s="399">
        <f t="shared" si="4"/>
        <v>0</v>
      </c>
      <c r="O6" s="281">
        <f t="shared" si="1"/>
        <v>0</v>
      </c>
      <c r="P6" s="161" t="s">
        <v>76</v>
      </c>
      <c r="S6" s="283">
        <f t="shared" si="2"/>
        <v>0</v>
      </c>
      <c r="U6" s="158"/>
      <c r="V6" s="158"/>
    </row>
    <row r="7" spans="1:22" s="161" customFormat="1" ht="15.6" customHeight="1">
      <c r="A7" s="24" t="s">
        <v>77</v>
      </c>
      <c r="B7" s="379"/>
      <c r="C7" s="380"/>
      <c r="D7" s="380"/>
      <c r="E7" s="418"/>
      <c r="F7" s="418"/>
      <c r="G7" s="418"/>
      <c r="H7" s="418"/>
      <c r="I7" s="418"/>
      <c r="J7" s="418"/>
      <c r="K7" s="418"/>
      <c r="L7" s="418"/>
      <c r="M7" s="418"/>
      <c r="N7" s="399">
        <f t="shared" si="4"/>
        <v>0</v>
      </c>
      <c r="O7" s="281">
        <f t="shared" si="1"/>
        <v>0</v>
      </c>
      <c r="P7" s="161" t="s">
        <v>78</v>
      </c>
      <c r="S7" s="283">
        <f t="shared" si="2"/>
        <v>0</v>
      </c>
      <c r="U7" s="158"/>
      <c r="V7" s="158"/>
    </row>
    <row r="8" spans="1:22" s="161" customFormat="1" ht="15.6" customHeight="1">
      <c r="A8" s="24" t="s">
        <v>79</v>
      </c>
      <c r="B8" s="379"/>
      <c r="C8" s="380"/>
      <c r="D8" s="380"/>
      <c r="E8" s="418"/>
      <c r="F8" s="418"/>
      <c r="G8" s="418"/>
      <c r="H8" s="418"/>
      <c r="I8" s="418"/>
      <c r="J8" s="418"/>
      <c r="K8" s="418"/>
      <c r="L8" s="418"/>
      <c r="M8" s="418"/>
      <c r="N8" s="399">
        <f t="shared" si="4"/>
        <v>0</v>
      </c>
      <c r="O8" s="281">
        <f t="shared" si="1"/>
        <v>0</v>
      </c>
      <c r="P8" s="161" t="s">
        <v>80</v>
      </c>
      <c r="S8" s="283">
        <f t="shared" si="2"/>
        <v>0</v>
      </c>
      <c r="U8" s="158"/>
      <c r="V8" s="158"/>
    </row>
    <row r="9" spans="1:22" s="161" customFormat="1" ht="15.6" customHeight="1">
      <c r="A9" s="24" t="s">
        <v>81</v>
      </c>
      <c r="B9" s="379"/>
      <c r="C9" s="380"/>
      <c r="D9" s="380"/>
      <c r="E9" s="418"/>
      <c r="F9" s="418"/>
      <c r="G9" s="418"/>
      <c r="H9" s="418"/>
      <c r="I9" s="418"/>
      <c r="J9" s="418"/>
      <c r="K9" s="418"/>
      <c r="L9" s="418"/>
      <c r="M9" s="418"/>
      <c r="N9" s="399">
        <f t="shared" si="4"/>
        <v>0</v>
      </c>
      <c r="O9" s="281">
        <f t="shared" si="1"/>
        <v>0</v>
      </c>
      <c r="P9" s="161" t="s">
        <v>82</v>
      </c>
      <c r="S9" s="283">
        <f t="shared" si="2"/>
        <v>0</v>
      </c>
      <c r="U9" s="158"/>
      <c r="V9" s="158"/>
    </row>
    <row r="10" spans="1:22" s="161" customFormat="1" ht="15.6" customHeight="1">
      <c r="A10" s="24" t="s">
        <v>83</v>
      </c>
      <c r="B10" s="379"/>
      <c r="C10" s="380"/>
      <c r="D10" s="380"/>
      <c r="E10" s="418"/>
      <c r="F10" s="418"/>
      <c r="G10" s="418"/>
      <c r="H10" s="418"/>
      <c r="I10" s="418"/>
      <c r="J10" s="418"/>
      <c r="K10" s="418"/>
      <c r="L10" s="418"/>
      <c r="M10" s="418"/>
      <c r="N10" s="399">
        <f t="shared" si="4"/>
        <v>0</v>
      </c>
      <c r="O10" s="281">
        <f t="shared" si="1"/>
        <v>0</v>
      </c>
      <c r="P10" s="161" t="s">
        <v>84</v>
      </c>
      <c r="S10" s="283">
        <f t="shared" si="2"/>
        <v>0</v>
      </c>
      <c r="U10" s="158"/>
      <c r="V10" s="158"/>
    </row>
    <row r="11" spans="1:22" s="161" customFormat="1" ht="15.6" customHeight="1">
      <c r="A11" s="24" t="s">
        <v>85</v>
      </c>
      <c r="B11" s="379"/>
      <c r="C11" s="380"/>
      <c r="D11" s="380"/>
      <c r="E11" s="418"/>
      <c r="F11" s="418"/>
      <c r="G11" s="418"/>
      <c r="H11" s="418"/>
      <c r="I11" s="418"/>
      <c r="J11" s="418"/>
      <c r="K11" s="418"/>
      <c r="L11" s="418"/>
      <c r="M11" s="418"/>
      <c r="N11" s="399">
        <f t="shared" si="4"/>
        <v>0</v>
      </c>
      <c r="O11" s="281">
        <f t="shared" si="1"/>
        <v>0</v>
      </c>
      <c r="P11" s="161" t="s">
        <v>86</v>
      </c>
      <c r="S11" s="283">
        <f t="shared" si="2"/>
        <v>0</v>
      </c>
      <c r="U11" s="158"/>
      <c r="V11" s="158"/>
    </row>
    <row r="12" spans="1:22" s="161" customFormat="1" ht="15.6" customHeight="1">
      <c r="A12" s="24" t="s">
        <v>87</v>
      </c>
      <c r="B12" s="379"/>
      <c r="C12" s="380"/>
      <c r="D12" s="380"/>
      <c r="E12" s="418"/>
      <c r="F12" s="418"/>
      <c r="G12" s="418"/>
      <c r="H12" s="418"/>
      <c r="I12" s="418"/>
      <c r="J12" s="418"/>
      <c r="K12" s="418"/>
      <c r="L12" s="418"/>
      <c r="M12" s="418"/>
      <c r="N12" s="399">
        <f t="shared" si="4"/>
        <v>0</v>
      </c>
      <c r="O12" s="281">
        <f t="shared" si="1"/>
        <v>0</v>
      </c>
      <c r="P12" s="161" t="s">
        <v>88</v>
      </c>
      <c r="S12" s="283">
        <f t="shared" si="2"/>
        <v>0</v>
      </c>
      <c r="U12" s="158"/>
      <c r="V12" s="158"/>
    </row>
    <row r="13" spans="1:22" s="161" customFormat="1" ht="15.6" customHeight="1">
      <c r="A13" s="24" t="s">
        <v>89</v>
      </c>
      <c r="B13" s="379"/>
      <c r="C13" s="380"/>
      <c r="D13" s="380"/>
      <c r="E13" s="418"/>
      <c r="F13" s="418"/>
      <c r="G13" s="418"/>
      <c r="H13" s="418"/>
      <c r="I13" s="418"/>
      <c r="J13" s="418"/>
      <c r="K13" s="418"/>
      <c r="L13" s="418"/>
      <c r="M13" s="418"/>
      <c r="N13" s="399">
        <f t="shared" si="4"/>
        <v>0</v>
      </c>
      <c r="O13" s="281">
        <f t="shared" si="1"/>
        <v>0</v>
      </c>
      <c r="P13" s="161" t="s">
        <v>90</v>
      </c>
      <c r="S13" s="283">
        <f t="shared" si="2"/>
        <v>0</v>
      </c>
      <c r="U13" s="158"/>
      <c r="V13" s="158"/>
    </row>
    <row r="14" spans="1:22" s="177" customFormat="1" ht="16.149999999999999" customHeight="1">
      <c r="A14" s="42" t="s">
        <v>91</v>
      </c>
      <c r="B14" s="377">
        <f t="shared" ref="B14:N14" si="5">SUM(B15:B17)</f>
        <v>0</v>
      </c>
      <c r="C14" s="377">
        <f t="shared" si="5"/>
        <v>0</v>
      </c>
      <c r="D14" s="377">
        <f t="shared" si="5"/>
        <v>0</v>
      </c>
      <c r="E14" s="377">
        <f t="shared" si="5"/>
        <v>0</v>
      </c>
      <c r="F14" s="377">
        <f t="shared" si="5"/>
        <v>0</v>
      </c>
      <c r="G14" s="377">
        <f t="shared" si="5"/>
        <v>0</v>
      </c>
      <c r="H14" s="377">
        <f t="shared" si="5"/>
        <v>0</v>
      </c>
      <c r="I14" s="377">
        <f t="shared" si="5"/>
        <v>0</v>
      </c>
      <c r="J14" s="377">
        <f t="shared" si="5"/>
        <v>0</v>
      </c>
      <c r="K14" s="377">
        <f t="shared" si="5"/>
        <v>0</v>
      </c>
      <c r="L14" s="377">
        <f t="shared" si="5"/>
        <v>0</v>
      </c>
      <c r="M14" s="377">
        <f t="shared" si="5"/>
        <v>0</v>
      </c>
      <c r="N14" s="378">
        <f t="shared" si="5"/>
        <v>0</v>
      </c>
      <c r="O14" s="281">
        <f t="shared" si="1"/>
        <v>0</v>
      </c>
      <c r="P14" s="157" t="s">
        <v>92</v>
      </c>
      <c r="Q14" s="157"/>
      <c r="R14" s="157"/>
      <c r="S14" s="282">
        <f t="shared" si="2"/>
        <v>0</v>
      </c>
      <c r="T14" s="157"/>
      <c r="U14" s="158"/>
      <c r="V14" s="158"/>
    </row>
    <row r="15" spans="1:22" s="161" customFormat="1" ht="15.6" customHeight="1">
      <c r="A15" s="24" t="s">
        <v>93</v>
      </c>
      <c r="B15" s="379"/>
      <c r="C15" s="380"/>
      <c r="D15" s="380"/>
      <c r="E15" s="418"/>
      <c r="F15" s="418"/>
      <c r="G15" s="418"/>
      <c r="H15" s="418"/>
      <c r="I15" s="418"/>
      <c r="J15" s="418"/>
      <c r="K15" s="418"/>
      <c r="L15" s="418"/>
      <c r="M15" s="418"/>
      <c r="N15" s="399">
        <f>SUM(B15:M15)</f>
        <v>0</v>
      </c>
      <c r="O15" s="281">
        <f t="shared" si="1"/>
        <v>0</v>
      </c>
      <c r="P15" s="161" t="s">
        <v>94</v>
      </c>
      <c r="S15" s="283">
        <f t="shared" si="2"/>
        <v>0</v>
      </c>
      <c r="U15" s="158"/>
      <c r="V15" s="158"/>
    </row>
    <row r="16" spans="1:22" s="161" customFormat="1" ht="15.6" customHeight="1">
      <c r="A16" s="24" t="s">
        <v>95</v>
      </c>
      <c r="B16" s="379"/>
      <c r="C16" s="380"/>
      <c r="D16" s="380"/>
      <c r="E16" s="418"/>
      <c r="F16" s="418"/>
      <c r="G16" s="418"/>
      <c r="H16" s="418"/>
      <c r="I16" s="418"/>
      <c r="J16" s="418"/>
      <c r="K16" s="418"/>
      <c r="L16" s="418"/>
      <c r="M16" s="418"/>
      <c r="N16" s="399">
        <f>SUM(B16:M16)</f>
        <v>0</v>
      </c>
      <c r="O16" s="281">
        <f t="shared" si="1"/>
        <v>0</v>
      </c>
      <c r="P16" s="161" t="s">
        <v>96</v>
      </c>
      <c r="S16" s="283">
        <f t="shared" si="2"/>
        <v>0</v>
      </c>
      <c r="U16" s="158"/>
      <c r="V16" s="158"/>
    </row>
    <row r="17" spans="1:22" s="177" customFormat="1" ht="15.6" customHeight="1">
      <c r="A17" s="24" t="s">
        <v>97</v>
      </c>
      <c r="B17" s="379"/>
      <c r="C17" s="380"/>
      <c r="D17" s="380"/>
      <c r="E17" s="418"/>
      <c r="F17" s="418"/>
      <c r="G17" s="418"/>
      <c r="H17" s="418"/>
      <c r="I17" s="418"/>
      <c r="J17" s="418"/>
      <c r="K17" s="418"/>
      <c r="L17" s="418"/>
      <c r="M17" s="418"/>
      <c r="N17" s="399">
        <f>SUM(B17:M17)</f>
        <v>0</v>
      </c>
      <c r="O17" s="281">
        <f t="shared" si="1"/>
        <v>0</v>
      </c>
      <c r="P17" s="161" t="s">
        <v>98</v>
      </c>
      <c r="Q17" s="161"/>
      <c r="R17" s="161"/>
      <c r="S17" s="283">
        <f t="shared" si="2"/>
        <v>0</v>
      </c>
      <c r="T17" s="161"/>
      <c r="U17" s="158"/>
      <c r="V17" s="158"/>
    </row>
    <row r="18" spans="1:22" s="177" customFormat="1" ht="16.149999999999999" customHeight="1">
      <c r="A18" s="42" t="s">
        <v>99</v>
      </c>
      <c r="B18" s="377">
        <f t="shared" ref="B18:N18" si="6">SUM(B19:B26)</f>
        <v>0</v>
      </c>
      <c r="C18" s="377">
        <f t="shared" si="6"/>
        <v>0</v>
      </c>
      <c r="D18" s="377">
        <f t="shared" si="6"/>
        <v>0</v>
      </c>
      <c r="E18" s="377">
        <f t="shared" si="6"/>
        <v>0</v>
      </c>
      <c r="F18" s="377">
        <f t="shared" si="6"/>
        <v>0</v>
      </c>
      <c r="G18" s="377">
        <f t="shared" si="6"/>
        <v>0</v>
      </c>
      <c r="H18" s="377">
        <f t="shared" si="6"/>
        <v>0</v>
      </c>
      <c r="I18" s="377">
        <f t="shared" si="6"/>
        <v>0</v>
      </c>
      <c r="J18" s="377">
        <f t="shared" si="6"/>
        <v>0</v>
      </c>
      <c r="K18" s="377">
        <f t="shared" si="6"/>
        <v>0</v>
      </c>
      <c r="L18" s="377">
        <f t="shared" si="6"/>
        <v>0</v>
      </c>
      <c r="M18" s="377">
        <f t="shared" si="6"/>
        <v>0</v>
      </c>
      <c r="N18" s="378">
        <f t="shared" si="6"/>
        <v>0</v>
      </c>
      <c r="O18" s="281">
        <f t="shared" si="1"/>
        <v>0</v>
      </c>
      <c r="P18" s="157" t="s">
        <v>100</v>
      </c>
      <c r="Q18" s="157"/>
      <c r="R18" s="157"/>
      <c r="S18" s="282">
        <f t="shared" si="2"/>
        <v>0</v>
      </c>
      <c r="T18" s="157"/>
      <c r="U18" s="158"/>
      <c r="V18" s="158"/>
    </row>
    <row r="19" spans="1:22" s="177" customFormat="1" ht="15.6" customHeight="1">
      <c r="A19" s="24" t="s">
        <v>101</v>
      </c>
      <c r="B19" s="419"/>
      <c r="C19" s="382"/>
      <c r="D19" s="382"/>
      <c r="E19" s="382"/>
      <c r="F19" s="382"/>
      <c r="G19" s="382"/>
      <c r="H19" s="382"/>
      <c r="I19" s="382"/>
      <c r="J19" s="382"/>
      <c r="K19" s="382"/>
      <c r="L19" s="382"/>
      <c r="M19" s="382"/>
      <c r="N19" s="381">
        <f t="shared" ref="N19:N26" si="7">SUM(B19:M19)</f>
        <v>0</v>
      </c>
      <c r="O19" s="281">
        <f t="shared" si="1"/>
        <v>0</v>
      </c>
      <c r="P19" s="161" t="s">
        <v>102</v>
      </c>
      <c r="Q19" s="161"/>
      <c r="R19" s="161"/>
      <c r="S19" s="284">
        <f t="shared" si="2"/>
        <v>0</v>
      </c>
      <c r="T19" s="161"/>
      <c r="U19" s="158"/>
      <c r="V19" s="158"/>
    </row>
    <row r="20" spans="1:22" s="161" customFormat="1" ht="15.6" customHeight="1">
      <c r="A20" s="24" t="s">
        <v>103</v>
      </c>
      <c r="B20" s="419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381">
        <f t="shared" si="7"/>
        <v>0</v>
      </c>
      <c r="O20" s="281">
        <f t="shared" si="1"/>
        <v>0</v>
      </c>
      <c r="P20" s="161" t="s">
        <v>104</v>
      </c>
      <c r="S20" s="284">
        <f t="shared" si="2"/>
        <v>0</v>
      </c>
      <c r="U20" s="158"/>
      <c r="V20" s="158"/>
    </row>
    <row r="21" spans="1:22" s="177" customFormat="1" ht="15.6" customHeight="1">
      <c r="A21" s="24" t="s">
        <v>105</v>
      </c>
      <c r="B21" s="419"/>
      <c r="C21" s="382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381">
        <f t="shared" si="7"/>
        <v>0</v>
      </c>
      <c r="O21" s="281">
        <f t="shared" si="1"/>
        <v>0</v>
      </c>
      <c r="P21" s="161" t="s">
        <v>106</v>
      </c>
      <c r="Q21" s="161"/>
      <c r="R21" s="161"/>
      <c r="S21" s="284">
        <f t="shared" si="2"/>
        <v>0</v>
      </c>
      <c r="T21" s="161"/>
      <c r="U21" s="158"/>
      <c r="V21" s="158"/>
    </row>
    <row r="22" spans="1:22" s="178" customFormat="1" ht="15.6" customHeight="1">
      <c r="A22" s="24" t="s">
        <v>107</v>
      </c>
      <c r="B22" s="419"/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1">
        <f t="shared" si="7"/>
        <v>0</v>
      </c>
      <c r="O22" s="281">
        <f t="shared" si="1"/>
        <v>0</v>
      </c>
      <c r="P22" s="157" t="s">
        <v>108</v>
      </c>
      <c r="Q22" s="161"/>
      <c r="R22" s="161"/>
      <c r="S22" s="284">
        <f t="shared" si="2"/>
        <v>0</v>
      </c>
      <c r="T22" s="161"/>
      <c r="U22" s="158"/>
      <c r="V22" s="158"/>
    </row>
    <row r="23" spans="1:22" s="161" customFormat="1" ht="15.6" customHeight="1">
      <c r="A23" s="24" t="s">
        <v>109</v>
      </c>
      <c r="B23" s="419"/>
      <c r="C23" s="382"/>
      <c r="D23" s="382"/>
      <c r="E23" s="382"/>
      <c r="F23" s="382"/>
      <c r="G23" s="382"/>
      <c r="H23" s="382"/>
      <c r="I23" s="382"/>
      <c r="J23" s="382"/>
      <c r="K23" s="382"/>
      <c r="L23" s="382"/>
      <c r="M23" s="382"/>
      <c r="N23" s="381">
        <f t="shared" si="7"/>
        <v>0</v>
      </c>
      <c r="O23" s="281">
        <f t="shared" si="1"/>
        <v>0</v>
      </c>
      <c r="P23" s="161" t="s">
        <v>110</v>
      </c>
      <c r="S23" s="284">
        <f t="shared" si="2"/>
        <v>0</v>
      </c>
      <c r="U23" s="158"/>
      <c r="V23" s="158"/>
    </row>
    <row r="24" spans="1:22" s="161" customFormat="1" ht="15.6" customHeight="1">
      <c r="A24" s="24" t="s">
        <v>111</v>
      </c>
      <c r="B24" s="419"/>
      <c r="C24" s="382"/>
      <c r="D24" s="382"/>
      <c r="E24" s="382"/>
      <c r="F24" s="382"/>
      <c r="G24" s="382"/>
      <c r="H24" s="382"/>
      <c r="I24" s="382"/>
      <c r="J24" s="382"/>
      <c r="K24" s="382"/>
      <c r="L24" s="382"/>
      <c r="M24" s="382"/>
      <c r="N24" s="381">
        <f t="shared" si="7"/>
        <v>0</v>
      </c>
      <c r="O24" s="281">
        <f t="shared" si="1"/>
        <v>0</v>
      </c>
      <c r="P24" s="161" t="s">
        <v>112</v>
      </c>
      <c r="S24" s="284">
        <f t="shared" si="2"/>
        <v>0</v>
      </c>
      <c r="U24" s="158"/>
      <c r="V24" s="158"/>
    </row>
    <row r="25" spans="1:22" s="161" customFormat="1" ht="15.6" customHeight="1">
      <c r="A25" s="24" t="s">
        <v>113</v>
      </c>
      <c r="B25" s="419"/>
      <c r="C25" s="382"/>
      <c r="D25" s="382"/>
      <c r="E25" s="382"/>
      <c r="F25" s="382"/>
      <c r="G25" s="382"/>
      <c r="H25" s="382"/>
      <c r="I25" s="382"/>
      <c r="J25" s="382"/>
      <c r="K25" s="382"/>
      <c r="L25" s="382"/>
      <c r="M25" s="382"/>
      <c r="N25" s="381">
        <f t="shared" si="7"/>
        <v>0</v>
      </c>
      <c r="O25" s="281">
        <f t="shared" si="1"/>
        <v>0</v>
      </c>
      <c r="P25" s="161" t="s">
        <v>114</v>
      </c>
      <c r="S25" s="284">
        <f t="shared" si="2"/>
        <v>0</v>
      </c>
      <c r="U25" s="158"/>
      <c r="V25" s="158"/>
    </row>
    <row r="26" spans="1:22" s="161" customFormat="1" ht="15.6" customHeight="1">
      <c r="A26" s="24" t="s">
        <v>115</v>
      </c>
      <c r="B26" s="419"/>
      <c r="C26" s="382"/>
      <c r="D26" s="382"/>
      <c r="E26" s="382"/>
      <c r="F26" s="382"/>
      <c r="G26" s="382"/>
      <c r="H26" s="382"/>
      <c r="I26" s="382"/>
      <c r="J26" s="382"/>
      <c r="K26" s="382"/>
      <c r="L26" s="382"/>
      <c r="M26" s="382"/>
      <c r="N26" s="381">
        <f t="shared" si="7"/>
        <v>0</v>
      </c>
      <c r="O26" s="281">
        <f t="shared" si="1"/>
        <v>0</v>
      </c>
      <c r="P26" s="161" t="s">
        <v>116</v>
      </c>
      <c r="Q26" s="157"/>
      <c r="R26" s="157"/>
      <c r="S26" s="284">
        <f t="shared" si="2"/>
        <v>0</v>
      </c>
      <c r="T26" s="157"/>
      <c r="U26" s="158"/>
      <c r="V26" s="158"/>
    </row>
    <row r="27" spans="1:22" s="177" customFormat="1" ht="15.6" customHeight="1">
      <c r="A27" s="24"/>
      <c r="B27" s="419"/>
      <c r="C27" s="382"/>
      <c r="D27" s="382"/>
      <c r="E27" s="382"/>
      <c r="F27" s="382"/>
      <c r="G27" s="382"/>
      <c r="H27" s="382"/>
      <c r="I27" s="382"/>
      <c r="J27" s="382"/>
      <c r="K27" s="382"/>
      <c r="L27" s="382"/>
      <c r="M27" s="382"/>
      <c r="N27" s="381"/>
      <c r="O27" s="281"/>
      <c r="P27" s="161"/>
      <c r="Q27" s="157"/>
      <c r="R27" s="157"/>
      <c r="S27" s="284"/>
      <c r="T27" s="157"/>
      <c r="U27" s="158"/>
      <c r="V27" s="158"/>
    </row>
    <row r="28" spans="1:22" s="177" customFormat="1" ht="18" customHeight="1">
      <c r="A28" s="44" t="s">
        <v>121</v>
      </c>
      <c r="B28" s="383">
        <f t="shared" ref="B28:N28" si="8">SUM(B30:B40)</f>
        <v>0</v>
      </c>
      <c r="C28" s="384">
        <f t="shared" si="8"/>
        <v>0</v>
      </c>
      <c r="D28" s="384">
        <f t="shared" si="8"/>
        <v>0</v>
      </c>
      <c r="E28" s="384">
        <f t="shared" si="8"/>
        <v>0</v>
      </c>
      <c r="F28" s="384">
        <f t="shared" si="8"/>
        <v>0</v>
      </c>
      <c r="G28" s="384">
        <f t="shared" si="8"/>
        <v>0</v>
      </c>
      <c r="H28" s="384">
        <f t="shared" si="8"/>
        <v>0</v>
      </c>
      <c r="I28" s="384">
        <f t="shared" si="8"/>
        <v>0</v>
      </c>
      <c r="J28" s="384">
        <f t="shared" si="8"/>
        <v>0</v>
      </c>
      <c r="K28" s="384">
        <f t="shared" si="8"/>
        <v>0</v>
      </c>
      <c r="L28" s="384">
        <f t="shared" si="8"/>
        <v>0</v>
      </c>
      <c r="M28" s="384">
        <f t="shared" si="8"/>
        <v>0</v>
      </c>
      <c r="N28" s="384">
        <f t="shared" si="8"/>
        <v>0</v>
      </c>
      <c r="O28" s="280">
        <f t="shared" ref="O28:O59" si="9">+SUM($B28:$M28)-N28</f>
        <v>0</v>
      </c>
      <c r="P28" s="162" t="s">
        <v>122</v>
      </c>
      <c r="Q28" s="162"/>
      <c r="R28" s="162"/>
      <c r="S28" s="285">
        <f t="shared" ref="S28:S58" si="10">H28/1000</f>
        <v>0</v>
      </c>
      <c r="T28" s="162"/>
      <c r="U28" s="158"/>
      <c r="V28" s="158"/>
    </row>
    <row r="29" spans="1:22" s="161" customFormat="1" ht="15.6" customHeight="1">
      <c r="A29" s="41" t="s">
        <v>123</v>
      </c>
      <c r="B29" s="420"/>
      <c r="C29" s="421"/>
      <c r="D29" s="421"/>
      <c r="E29" s="421"/>
      <c r="F29" s="422"/>
      <c r="G29" s="422"/>
      <c r="H29" s="422"/>
      <c r="I29" s="420"/>
      <c r="J29" s="422"/>
      <c r="K29" s="422"/>
      <c r="L29" s="420"/>
      <c r="M29" s="422"/>
      <c r="N29" s="423">
        <f t="shared" ref="N29:N40" si="11">SUM(B29:M29)</f>
        <v>0</v>
      </c>
      <c r="O29" s="286">
        <f t="shared" si="9"/>
        <v>0</v>
      </c>
      <c r="P29" s="163" t="s">
        <v>124</v>
      </c>
      <c r="Q29" s="163"/>
      <c r="R29" s="163"/>
      <c r="S29" s="287">
        <f t="shared" si="10"/>
        <v>0</v>
      </c>
      <c r="T29" s="163"/>
      <c r="U29" s="158"/>
      <c r="V29" s="158"/>
    </row>
    <row r="30" spans="1:22" s="161" customFormat="1" ht="15.6" customHeight="1">
      <c r="A30" s="41" t="s">
        <v>125</v>
      </c>
      <c r="B30" s="420"/>
      <c r="C30" s="421"/>
      <c r="D30" s="421"/>
      <c r="E30" s="421"/>
      <c r="F30" s="422"/>
      <c r="G30" s="422"/>
      <c r="H30" s="422"/>
      <c r="I30" s="420"/>
      <c r="J30" s="422"/>
      <c r="K30" s="422"/>
      <c r="L30" s="420"/>
      <c r="M30" s="422"/>
      <c r="N30" s="423">
        <f t="shared" si="11"/>
        <v>0</v>
      </c>
      <c r="O30" s="286">
        <f t="shared" si="9"/>
        <v>0</v>
      </c>
      <c r="P30" s="163" t="s">
        <v>126</v>
      </c>
      <c r="Q30" s="163"/>
      <c r="R30" s="163"/>
      <c r="S30" s="287">
        <f t="shared" si="10"/>
        <v>0</v>
      </c>
      <c r="T30" s="163"/>
      <c r="U30" s="158"/>
      <c r="V30" s="158"/>
    </row>
    <row r="31" spans="1:22" s="161" customFormat="1" ht="15.6" customHeight="1">
      <c r="A31" s="41" t="s">
        <v>127</v>
      </c>
      <c r="B31" s="420"/>
      <c r="C31" s="421"/>
      <c r="D31" s="421"/>
      <c r="E31" s="421"/>
      <c r="F31" s="422"/>
      <c r="G31" s="422"/>
      <c r="H31" s="422"/>
      <c r="I31" s="420"/>
      <c r="J31" s="422"/>
      <c r="K31" s="422"/>
      <c r="L31" s="420"/>
      <c r="M31" s="422"/>
      <c r="N31" s="423">
        <f t="shared" si="11"/>
        <v>0</v>
      </c>
      <c r="O31" s="286">
        <f t="shared" si="9"/>
        <v>0</v>
      </c>
      <c r="P31" s="164" t="s">
        <v>128</v>
      </c>
      <c r="Q31" s="163"/>
      <c r="R31" s="163"/>
      <c r="S31" s="287">
        <f t="shared" si="10"/>
        <v>0</v>
      </c>
      <c r="T31" s="163"/>
      <c r="U31" s="158"/>
      <c r="V31" s="158"/>
    </row>
    <row r="32" spans="1:22" ht="15.6" customHeight="1">
      <c r="A32" s="41" t="s">
        <v>129</v>
      </c>
      <c r="B32" s="420"/>
      <c r="C32" s="421"/>
      <c r="D32" s="421"/>
      <c r="E32" s="421"/>
      <c r="F32" s="422"/>
      <c r="G32" s="422"/>
      <c r="H32" s="422"/>
      <c r="I32" s="420"/>
      <c r="J32" s="422"/>
      <c r="K32" s="422"/>
      <c r="L32" s="420"/>
      <c r="M32" s="422"/>
      <c r="N32" s="423">
        <f t="shared" si="11"/>
        <v>0</v>
      </c>
      <c r="O32" s="286">
        <f t="shared" si="9"/>
        <v>0</v>
      </c>
      <c r="P32" s="163" t="s">
        <v>130</v>
      </c>
      <c r="Q32" s="163"/>
      <c r="R32" s="163"/>
      <c r="S32" s="287">
        <f t="shared" si="10"/>
        <v>0</v>
      </c>
      <c r="T32" s="163"/>
      <c r="U32" s="158"/>
      <c r="V32" s="158"/>
    </row>
    <row r="33" spans="1:22" s="161" customFormat="1" ht="15.6" customHeight="1">
      <c r="A33" s="41" t="s">
        <v>131</v>
      </c>
      <c r="B33" s="420"/>
      <c r="C33" s="421"/>
      <c r="D33" s="421"/>
      <c r="E33" s="421"/>
      <c r="F33" s="422"/>
      <c r="G33" s="422"/>
      <c r="H33" s="422"/>
      <c r="I33" s="420"/>
      <c r="J33" s="422"/>
      <c r="K33" s="422"/>
      <c r="L33" s="420"/>
      <c r="M33" s="422"/>
      <c r="N33" s="423">
        <f t="shared" si="11"/>
        <v>0</v>
      </c>
      <c r="O33" s="286">
        <f t="shared" si="9"/>
        <v>0</v>
      </c>
      <c r="P33" s="163" t="s">
        <v>132</v>
      </c>
      <c r="Q33" s="163"/>
      <c r="R33" s="163"/>
      <c r="S33" s="287">
        <f t="shared" si="10"/>
        <v>0</v>
      </c>
      <c r="T33" s="163"/>
      <c r="U33" s="158"/>
      <c r="V33" s="158"/>
    </row>
    <row r="34" spans="1:22" s="161" customFormat="1" ht="15.6" customHeight="1">
      <c r="A34" s="41" t="s">
        <v>133</v>
      </c>
      <c r="B34" s="420"/>
      <c r="C34" s="421"/>
      <c r="D34" s="421"/>
      <c r="E34" s="421"/>
      <c r="F34" s="422"/>
      <c r="G34" s="422"/>
      <c r="H34" s="422"/>
      <c r="I34" s="420"/>
      <c r="J34" s="422"/>
      <c r="K34" s="422"/>
      <c r="L34" s="420"/>
      <c r="M34" s="422"/>
      <c r="N34" s="423">
        <f t="shared" si="11"/>
        <v>0</v>
      </c>
      <c r="O34" s="286">
        <f t="shared" si="9"/>
        <v>0</v>
      </c>
      <c r="P34" s="163" t="s">
        <v>134</v>
      </c>
      <c r="Q34" s="163"/>
      <c r="R34" s="163"/>
      <c r="S34" s="287">
        <f t="shared" si="10"/>
        <v>0</v>
      </c>
      <c r="T34" s="163"/>
      <c r="U34" s="158"/>
      <c r="V34" s="158"/>
    </row>
    <row r="35" spans="1:22" s="161" customFormat="1" ht="15.6" customHeight="1">
      <c r="A35" s="41" t="s">
        <v>135</v>
      </c>
      <c r="B35" s="420"/>
      <c r="C35" s="421"/>
      <c r="D35" s="421"/>
      <c r="E35" s="421"/>
      <c r="F35" s="422"/>
      <c r="G35" s="422"/>
      <c r="H35" s="422"/>
      <c r="I35" s="420"/>
      <c r="J35" s="422"/>
      <c r="K35" s="422"/>
      <c r="L35" s="420"/>
      <c r="M35" s="422"/>
      <c r="N35" s="423">
        <f t="shared" si="11"/>
        <v>0</v>
      </c>
      <c r="O35" s="286">
        <f t="shared" si="9"/>
        <v>0</v>
      </c>
      <c r="P35" s="163" t="s">
        <v>136</v>
      </c>
      <c r="Q35" s="163"/>
      <c r="R35" s="163"/>
      <c r="S35" s="287">
        <f t="shared" si="10"/>
        <v>0</v>
      </c>
      <c r="T35" s="163"/>
      <c r="U35" s="158"/>
      <c r="V35" s="158"/>
    </row>
    <row r="36" spans="1:22" s="161" customFormat="1" ht="15.6" customHeight="1">
      <c r="A36" s="41" t="s">
        <v>137</v>
      </c>
      <c r="B36" s="420"/>
      <c r="C36" s="421"/>
      <c r="D36" s="421"/>
      <c r="E36" s="421"/>
      <c r="F36" s="422"/>
      <c r="G36" s="422"/>
      <c r="H36" s="422"/>
      <c r="I36" s="420"/>
      <c r="J36" s="422"/>
      <c r="K36" s="422"/>
      <c r="L36" s="420"/>
      <c r="M36" s="422"/>
      <c r="N36" s="423">
        <f t="shared" si="11"/>
        <v>0</v>
      </c>
      <c r="O36" s="286">
        <f t="shared" si="9"/>
        <v>0</v>
      </c>
      <c r="P36" s="163" t="s">
        <v>138</v>
      </c>
      <c r="Q36" s="163"/>
      <c r="R36" s="163"/>
      <c r="S36" s="287">
        <f t="shared" si="10"/>
        <v>0</v>
      </c>
      <c r="T36" s="163"/>
      <c r="U36" s="158"/>
      <c r="V36" s="158"/>
    </row>
    <row r="37" spans="1:22" s="161" customFormat="1" ht="15.6" customHeight="1">
      <c r="A37" s="41" t="s">
        <v>139</v>
      </c>
      <c r="B37" s="420"/>
      <c r="C37" s="421"/>
      <c r="D37" s="421"/>
      <c r="E37" s="421"/>
      <c r="F37" s="422"/>
      <c r="G37" s="422"/>
      <c r="H37" s="422"/>
      <c r="I37" s="420"/>
      <c r="J37" s="422"/>
      <c r="K37" s="422"/>
      <c r="L37" s="420"/>
      <c r="M37" s="422"/>
      <c r="N37" s="423">
        <f t="shared" si="11"/>
        <v>0</v>
      </c>
      <c r="O37" s="286">
        <f t="shared" si="9"/>
        <v>0</v>
      </c>
      <c r="P37" s="163" t="s">
        <v>140</v>
      </c>
      <c r="Q37" s="163"/>
      <c r="R37" s="163"/>
      <c r="S37" s="287">
        <f t="shared" si="10"/>
        <v>0</v>
      </c>
      <c r="T37" s="163"/>
      <c r="U37" s="158"/>
      <c r="V37" s="158"/>
    </row>
    <row r="38" spans="1:22" s="161" customFormat="1" ht="15.6" customHeight="1">
      <c r="A38" s="41" t="s">
        <v>141</v>
      </c>
      <c r="B38" s="420"/>
      <c r="C38" s="421"/>
      <c r="D38" s="421"/>
      <c r="E38" s="421"/>
      <c r="F38" s="422"/>
      <c r="G38" s="422"/>
      <c r="H38" s="422"/>
      <c r="I38" s="420"/>
      <c r="J38" s="422"/>
      <c r="K38" s="420"/>
      <c r="L38" s="420"/>
      <c r="M38" s="420"/>
      <c r="N38" s="423">
        <f t="shared" si="11"/>
        <v>0</v>
      </c>
      <c r="O38" s="286">
        <f t="shared" si="9"/>
        <v>0</v>
      </c>
      <c r="P38" s="163" t="s">
        <v>142</v>
      </c>
      <c r="Q38" s="163"/>
      <c r="R38" s="163"/>
      <c r="S38" s="287">
        <f t="shared" si="10"/>
        <v>0</v>
      </c>
      <c r="T38" s="163"/>
      <c r="U38" s="158"/>
      <c r="V38" s="158"/>
    </row>
    <row r="39" spans="1:22" s="161" customFormat="1" ht="15.6" customHeight="1">
      <c r="A39" s="41" t="s">
        <v>143</v>
      </c>
      <c r="B39" s="420"/>
      <c r="C39" s="421"/>
      <c r="D39" s="421"/>
      <c r="E39" s="421"/>
      <c r="F39" s="422"/>
      <c r="G39" s="422"/>
      <c r="H39" s="422"/>
      <c r="I39" s="420"/>
      <c r="J39" s="422"/>
      <c r="K39" s="420"/>
      <c r="L39" s="420"/>
      <c r="M39" s="420"/>
      <c r="N39" s="423">
        <f t="shared" si="11"/>
        <v>0</v>
      </c>
      <c r="O39" s="286">
        <f t="shared" si="9"/>
        <v>0</v>
      </c>
      <c r="P39" s="163" t="s">
        <v>144</v>
      </c>
      <c r="Q39" s="163"/>
      <c r="R39" s="163"/>
      <c r="S39" s="287">
        <f t="shared" si="10"/>
        <v>0</v>
      </c>
      <c r="T39" s="163"/>
      <c r="U39" s="158"/>
      <c r="V39" s="158"/>
    </row>
    <row r="40" spans="1:22" s="161" customFormat="1" ht="15.6" customHeight="1">
      <c r="A40" s="41" t="s">
        <v>145</v>
      </c>
      <c r="B40" s="420"/>
      <c r="C40" s="421"/>
      <c r="D40" s="421"/>
      <c r="E40" s="421"/>
      <c r="F40" s="422"/>
      <c r="G40" s="422"/>
      <c r="H40" s="422"/>
      <c r="I40" s="420"/>
      <c r="J40" s="422"/>
      <c r="K40" s="420"/>
      <c r="L40" s="420"/>
      <c r="M40" s="420"/>
      <c r="N40" s="423">
        <f t="shared" si="11"/>
        <v>0</v>
      </c>
      <c r="O40" s="286">
        <f t="shared" si="9"/>
        <v>0</v>
      </c>
      <c r="P40" s="163" t="s">
        <v>146</v>
      </c>
      <c r="Q40" s="164"/>
      <c r="R40" s="164"/>
      <c r="S40" s="287">
        <f t="shared" si="10"/>
        <v>0</v>
      </c>
      <c r="T40" s="164"/>
      <c r="U40" s="158"/>
      <c r="V40" s="158"/>
    </row>
    <row r="41" spans="1:22" s="161" customFormat="1" ht="18" customHeight="1">
      <c r="A41" s="44" t="s">
        <v>147</v>
      </c>
      <c r="B41" s="383">
        <f t="shared" ref="B41:N41" si="12">SUM(B42:B50)</f>
        <v>0</v>
      </c>
      <c r="C41" s="384">
        <f t="shared" si="12"/>
        <v>0</v>
      </c>
      <c r="D41" s="384">
        <f t="shared" si="12"/>
        <v>0</v>
      </c>
      <c r="E41" s="384">
        <f t="shared" si="12"/>
        <v>0</v>
      </c>
      <c r="F41" s="384">
        <f t="shared" si="12"/>
        <v>0</v>
      </c>
      <c r="G41" s="384">
        <f t="shared" si="12"/>
        <v>0</v>
      </c>
      <c r="H41" s="384">
        <f t="shared" si="12"/>
        <v>0</v>
      </c>
      <c r="I41" s="384">
        <f t="shared" si="12"/>
        <v>0</v>
      </c>
      <c r="J41" s="384">
        <f t="shared" si="12"/>
        <v>0</v>
      </c>
      <c r="K41" s="384">
        <f t="shared" si="12"/>
        <v>0</v>
      </c>
      <c r="L41" s="384">
        <f t="shared" si="12"/>
        <v>0</v>
      </c>
      <c r="M41" s="384">
        <f t="shared" si="12"/>
        <v>0</v>
      </c>
      <c r="N41" s="384">
        <f t="shared" si="12"/>
        <v>0</v>
      </c>
      <c r="O41" s="280">
        <f t="shared" si="9"/>
        <v>0</v>
      </c>
      <c r="P41" s="162" t="s">
        <v>148</v>
      </c>
      <c r="Q41" s="162"/>
      <c r="R41" s="162"/>
      <c r="S41" s="285">
        <f t="shared" si="10"/>
        <v>0</v>
      </c>
      <c r="T41" s="162"/>
      <c r="U41" s="158"/>
      <c r="V41" s="158"/>
    </row>
    <row r="42" spans="1:22" s="161" customFormat="1" ht="15.6" customHeight="1">
      <c r="A42" s="24" t="s">
        <v>149</v>
      </c>
      <c r="B42" s="379"/>
      <c r="C42" s="380"/>
      <c r="D42" s="380"/>
      <c r="E42" s="380"/>
      <c r="F42" s="394"/>
      <c r="G42" s="394"/>
      <c r="H42" s="394"/>
      <c r="I42" s="379"/>
      <c r="J42" s="394"/>
      <c r="K42" s="394"/>
      <c r="L42" s="379"/>
      <c r="M42" s="394"/>
      <c r="N42" s="399">
        <f t="shared" ref="N42:N50" si="13">SUM(B42:M42)</f>
        <v>0</v>
      </c>
      <c r="O42" s="281">
        <f t="shared" si="9"/>
        <v>0</v>
      </c>
      <c r="P42" s="161" t="s">
        <v>150</v>
      </c>
      <c r="S42" s="283">
        <f t="shared" si="10"/>
        <v>0</v>
      </c>
      <c r="U42" s="158"/>
      <c r="V42" s="158"/>
    </row>
    <row r="43" spans="1:22" s="161" customFormat="1" ht="15.6" customHeight="1">
      <c r="A43" s="24" t="s">
        <v>151</v>
      </c>
      <c r="B43" s="379"/>
      <c r="C43" s="380"/>
      <c r="D43" s="380"/>
      <c r="E43" s="380"/>
      <c r="F43" s="394"/>
      <c r="G43" s="394"/>
      <c r="H43" s="394"/>
      <c r="I43" s="379"/>
      <c r="J43" s="394"/>
      <c r="K43" s="394"/>
      <c r="L43" s="379"/>
      <c r="M43" s="394"/>
      <c r="N43" s="399">
        <f t="shared" si="13"/>
        <v>0</v>
      </c>
      <c r="O43" s="281">
        <f t="shared" si="9"/>
        <v>0</v>
      </c>
      <c r="P43" s="161" t="s">
        <v>152</v>
      </c>
      <c r="S43" s="283">
        <f t="shared" si="10"/>
        <v>0</v>
      </c>
      <c r="U43" s="158"/>
      <c r="V43" s="158"/>
    </row>
    <row r="44" spans="1:22" s="161" customFormat="1" ht="15.6" customHeight="1">
      <c r="A44" s="24" t="s">
        <v>153</v>
      </c>
      <c r="B44" s="379"/>
      <c r="C44" s="380"/>
      <c r="D44" s="380"/>
      <c r="E44" s="380"/>
      <c r="F44" s="394"/>
      <c r="G44" s="394"/>
      <c r="H44" s="394"/>
      <c r="I44" s="379"/>
      <c r="J44" s="394"/>
      <c r="K44" s="394"/>
      <c r="L44" s="379"/>
      <c r="M44" s="394"/>
      <c r="N44" s="399">
        <f t="shared" si="13"/>
        <v>0</v>
      </c>
      <c r="O44" s="281">
        <f t="shared" si="9"/>
        <v>0</v>
      </c>
      <c r="P44" s="161" t="s">
        <v>154</v>
      </c>
      <c r="S44" s="283">
        <f t="shared" si="10"/>
        <v>0</v>
      </c>
      <c r="U44" s="158"/>
      <c r="V44" s="158"/>
    </row>
    <row r="45" spans="1:22" s="161" customFormat="1" ht="15.6" customHeight="1">
      <c r="A45" s="28" t="s">
        <v>155</v>
      </c>
      <c r="B45" s="420"/>
      <c r="C45" s="421"/>
      <c r="D45" s="421"/>
      <c r="E45" s="421"/>
      <c r="F45" s="422"/>
      <c r="G45" s="422"/>
      <c r="H45" s="422"/>
      <c r="I45" s="420"/>
      <c r="J45" s="422"/>
      <c r="K45" s="422"/>
      <c r="L45" s="420"/>
      <c r="M45" s="422"/>
      <c r="N45" s="423">
        <f t="shared" si="13"/>
        <v>0</v>
      </c>
      <c r="O45" s="286">
        <f t="shared" si="9"/>
        <v>0</v>
      </c>
      <c r="P45" s="163" t="s">
        <v>156</v>
      </c>
      <c r="Q45" s="163"/>
      <c r="R45" s="163"/>
      <c r="S45" s="287">
        <f t="shared" si="10"/>
        <v>0</v>
      </c>
      <c r="T45" s="163"/>
      <c r="U45" s="158"/>
      <c r="V45" s="158"/>
    </row>
    <row r="46" spans="1:22" s="161" customFormat="1" ht="15.6" customHeight="1">
      <c r="A46" s="28" t="s">
        <v>157</v>
      </c>
      <c r="B46" s="420"/>
      <c r="C46" s="421"/>
      <c r="D46" s="421"/>
      <c r="E46" s="421"/>
      <c r="F46" s="422"/>
      <c r="G46" s="422"/>
      <c r="H46" s="422"/>
      <c r="I46" s="420"/>
      <c r="J46" s="422"/>
      <c r="K46" s="422"/>
      <c r="L46" s="422"/>
      <c r="M46" s="422"/>
      <c r="N46" s="423">
        <f t="shared" si="13"/>
        <v>0</v>
      </c>
      <c r="O46" s="286">
        <f t="shared" si="9"/>
        <v>0</v>
      </c>
      <c r="P46" s="163" t="s">
        <v>158</v>
      </c>
      <c r="Q46" s="163"/>
      <c r="R46" s="163"/>
      <c r="S46" s="287">
        <f t="shared" si="10"/>
        <v>0</v>
      </c>
      <c r="T46" s="163"/>
      <c r="U46" s="158"/>
      <c r="V46" s="158"/>
    </row>
    <row r="47" spans="1:22" s="161" customFormat="1" ht="15.6" customHeight="1">
      <c r="A47" s="24" t="s">
        <v>159</v>
      </c>
      <c r="B47" s="379"/>
      <c r="C47" s="380"/>
      <c r="D47" s="380"/>
      <c r="E47" s="380"/>
      <c r="F47" s="394"/>
      <c r="G47" s="394"/>
      <c r="H47" s="394"/>
      <c r="I47" s="394"/>
      <c r="J47" s="394"/>
      <c r="K47" s="394"/>
      <c r="L47" s="394"/>
      <c r="M47" s="394"/>
      <c r="N47" s="399">
        <f t="shared" si="13"/>
        <v>0</v>
      </c>
      <c r="O47" s="281">
        <f t="shared" si="9"/>
        <v>0</v>
      </c>
      <c r="P47" s="157" t="s">
        <v>160</v>
      </c>
      <c r="S47" s="283">
        <f t="shared" si="10"/>
        <v>0</v>
      </c>
      <c r="U47" s="158"/>
      <c r="V47" s="158"/>
    </row>
    <row r="48" spans="1:22" s="161" customFormat="1" ht="15.6" customHeight="1">
      <c r="A48" s="24" t="s">
        <v>161</v>
      </c>
      <c r="B48" s="379"/>
      <c r="C48" s="380"/>
      <c r="D48" s="380"/>
      <c r="E48" s="380"/>
      <c r="F48" s="394"/>
      <c r="G48" s="394"/>
      <c r="H48" s="394"/>
      <c r="I48" s="394"/>
      <c r="J48" s="394"/>
      <c r="K48" s="394"/>
      <c r="L48" s="394"/>
      <c r="M48" s="394"/>
      <c r="N48" s="399">
        <f t="shared" si="13"/>
        <v>0</v>
      </c>
      <c r="O48" s="281">
        <f t="shared" si="9"/>
        <v>0</v>
      </c>
      <c r="P48" s="161" t="s">
        <v>162</v>
      </c>
      <c r="S48" s="283">
        <f t="shared" si="10"/>
        <v>0</v>
      </c>
      <c r="U48" s="158"/>
      <c r="V48" s="158"/>
    </row>
    <row r="49" spans="1:22" s="161" customFormat="1" ht="15.6" customHeight="1">
      <c r="A49" s="24" t="s">
        <v>163</v>
      </c>
      <c r="B49" s="379"/>
      <c r="C49" s="380"/>
      <c r="D49" s="380"/>
      <c r="E49" s="380"/>
      <c r="F49" s="394"/>
      <c r="G49" s="394"/>
      <c r="H49" s="394"/>
      <c r="I49" s="394"/>
      <c r="J49" s="394"/>
      <c r="K49" s="394"/>
      <c r="L49" s="394"/>
      <c r="M49" s="394"/>
      <c r="N49" s="399">
        <f t="shared" si="13"/>
        <v>0</v>
      </c>
      <c r="O49" s="281">
        <f t="shared" si="9"/>
        <v>0</v>
      </c>
      <c r="P49" s="161" t="s">
        <v>164</v>
      </c>
      <c r="S49" s="283">
        <f t="shared" si="10"/>
        <v>0</v>
      </c>
      <c r="U49" s="158"/>
      <c r="V49" s="158"/>
    </row>
    <row r="50" spans="1:22" s="161" customFormat="1" ht="15.6" customHeight="1">
      <c r="A50" s="27" t="s">
        <v>165</v>
      </c>
      <c r="B50" s="379"/>
      <c r="C50" s="380"/>
      <c r="D50" s="380"/>
      <c r="E50" s="380"/>
      <c r="F50" s="394"/>
      <c r="G50" s="394"/>
      <c r="H50" s="394"/>
      <c r="I50" s="394"/>
      <c r="J50" s="394"/>
      <c r="K50" s="394"/>
      <c r="L50" s="394"/>
      <c r="M50" s="394"/>
      <c r="N50" s="399">
        <f t="shared" si="13"/>
        <v>0</v>
      </c>
      <c r="O50" s="281">
        <f t="shared" si="9"/>
        <v>0</v>
      </c>
      <c r="P50" s="161" t="s">
        <v>166</v>
      </c>
      <c r="Q50" s="157"/>
      <c r="R50" s="157"/>
      <c r="S50" s="283">
        <f t="shared" si="10"/>
        <v>0</v>
      </c>
      <c r="T50" s="157"/>
      <c r="U50" s="158"/>
      <c r="V50" s="158"/>
    </row>
    <row r="51" spans="1:22" s="161" customFormat="1" ht="18" customHeight="1">
      <c r="A51" s="43" t="s">
        <v>167</v>
      </c>
      <c r="B51" s="376">
        <f t="shared" ref="B51:N51" si="14">B52+B59+B65+B72+B121+B147</f>
        <v>0</v>
      </c>
      <c r="C51" s="376">
        <f t="shared" si="14"/>
        <v>0</v>
      </c>
      <c r="D51" s="376">
        <f t="shared" si="14"/>
        <v>0</v>
      </c>
      <c r="E51" s="376">
        <f t="shared" si="14"/>
        <v>0</v>
      </c>
      <c r="F51" s="376">
        <f t="shared" si="14"/>
        <v>0</v>
      </c>
      <c r="G51" s="376">
        <f t="shared" si="14"/>
        <v>0</v>
      </c>
      <c r="H51" s="376">
        <f t="shared" si="14"/>
        <v>0</v>
      </c>
      <c r="I51" s="376">
        <f t="shared" si="14"/>
        <v>0</v>
      </c>
      <c r="J51" s="376">
        <f t="shared" si="14"/>
        <v>0</v>
      </c>
      <c r="K51" s="376">
        <f t="shared" si="14"/>
        <v>0</v>
      </c>
      <c r="L51" s="376">
        <f t="shared" si="14"/>
        <v>0</v>
      </c>
      <c r="M51" s="376">
        <f t="shared" si="14"/>
        <v>0</v>
      </c>
      <c r="N51" s="376">
        <f t="shared" si="14"/>
        <v>0</v>
      </c>
      <c r="O51" s="280">
        <f t="shared" si="9"/>
        <v>0</v>
      </c>
      <c r="P51" s="160" t="s">
        <v>168</v>
      </c>
      <c r="Q51" s="160"/>
      <c r="R51" s="160"/>
      <c r="S51" s="376">
        <f t="shared" si="10"/>
        <v>0</v>
      </c>
      <c r="T51" s="160"/>
      <c r="U51" s="158"/>
      <c r="V51" s="158"/>
    </row>
    <row r="52" spans="1:22" ht="16.149999999999999" customHeight="1">
      <c r="A52" s="42" t="s">
        <v>169</v>
      </c>
      <c r="B52" s="377">
        <f t="shared" ref="B52:N52" si="15">SUM(B53:B58)</f>
        <v>0</v>
      </c>
      <c r="C52" s="377">
        <f t="shared" si="15"/>
        <v>0</v>
      </c>
      <c r="D52" s="377">
        <f t="shared" si="15"/>
        <v>0</v>
      </c>
      <c r="E52" s="377">
        <f t="shared" si="15"/>
        <v>0</v>
      </c>
      <c r="F52" s="377">
        <f t="shared" si="15"/>
        <v>0</v>
      </c>
      <c r="G52" s="377">
        <f t="shared" si="15"/>
        <v>0</v>
      </c>
      <c r="H52" s="377">
        <f t="shared" si="15"/>
        <v>0</v>
      </c>
      <c r="I52" s="377">
        <f t="shared" si="15"/>
        <v>0</v>
      </c>
      <c r="J52" s="377">
        <f t="shared" si="15"/>
        <v>0</v>
      </c>
      <c r="K52" s="377">
        <f t="shared" si="15"/>
        <v>0</v>
      </c>
      <c r="L52" s="377">
        <f t="shared" si="15"/>
        <v>0</v>
      </c>
      <c r="M52" s="377">
        <f t="shared" si="15"/>
        <v>0</v>
      </c>
      <c r="N52" s="378">
        <f t="shared" si="15"/>
        <v>0</v>
      </c>
      <c r="O52" s="281">
        <f t="shared" si="9"/>
        <v>0</v>
      </c>
      <c r="P52" s="157" t="s">
        <v>170</v>
      </c>
      <c r="S52" s="282">
        <f t="shared" si="10"/>
        <v>0</v>
      </c>
      <c r="U52" s="158"/>
      <c r="V52" s="158"/>
    </row>
    <row r="53" spans="1:22" s="161" customFormat="1" ht="15.6" customHeight="1">
      <c r="A53" s="24" t="s">
        <v>169</v>
      </c>
      <c r="B53" s="419"/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1">
        <f t="shared" ref="N53:N58" si="16">SUM(B53:M53)</f>
        <v>0</v>
      </c>
      <c r="O53" s="281">
        <f t="shared" si="9"/>
        <v>0</v>
      </c>
      <c r="P53" s="161" t="s">
        <v>171</v>
      </c>
      <c r="Q53" s="157"/>
      <c r="R53" s="157"/>
      <c r="S53" s="284">
        <f t="shared" si="10"/>
        <v>0</v>
      </c>
      <c r="T53" s="157"/>
      <c r="U53" s="158"/>
      <c r="V53" s="158"/>
    </row>
    <row r="54" spans="1:22" ht="15.6" customHeight="1">
      <c r="A54" s="24" t="s">
        <v>172</v>
      </c>
      <c r="B54" s="419"/>
      <c r="C54" s="382"/>
      <c r="D54" s="382"/>
      <c r="E54" s="382"/>
      <c r="F54" s="382"/>
      <c r="G54" s="382"/>
      <c r="H54" s="382"/>
      <c r="I54" s="382"/>
      <c r="J54" s="382"/>
      <c r="K54" s="382"/>
      <c r="L54" s="382"/>
      <c r="M54" s="382"/>
      <c r="N54" s="381">
        <f t="shared" si="16"/>
        <v>0</v>
      </c>
      <c r="O54" s="281">
        <f t="shared" si="9"/>
        <v>0</v>
      </c>
      <c r="P54" s="161" t="s">
        <v>173</v>
      </c>
      <c r="Q54" s="161"/>
      <c r="R54" s="161"/>
      <c r="S54" s="284">
        <f t="shared" si="10"/>
        <v>0</v>
      </c>
      <c r="T54" s="161"/>
      <c r="U54" s="158"/>
      <c r="V54" s="158"/>
    </row>
    <row r="55" spans="1:22" ht="15.6" customHeight="1">
      <c r="A55" s="24" t="s">
        <v>174</v>
      </c>
      <c r="B55" s="419"/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/>
      <c r="N55" s="381">
        <f t="shared" si="16"/>
        <v>0</v>
      </c>
      <c r="O55" s="281">
        <f t="shared" si="9"/>
        <v>0</v>
      </c>
      <c r="P55" s="161" t="s">
        <v>175</v>
      </c>
      <c r="S55" s="284">
        <f t="shared" si="10"/>
        <v>0</v>
      </c>
      <c r="U55" s="158"/>
      <c r="V55" s="158"/>
    </row>
    <row r="56" spans="1:22" ht="15.6" customHeight="1">
      <c r="A56" s="24" t="s">
        <v>176</v>
      </c>
      <c r="B56" s="419"/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381">
        <f t="shared" si="16"/>
        <v>0</v>
      </c>
      <c r="O56" s="281">
        <f t="shared" si="9"/>
        <v>0</v>
      </c>
      <c r="P56" s="161" t="s">
        <v>177</v>
      </c>
      <c r="S56" s="284">
        <f t="shared" si="10"/>
        <v>0</v>
      </c>
      <c r="U56" s="158"/>
      <c r="V56" s="158"/>
    </row>
    <row r="57" spans="1:22" ht="15.6" customHeight="1">
      <c r="A57" s="24" t="s">
        <v>178</v>
      </c>
      <c r="B57" s="419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1">
        <f t="shared" si="16"/>
        <v>0</v>
      </c>
      <c r="O57" s="281">
        <f t="shared" si="9"/>
        <v>0</v>
      </c>
      <c r="P57" s="161" t="s">
        <v>179</v>
      </c>
      <c r="S57" s="284">
        <f t="shared" si="10"/>
        <v>0</v>
      </c>
      <c r="U57" s="158"/>
      <c r="V57" s="158"/>
    </row>
    <row r="58" spans="1:22" ht="15.6" customHeight="1">
      <c r="A58" s="24" t="s">
        <v>180</v>
      </c>
      <c r="B58" s="419"/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1">
        <f t="shared" si="16"/>
        <v>0</v>
      </c>
      <c r="O58" s="281">
        <f t="shared" si="9"/>
        <v>0</v>
      </c>
      <c r="P58" s="161" t="s">
        <v>181</v>
      </c>
      <c r="S58" s="284">
        <f t="shared" si="10"/>
        <v>0</v>
      </c>
      <c r="U58" s="158"/>
      <c r="V58" s="158"/>
    </row>
    <row r="59" spans="1:22" s="161" customFormat="1" ht="16.149999999999999" customHeight="1">
      <c r="A59" s="42" t="s">
        <v>182</v>
      </c>
      <c r="B59" s="377">
        <f t="shared" ref="B59:N59" si="17">SUM(B60:B64)</f>
        <v>0</v>
      </c>
      <c r="C59" s="377">
        <f t="shared" si="17"/>
        <v>0</v>
      </c>
      <c r="D59" s="377">
        <f t="shared" si="17"/>
        <v>0</v>
      </c>
      <c r="E59" s="377">
        <f t="shared" si="17"/>
        <v>0</v>
      </c>
      <c r="F59" s="377">
        <f t="shared" si="17"/>
        <v>0</v>
      </c>
      <c r="G59" s="377">
        <f t="shared" si="17"/>
        <v>0</v>
      </c>
      <c r="H59" s="377">
        <f t="shared" si="17"/>
        <v>0</v>
      </c>
      <c r="I59" s="377">
        <f t="shared" si="17"/>
        <v>0</v>
      </c>
      <c r="J59" s="377">
        <f t="shared" si="17"/>
        <v>0</v>
      </c>
      <c r="K59" s="377">
        <f t="shared" si="17"/>
        <v>0</v>
      </c>
      <c r="L59" s="377">
        <f t="shared" si="17"/>
        <v>0</v>
      </c>
      <c r="M59" s="377">
        <f t="shared" si="17"/>
        <v>0</v>
      </c>
      <c r="N59" s="378">
        <f t="shared" si="17"/>
        <v>0</v>
      </c>
      <c r="O59" s="281">
        <f t="shared" si="9"/>
        <v>0</v>
      </c>
      <c r="P59" s="157" t="s">
        <v>183</v>
      </c>
      <c r="Q59" s="157"/>
      <c r="R59" s="157"/>
      <c r="S59" s="282">
        <f>SUM(S60:S64)</f>
        <v>0</v>
      </c>
      <c r="T59" s="157"/>
      <c r="U59" s="158"/>
      <c r="V59" s="158"/>
    </row>
    <row r="60" spans="1:22" s="161" customFormat="1" ht="15.6" customHeight="1">
      <c r="A60" s="24" t="s">
        <v>184</v>
      </c>
      <c r="B60" s="419"/>
      <c r="C60" s="382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381">
        <f>SUM(B60:M60)</f>
        <v>0</v>
      </c>
      <c r="O60" s="281">
        <f t="shared" ref="O60:O91" si="18">+SUM($B60:$M60)-N60</f>
        <v>0</v>
      </c>
      <c r="P60" s="161" t="s">
        <v>185</v>
      </c>
      <c r="Q60" s="157"/>
      <c r="R60" s="157"/>
      <c r="S60" s="284">
        <f t="shared" ref="S60:S91" si="19">H60/1000</f>
        <v>0</v>
      </c>
      <c r="T60" s="157"/>
      <c r="U60" s="158"/>
      <c r="V60" s="158"/>
    </row>
    <row r="61" spans="1:22" s="161" customFormat="1" ht="15.6" customHeight="1">
      <c r="A61" s="24" t="s">
        <v>186</v>
      </c>
      <c r="B61" s="419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1">
        <f>SUM(B61:M61)</f>
        <v>0</v>
      </c>
      <c r="O61" s="281">
        <f t="shared" si="18"/>
        <v>0</v>
      </c>
      <c r="P61" s="161" t="s">
        <v>187</v>
      </c>
      <c r="S61" s="284">
        <f t="shared" si="19"/>
        <v>0</v>
      </c>
      <c r="U61" s="158"/>
      <c r="V61" s="158"/>
    </row>
    <row r="62" spans="1:22" s="161" customFormat="1" ht="15.6" customHeight="1">
      <c r="A62" s="24" t="s">
        <v>188</v>
      </c>
      <c r="B62" s="419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1">
        <f>SUM(B62:M62)</f>
        <v>0</v>
      </c>
      <c r="O62" s="281">
        <f t="shared" si="18"/>
        <v>0</v>
      </c>
      <c r="P62" s="161" t="s">
        <v>189</v>
      </c>
      <c r="Q62" s="157"/>
      <c r="R62" s="157"/>
      <c r="S62" s="284">
        <f t="shared" si="19"/>
        <v>0</v>
      </c>
      <c r="T62" s="157"/>
      <c r="U62" s="158"/>
      <c r="V62" s="158"/>
    </row>
    <row r="63" spans="1:22" s="161" customFormat="1" ht="15.6" customHeight="1">
      <c r="A63" s="24" t="s">
        <v>190</v>
      </c>
      <c r="B63" s="419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1">
        <f>SUM(B63:M63)</f>
        <v>0</v>
      </c>
      <c r="O63" s="281">
        <f t="shared" si="18"/>
        <v>0</v>
      </c>
      <c r="P63" s="161" t="s">
        <v>191</v>
      </c>
      <c r="Q63" s="157"/>
      <c r="R63" s="157"/>
      <c r="S63" s="284">
        <f t="shared" si="19"/>
        <v>0</v>
      </c>
      <c r="T63" s="157"/>
      <c r="U63" s="158"/>
      <c r="V63" s="158"/>
    </row>
    <row r="64" spans="1:22" s="161" customFormat="1" ht="15.6" customHeight="1">
      <c r="A64" s="24" t="s">
        <v>192</v>
      </c>
      <c r="B64" s="419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1">
        <f>SUM(B64:M64)</f>
        <v>0</v>
      </c>
      <c r="O64" s="281">
        <f t="shared" si="18"/>
        <v>0</v>
      </c>
      <c r="P64" s="161" t="s">
        <v>193</v>
      </c>
      <c r="Q64" s="157"/>
      <c r="R64" s="157"/>
      <c r="S64" s="284">
        <f t="shared" si="19"/>
        <v>0</v>
      </c>
      <c r="T64" s="157"/>
      <c r="U64" s="158"/>
      <c r="V64" s="158"/>
    </row>
    <row r="65" spans="1:22" ht="16.149999999999999" customHeight="1">
      <c r="A65" s="42" t="s">
        <v>194</v>
      </c>
      <c r="B65" s="377">
        <f t="shared" ref="B65:N65" si="20">SUM(B66:B71)</f>
        <v>0</v>
      </c>
      <c r="C65" s="377">
        <f t="shared" si="20"/>
        <v>0</v>
      </c>
      <c r="D65" s="377">
        <f t="shared" si="20"/>
        <v>0</v>
      </c>
      <c r="E65" s="377">
        <f t="shared" si="20"/>
        <v>0</v>
      </c>
      <c r="F65" s="377">
        <f t="shared" si="20"/>
        <v>0</v>
      </c>
      <c r="G65" s="377">
        <f t="shared" si="20"/>
        <v>0</v>
      </c>
      <c r="H65" s="377">
        <f t="shared" si="20"/>
        <v>0</v>
      </c>
      <c r="I65" s="377">
        <f t="shared" si="20"/>
        <v>0</v>
      </c>
      <c r="J65" s="377">
        <f t="shared" si="20"/>
        <v>0</v>
      </c>
      <c r="K65" s="377">
        <f t="shared" si="20"/>
        <v>0</v>
      </c>
      <c r="L65" s="377">
        <f t="shared" si="20"/>
        <v>0</v>
      </c>
      <c r="M65" s="377">
        <f t="shared" si="20"/>
        <v>0</v>
      </c>
      <c r="N65" s="378">
        <f t="shared" si="20"/>
        <v>0</v>
      </c>
      <c r="O65" s="281">
        <f t="shared" si="18"/>
        <v>0</v>
      </c>
      <c r="P65" s="157" t="s">
        <v>195</v>
      </c>
      <c r="S65" s="282">
        <f t="shared" si="19"/>
        <v>0</v>
      </c>
      <c r="U65" s="158"/>
      <c r="V65" s="158"/>
    </row>
    <row r="66" spans="1:22" s="161" customFormat="1" ht="15.6" customHeight="1">
      <c r="A66" s="28" t="s">
        <v>196</v>
      </c>
      <c r="B66" s="379"/>
      <c r="C66" s="380"/>
      <c r="D66" s="380"/>
      <c r="E66" s="380"/>
      <c r="F66" s="394"/>
      <c r="G66" s="394"/>
      <c r="H66" s="394"/>
      <c r="I66" s="394"/>
      <c r="J66" s="394"/>
      <c r="K66" s="394"/>
      <c r="L66" s="394"/>
      <c r="M66" s="394"/>
      <c r="N66" s="399">
        <f t="shared" ref="N66:N71" si="21">SUM(B66:M66)</f>
        <v>0</v>
      </c>
      <c r="O66" s="281">
        <f t="shared" si="18"/>
        <v>0</v>
      </c>
      <c r="P66" s="161" t="s">
        <v>197</v>
      </c>
      <c r="S66" s="283">
        <f t="shared" si="19"/>
        <v>0</v>
      </c>
      <c r="U66" s="158"/>
      <c r="V66" s="158"/>
    </row>
    <row r="67" spans="1:22" s="161" customFormat="1" ht="15.6" customHeight="1">
      <c r="A67" s="24" t="s">
        <v>198</v>
      </c>
      <c r="B67" s="379"/>
      <c r="C67" s="380"/>
      <c r="D67" s="380"/>
      <c r="E67" s="380"/>
      <c r="F67" s="394"/>
      <c r="G67" s="394"/>
      <c r="H67" s="394"/>
      <c r="I67" s="394"/>
      <c r="J67" s="394"/>
      <c r="K67" s="394"/>
      <c r="L67" s="394"/>
      <c r="M67" s="394"/>
      <c r="N67" s="399">
        <f t="shared" si="21"/>
        <v>0</v>
      </c>
      <c r="O67" s="281">
        <f t="shared" si="18"/>
        <v>0</v>
      </c>
      <c r="P67" s="157" t="s">
        <v>199</v>
      </c>
      <c r="S67" s="283">
        <f t="shared" si="19"/>
        <v>0</v>
      </c>
      <c r="U67" s="158"/>
      <c r="V67" s="158"/>
    </row>
    <row r="68" spans="1:22" s="161" customFormat="1" ht="15.6" customHeight="1">
      <c r="A68" s="24" t="s">
        <v>200</v>
      </c>
      <c r="B68" s="379"/>
      <c r="C68" s="380"/>
      <c r="D68" s="380"/>
      <c r="E68" s="380"/>
      <c r="F68" s="394"/>
      <c r="G68" s="394"/>
      <c r="H68" s="394"/>
      <c r="I68" s="394"/>
      <c r="J68" s="394"/>
      <c r="K68" s="394"/>
      <c r="L68" s="394"/>
      <c r="M68" s="394"/>
      <c r="N68" s="399">
        <f t="shared" si="21"/>
        <v>0</v>
      </c>
      <c r="O68" s="281">
        <f t="shared" si="18"/>
        <v>0</v>
      </c>
      <c r="P68" s="161" t="s">
        <v>201</v>
      </c>
      <c r="S68" s="283">
        <f t="shared" si="19"/>
        <v>0</v>
      </c>
      <c r="U68" s="158"/>
      <c r="V68" s="158"/>
    </row>
    <row r="69" spans="1:22" s="177" customFormat="1" ht="15.6" customHeight="1">
      <c r="A69" s="24" t="s">
        <v>117</v>
      </c>
      <c r="B69" s="379"/>
      <c r="C69" s="380"/>
      <c r="D69" s="380"/>
      <c r="E69" s="380"/>
      <c r="F69" s="394"/>
      <c r="G69" s="394"/>
      <c r="H69" s="394"/>
      <c r="I69" s="394"/>
      <c r="J69" s="394"/>
      <c r="K69" s="394"/>
      <c r="L69" s="394"/>
      <c r="M69" s="394"/>
      <c r="N69" s="399">
        <f t="shared" si="21"/>
        <v>0</v>
      </c>
      <c r="O69" s="281">
        <f t="shared" si="18"/>
        <v>0</v>
      </c>
      <c r="P69" s="161" t="s">
        <v>118</v>
      </c>
      <c r="Q69" s="161"/>
      <c r="R69" s="161"/>
      <c r="S69" s="283">
        <f t="shared" si="19"/>
        <v>0</v>
      </c>
      <c r="T69" s="161"/>
      <c r="U69" s="158"/>
      <c r="V69" s="158"/>
    </row>
    <row r="70" spans="1:22" s="161" customFormat="1" ht="15.6" customHeight="1">
      <c r="A70" s="24" t="s">
        <v>119</v>
      </c>
      <c r="B70" s="379"/>
      <c r="C70" s="380"/>
      <c r="D70" s="380"/>
      <c r="E70" s="380"/>
      <c r="F70" s="394"/>
      <c r="G70" s="394"/>
      <c r="H70" s="394"/>
      <c r="I70" s="394"/>
      <c r="J70" s="394"/>
      <c r="K70" s="394"/>
      <c r="L70" s="394"/>
      <c r="M70" s="394"/>
      <c r="N70" s="399">
        <f t="shared" si="21"/>
        <v>0</v>
      </c>
      <c r="O70" s="281">
        <f t="shared" si="18"/>
        <v>0</v>
      </c>
      <c r="P70" s="161" t="s">
        <v>120</v>
      </c>
      <c r="S70" s="283">
        <f t="shared" si="19"/>
        <v>0</v>
      </c>
      <c r="U70" s="158"/>
      <c r="V70" s="158"/>
    </row>
    <row r="71" spans="1:22" s="161" customFormat="1" ht="15.6" customHeight="1">
      <c r="A71" s="24" t="s">
        <v>202</v>
      </c>
      <c r="B71" s="379"/>
      <c r="C71" s="380"/>
      <c r="D71" s="380"/>
      <c r="E71" s="380"/>
      <c r="F71" s="394"/>
      <c r="G71" s="394"/>
      <c r="H71" s="394"/>
      <c r="I71" s="394"/>
      <c r="J71" s="394"/>
      <c r="K71" s="394"/>
      <c r="L71" s="394"/>
      <c r="M71" s="394"/>
      <c r="N71" s="399">
        <f t="shared" si="21"/>
        <v>0</v>
      </c>
      <c r="O71" s="281">
        <f t="shared" si="18"/>
        <v>0</v>
      </c>
      <c r="P71" s="161" t="s">
        <v>203</v>
      </c>
      <c r="Q71" s="157"/>
      <c r="R71" s="157"/>
      <c r="S71" s="283">
        <f t="shared" si="19"/>
        <v>0</v>
      </c>
      <c r="T71" s="157"/>
      <c r="U71" s="158"/>
      <c r="V71" s="158"/>
    </row>
    <row r="72" spans="1:22" s="161" customFormat="1" ht="16.149999999999999" customHeight="1">
      <c r="A72" s="42" t="s">
        <v>585</v>
      </c>
      <c r="B72" s="377">
        <f t="shared" ref="B72:N72" si="22">SUM(B73:B120)</f>
        <v>0</v>
      </c>
      <c r="C72" s="377">
        <f t="shared" si="22"/>
        <v>0</v>
      </c>
      <c r="D72" s="377">
        <f t="shared" si="22"/>
        <v>0</v>
      </c>
      <c r="E72" s="377">
        <f t="shared" si="22"/>
        <v>0</v>
      </c>
      <c r="F72" s="377">
        <f t="shared" si="22"/>
        <v>0</v>
      </c>
      <c r="G72" s="377">
        <f t="shared" si="22"/>
        <v>0</v>
      </c>
      <c r="H72" s="377">
        <f t="shared" si="22"/>
        <v>0</v>
      </c>
      <c r="I72" s="377">
        <f t="shared" si="22"/>
        <v>0</v>
      </c>
      <c r="J72" s="377">
        <f t="shared" si="22"/>
        <v>0</v>
      </c>
      <c r="K72" s="377">
        <f t="shared" si="22"/>
        <v>0</v>
      </c>
      <c r="L72" s="377">
        <f t="shared" si="22"/>
        <v>0</v>
      </c>
      <c r="M72" s="377">
        <f t="shared" si="22"/>
        <v>0</v>
      </c>
      <c r="N72" s="378">
        <f t="shared" si="22"/>
        <v>0</v>
      </c>
      <c r="O72" s="281">
        <f t="shared" si="18"/>
        <v>0</v>
      </c>
      <c r="P72" s="157"/>
      <c r="Q72" s="157"/>
      <c r="R72" s="157"/>
      <c r="S72" s="282">
        <f t="shared" si="19"/>
        <v>0</v>
      </c>
      <c r="T72" s="157"/>
      <c r="U72" s="158"/>
      <c r="V72" s="158"/>
    </row>
    <row r="73" spans="1:22" s="161" customFormat="1" ht="15.6" customHeight="1">
      <c r="A73" s="24" t="s">
        <v>206</v>
      </c>
      <c r="B73" s="379"/>
      <c r="C73" s="380"/>
      <c r="D73" s="380"/>
      <c r="E73" s="380"/>
      <c r="F73" s="379"/>
      <c r="G73" s="394"/>
      <c r="H73" s="379"/>
      <c r="I73" s="394"/>
      <c r="J73" s="394"/>
      <c r="K73" s="394"/>
      <c r="L73" s="394"/>
      <c r="M73" s="394"/>
      <c r="N73" s="399">
        <f t="shared" ref="N73:N120" si="23">SUM(B73:M73)</f>
        <v>0</v>
      </c>
      <c r="O73" s="281">
        <f t="shared" si="18"/>
        <v>0</v>
      </c>
      <c r="P73" s="161" t="s">
        <v>207</v>
      </c>
      <c r="S73" s="288">
        <f t="shared" si="19"/>
        <v>0</v>
      </c>
      <c r="U73" s="158"/>
      <c r="V73" s="158"/>
    </row>
    <row r="74" spans="1:22" s="161" customFormat="1" ht="15.6" customHeight="1">
      <c r="A74" s="24" t="s">
        <v>208</v>
      </c>
      <c r="B74" s="379"/>
      <c r="C74" s="380"/>
      <c r="D74" s="380"/>
      <c r="E74" s="380"/>
      <c r="F74" s="379"/>
      <c r="G74" s="394"/>
      <c r="H74" s="379"/>
      <c r="I74" s="394"/>
      <c r="J74" s="394"/>
      <c r="K74" s="394"/>
      <c r="L74" s="394"/>
      <c r="M74" s="394"/>
      <c r="N74" s="399">
        <f t="shared" si="23"/>
        <v>0</v>
      </c>
      <c r="O74" s="281">
        <f t="shared" si="18"/>
        <v>0</v>
      </c>
      <c r="P74" s="161" t="s">
        <v>209</v>
      </c>
      <c r="S74" s="288">
        <f t="shared" si="19"/>
        <v>0</v>
      </c>
      <c r="U74" s="158"/>
      <c r="V74" s="158"/>
    </row>
    <row r="75" spans="1:22" s="161" customFormat="1" ht="15.6" customHeight="1">
      <c r="A75" s="28" t="s">
        <v>210</v>
      </c>
      <c r="B75" s="420"/>
      <c r="C75" s="421"/>
      <c r="D75" s="421"/>
      <c r="E75" s="421"/>
      <c r="F75" s="420"/>
      <c r="G75" s="422"/>
      <c r="H75" s="420"/>
      <c r="I75" s="422"/>
      <c r="J75" s="422"/>
      <c r="K75" s="422"/>
      <c r="L75" s="422"/>
      <c r="M75" s="422"/>
      <c r="N75" s="423">
        <f t="shared" si="23"/>
        <v>0</v>
      </c>
      <c r="O75" s="286">
        <f t="shared" si="18"/>
        <v>0</v>
      </c>
      <c r="P75" s="163" t="s">
        <v>211</v>
      </c>
      <c r="Q75" s="163"/>
      <c r="R75" s="163"/>
      <c r="S75" s="289">
        <f t="shared" si="19"/>
        <v>0</v>
      </c>
      <c r="T75" s="163"/>
      <c r="U75" s="158"/>
      <c r="V75" s="158"/>
    </row>
    <row r="76" spans="1:22" s="161" customFormat="1" ht="15.6" customHeight="1">
      <c r="A76" s="28" t="s">
        <v>212</v>
      </c>
      <c r="B76" s="420"/>
      <c r="C76" s="421"/>
      <c r="D76" s="421"/>
      <c r="E76" s="421"/>
      <c r="F76" s="420"/>
      <c r="G76" s="422"/>
      <c r="H76" s="420"/>
      <c r="I76" s="422"/>
      <c r="J76" s="422"/>
      <c r="K76" s="422"/>
      <c r="L76" s="422"/>
      <c r="M76" s="422"/>
      <c r="N76" s="423">
        <f t="shared" si="23"/>
        <v>0</v>
      </c>
      <c r="O76" s="286">
        <f t="shared" si="18"/>
        <v>0</v>
      </c>
      <c r="P76" s="165" t="s">
        <v>213</v>
      </c>
      <c r="Q76" s="163"/>
      <c r="R76" s="163"/>
      <c r="S76" s="289">
        <f t="shared" si="19"/>
        <v>0</v>
      </c>
      <c r="T76" s="163"/>
      <c r="U76" s="158"/>
      <c r="V76" s="158"/>
    </row>
    <row r="77" spans="1:22" s="161" customFormat="1" ht="15.6" customHeight="1">
      <c r="A77" s="41" t="s">
        <v>214</v>
      </c>
      <c r="B77" s="420"/>
      <c r="C77" s="421"/>
      <c r="D77" s="421"/>
      <c r="E77" s="421"/>
      <c r="F77" s="420"/>
      <c r="G77" s="422"/>
      <c r="H77" s="420"/>
      <c r="I77" s="422"/>
      <c r="J77" s="422"/>
      <c r="K77" s="422"/>
      <c r="L77" s="422"/>
      <c r="M77" s="422"/>
      <c r="N77" s="423">
        <f t="shared" si="23"/>
        <v>0</v>
      </c>
      <c r="O77" s="286">
        <f t="shared" si="18"/>
        <v>0</v>
      </c>
      <c r="P77" s="163" t="s">
        <v>215</v>
      </c>
      <c r="Q77" s="163"/>
      <c r="R77" s="163"/>
      <c r="S77" s="289">
        <f t="shared" si="19"/>
        <v>0</v>
      </c>
      <c r="T77" s="163"/>
      <c r="U77" s="158"/>
      <c r="V77" s="158"/>
    </row>
    <row r="78" spans="1:22" s="161" customFormat="1" ht="15.6" customHeight="1">
      <c r="A78" s="28" t="s">
        <v>216</v>
      </c>
      <c r="B78" s="420"/>
      <c r="C78" s="421"/>
      <c r="D78" s="421"/>
      <c r="E78" s="421"/>
      <c r="F78" s="420"/>
      <c r="G78" s="422"/>
      <c r="H78" s="420"/>
      <c r="I78" s="422"/>
      <c r="J78" s="422"/>
      <c r="K78" s="422"/>
      <c r="L78" s="422"/>
      <c r="M78" s="422"/>
      <c r="N78" s="423">
        <f t="shared" si="23"/>
        <v>0</v>
      </c>
      <c r="O78" s="286">
        <f t="shared" si="18"/>
        <v>0</v>
      </c>
      <c r="P78" s="163" t="s">
        <v>217</v>
      </c>
      <c r="Q78" s="163"/>
      <c r="R78" s="163"/>
      <c r="S78" s="289">
        <f t="shared" si="19"/>
        <v>0</v>
      </c>
      <c r="T78" s="163"/>
      <c r="U78" s="158"/>
      <c r="V78" s="158"/>
    </row>
    <row r="79" spans="1:22" s="161" customFormat="1" ht="15.6" customHeight="1">
      <c r="A79" s="28" t="s">
        <v>218</v>
      </c>
      <c r="B79" s="420"/>
      <c r="C79" s="421"/>
      <c r="D79" s="421"/>
      <c r="E79" s="421"/>
      <c r="F79" s="420"/>
      <c r="G79" s="422"/>
      <c r="H79" s="420"/>
      <c r="I79" s="422"/>
      <c r="J79" s="422"/>
      <c r="K79" s="422"/>
      <c r="L79" s="422"/>
      <c r="M79" s="422"/>
      <c r="N79" s="423">
        <f t="shared" si="23"/>
        <v>0</v>
      </c>
      <c r="O79" s="286">
        <f t="shared" si="18"/>
        <v>0</v>
      </c>
      <c r="P79" s="163" t="s">
        <v>219</v>
      </c>
      <c r="Q79" s="163"/>
      <c r="R79" s="163"/>
      <c r="S79" s="289">
        <f t="shared" si="19"/>
        <v>0</v>
      </c>
      <c r="T79" s="163"/>
      <c r="U79" s="158"/>
      <c r="V79" s="158"/>
    </row>
    <row r="80" spans="1:22" s="161" customFormat="1" ht="15.6" customHeight="1">
      <c r="A80" s="28" t="s">
        <v>220</v>
      </c>
      <c r="B80" s="420"/>
      <c r="C80" s="421"/>
      <c r="D80" s="421"/>
      <c r="E80" s="421"/>
      <c r="F80" s="420"/>
      <c r="G80" s="422"/>
      <c r="H80" s="420"/>
      <c r="I80" s="422"/>
      <c r="J80" s="422"/>
      <c r="K80" s="422"/>
      <c r="L80" s="422"/>
      <c r="M80" s="422"/>
      <c r="N80" s="423">
        <f t="shared" si="23"/>
        <v>0</v>
      </c>
      <c r="O80" s="286">
        <f t="shared" si="18"/>
        <v>0</v>
      </c>
      <c r="P80" s="163" t="s">
        <v>221</v>
      </c>
      <c r="Q80" s="163"/>
      <c r="R80" s="163"/>
      <c r="S80" s="289">
        <f t="shared" si="19"/>
        <v>0</v>
      </c>
      <c r="T80" s="163"/>
      <c r="U80" s="158"/>
      <c r="V80" s="158"/>
    </row>
    <row r="81" spans="1:22" s="161" customFormat="1" ht="15.6" customHeight="1">
      <c r="A81" s="28" t="s">
        <v>222</v>
      </c>
      <c r="B81" s="420"/>
      <c r="C81" s="421"/>
      <c r="D81" s="421"/>
      <c r="E81" s="421"/>
      <c r="F81" s="420"/>
      <c r="G81" s="422"/>
      <c r="H81" s="420"/>
      <c r="I81" s="422"/>
      <c r="J81" s="422"/>
      <c r="K81" s="422"/>
      <c r="L81" s="422"/>
      <c r="M81" s="422"/>
      <c r="N81" s="423">
        <f t="shared" si="23"/>
        <v>0</v>
      </c>
      <c r="O81" s="286">
        <f t="shared" si="18"/>
        <v>0</v>
      </c>
      <c r="P81" s="163" t="s">
        <v>223</v>
      </c>
      <c r="Q81" s="163"/>
      <c r="R81" s="163"/>
      <c r="S81" s="289">
        <f t="shared" si="19"/>
        <v>0</v>
      </c>
      <c r="T81" s="163"/>
      <c r="U81" s="158"/>
      <c r="V81" s="158"/>
    </row>
    <row r="82" spans="1:22" s="161" customFormat="1" ht="15.6" customHeight="1">
      <c r="A82" s="28" t="s">
        <v>224</v>
      </c>
      <c r="B82" s="420"/>
      <c r="C82" s="421"/>
      <c r="D82" s="421"/>
      <c r="E82" s="421"/>
      <c r="F82" s="420"/>
      <c r="G82" s="422"/>
      <c r="H82" s="420"/>
      <c r="I82" s="422"/>
      <c r="J82" s="422"/>
      <c r="K82" s="422"/>
      <c r="L82" s="422"/>
      <c r="M82" s="422"/>
      <c r="N82" s="423">
        <f t="shared" si="23"/>
        <v>0</v>
      </c>
      <c r="O82" s="286">
        <f t="shared" si="18"/>
        <v>0</v>
      </c>
      <c r="P82" s="163" t="s">
        <v>225</v>
      </c>
      <c r="Q82" s="163"/>
      <c r="R82" s="163"/>
      <c r="S82" s="289">
        <f t="shared" si="19"/>
        <v>0</v>
      </c>
      <c r="T82" s="163"/>
      <c r="U82" s="158"/>
      <c r="V82" s="158"/>
    </row>
    <row r="83" spans="1:22" s="177" customFormat="1" ht="15.6" customHeight="1">
      <c r="A83" s="28" t="s">
        <v>226</v>
      </c>
      <c r="B83" s="420"/>
      <c r="C83" s="421"/>
      <c r="D83" s="421"/>
      <c r="E83" s="421"/>
      <c r="F83" s="420"/>
      <c r="G83" s="422"/>
      <c r="H83" s="420"/>
      <c r="I83" s="422"/>
      <c r="J83" s="422"/>
      <c r="K83" s="422"/>
      <c r="L83" s="422"/>
      <c r="M83" s="422"/>
      <c r="N83" s="423">
        <f t="shared" si="23"/>
        <v>0</v>
      </c>
      <c r="O83" s="286">
        <f t="shared" si="18"/>
        <v>0</v>
      </c>
      <c r="P83" s="163" t="s">
        <v>227</v>
      </c>
      <c r="Q83" s="163"/>
      <c r="R83" s="163"/>
      <c r="S83" s="289">
        <f t="shared" si="19"/>
        <v>0</v>
      </c>
      <c r="T83" s="163"/>
      <c r="U83" s="158"/>
      <c r="V83" s="158"/>
    </row>
    <row r="84" spans="1:22" s="161" customFormat="1" ht="15.6" customHeight="1">
      <c r="A84" s="28" t="s">
        <v>228</v>
      </c>
      <c r="B84" s="420"/>
      <c r="C84" s="421"/>
      <c r="D84" s="421"/>
      <c r="E84" s="421"/>
      <c r="F84" s="420"/>
      <c r="G84" s="422"/>
      <c r="H84" s="420"/>
      <c r="I84" s="422"/>
      <c r="J84" s="422"/>
      <c r="K84" s="422"/>
      <c r="L84" s="422"/>
      <c r="M84" s="422"/>
      <c r="N84" s="423">
        <f t="shared" si="23"/>
        <v>0</v>
      </c>
      <c r="O84" s="286">
        <f t="shared" si="18"/>
        <v>0</v>
      </c>
      <c r="P84" s="163" t="s">
        <v>229</v>
      </c>
      <c r="Q84" s="163"/>
      <c r="R84" s="163"/>
      <c r="S84" s="289">
        <f t="shared" si="19"/>
        <v>0</v>
      </c>
      <c r="T84" s="163"/>
      <c r="U84" s="158"/>
      <c r="V84" s="158"/>
    </row>
    <row r="85" spans="1:22" s="177" customFormat="1" ht="15.6" customHeight="1">
      <c r="A85" s="28" t="s">
        <v>230</v>
      </c>
      <c r="B85" s="420"/>
      <c r="C85" s="421"/>
      <c r="D85" s="421"/>
      <c r="E85" s="424"/>
      <c r="F85" s="420"/>
      <c r="G85" s="422"/>
      <c r="H85" s="420"/>
      <c r="I85" s="422"/>
      <c r="J85" s="422"/>
      <c r="K85" s="422"/>
      <c r="L85" s="422"/>
      <c r="M85" s="422"/>
      <c r="N85" s="423">
        <f t="shared" si="23"/>
        <v>0</v>
      </c>
      <c r="O85" s="286">
        <f t="shared" si="18"/>
        <v>0</v>
      </c>
      <c r="P85" s="163" t="s">
        <v>231</v>
      </c>
      <c r="Q85" s="163"/>
      <c r="R85" s="163"/>
      <c r="S85" s="289">
        <f t="shared" si="19"/>
        <v>0</v>
      </c>
      <c r="T85" s="163"/>
      <c r="U85" s="158"/>
      <c r="V85" s="158"/>
    </row>
    <row r="86" spans="1:22" s="161" customFormat="1" ht="15.6" customHeight="1">
      <c r="A86" s="28" t="s">
        <v>232</v>
      </c>
      <c r="B86" s="420"/>
      <c r="C86" s="421"/>
      <c r="D86" s="421"/>
      <c r="E86" s="421"/>
      <c r="F86" s="420"/>
      <c r="G86" s="422"/>
      <c r="H86" s="420"/>
      <c r="I86" s="422"/>
      <c r="J86" s="422"/>
      <c r="K86" s="422"/>
      <c r="L86" s="422"/>
      <c r="M86" s="422"/>
      <c r="N86" s="423">
        <f t="shared" si="23"/>
        <v>0</v>
      </c>
      <c r="O86" s="286">
        <f t="shared" si="18"/>
        <v>0</v>
      </c>
      <c r="P86" s="163" t="s">
        <v>233</v>
      </c>
      <c r="Q86" s="163"/>
      <c r="R86" s="163"/>
      <c r="S86" s="289">
        <f t="shared" si="19"/>
        <v>0</v>
      </c>
      <c r="T86" s="163"/>
      <c r="U86" s="158"/>
      <c r="V86" s="158"/>
    </row>
    <row r="87" spans="1:22" s="161" customFormat="1" ht="15.6" customHeight="1">
      <c r="A87" s="28" t="s">
        <v>234</v>
      </c>
      <c r="B87" s="420"/>
      <c r="C87" s="421"/>
      <c r="D87" s="421"/>
      <c r="E87" s="421"/>
      <c r="F87" s="420"/>
      <c r="G87" s="422"/>
      <c r="H87" s="420"/>
      <c r="I87" s="422"/>
      <c r="J87" s="422"/>
      <c r="K87" s="422"/>
      <c r="L87" s="422"/>
      <c r="M87" s="422"/>
      <c r="N87" s="423">
        <f t="shared" si="23"/>
        <v>0</v>
      </c>
      <c r="O87" s="286">
        <f t="shared" si="18"/>
        <v>0</v>
      </c>
      <c r="P87" s="163" t="s">
        <v>235</v>
      </c>
      <c r="Q87" s="163"/>
      <c r="R87" s="163"/>
      <c r="S87" s="289">
        <f t="shared" si="19"/>
        <v>0</v>
      </c>
      <c r="T87" s="163"/>
      <c r="U87" s="158"/>
      <c r="V87" s="158"/>
    </row>
    <row r="88" spans="1:22" s="177" customFormat="1" ht="15.6" customHeight="1">
      <c r="A88" s="28" t="s">
        <v>236</v>
      </c>
      <c r="B88" s="420"/>
      <c r="C88" s="421"/>
      <c r="D88" s="421"/>
      <c r="E88" s="421"/>
      <c r="F88" s="420"/>
      <c r="G88" s="422"/>
      <c r="H88" s="420"/>
      <c r="I88" s="422"/>
      <c r="J88" s="422"/>
      <c r="K88" s="422"/>
      <c r="L88" s="422"/>
      <c r="M88" s="422"/>
      <c r="N88" s="423">
        <f t="shared" si="23"/>
        <v>0</v>
      </c>
      <c r="O88" s="286">
        <f t="shared" si="18"/>
        <v>0</v>
      </c>
      <c r="P88" s="163" t="s">
        <v>237</v>
      </c>
      <c r="Q88" s="163"/>
      <c r="R88" s="163"/>
      <c r="S88" s="289">
        <f t="shared" si="19"/>
        <v>0</v>
      </c>
      <c r="T88" s="163"/>
      <c r="U88" s="158"/>
      <c r="V88" s="158"/>
    </row>
    <row r="89" spans="1:22" s="161" customFormat="1" ht="15.6" customHeight="1">
      <c r="A89" s="28" t="s">
        <v>238</v>
      </c>
      <c r="B89" s="420"/>
      <c r="C89" s="421"/>
      <c r="D89" s="421"/>
      <c r="E89" s="421"/>
      <c r="F89" s="420"/>
      <c r="G89" s="422"/>
      <c r="H89" s="420"/>
      <c r="I89" s="422"/>
      <c r="J89" s="422"/>
      <c r="K89" s="422"/>
      <c r="L89" s="422"/>
      <c r="M89" s="422"/>
      <c r="N89" s="423">
        <f t="shared" si="23"/>
        <v>0</v>
      </c>
      <c r="O89" s="286">
        <f t="shared" si="18"/>
        <v>0</v>
      </c>
      <c r="P89" s="163" t="s">
        <v>239</v>
      </c>
      <c r="Q89" s="163"/>
      <c r="R89" s="163"/>
      <c r="S89" s="289">
        <f t="shared" si="19"/>
        <v>0</v>
      </c>
      <c r="T89" s="163"/>
      <c r="U89" s="158"/>
      <c r="V89" s="158"/>
    </row>
    <row r="90" spans="1:22" s="161" customFormat="1" ht="15.6" customHeight="1">
      <c r="A90" s="28" t="s">
        <v>240</v>
      </c>
      <c r="B90" s="420"/>
      <c r="C90" s="421"/>
      <c r="D90" s="421"/>
      <c r="E90" s="421"/>
      <c r="F90" s="420"/>
      <c r="G90" s="422"/>
      <c r="H90" s="420"/>
      <c r="I90" s="422"/>
      <c r="J90" s="422"/>
      <c r="K90" s="422"/>
      <c r="L90" s="422"/>
      <c r="M90" s="422"/>
      <c r="N90" s="423">
        <f t="shared" si="23"/>
        <v>0</v>
      </c>
      <c r="O90" s="286">
        <f t="shared" si="18"/>
        <v>0</v>
      </c>
      <c r="P90" s="163" t="s">
        <v>241</v>
      </c>
      <c r="Q90" s="163"/>
      <c r="R90" s="163"/>
      <c r="S90" s="289">
        <f t="shared" si="19"/>
        <v>0</v>
      </c>
      <c r="T90" s="163"/>
      <c r="U90" s="158"/>
      <c r="V90" s="158"/>
    </row>
    <row r="91" spans="1:22" s="161" customFormat="1" ht="15.6" customHeight="1">
      <c r="A91" s="28" t="s">
        <v>242</v>
      </c>
      <c r="B91" s="420"/>
      <c r="C91" s="421"/>
      <c r="D91" s="421"/>
      <c r="E91" s="421"/>
      <c r="F91" s="420"/>
      <c r="G91" s="422"/>
      <c r="H91" s="420"/>
      <c r="I91" s="422"/>
      <c r="J91" s="422"/>
      <c r="K91" s="422"/>
      <c r="L91" s="422"/>
      <c r="M91" s="422"/>
      <c r="N91" s="423">
        <f t="shared" si="23"/>
        <v>0</v>
      </c>
      <c r="O91" s="286">
        <f t="shared" si="18"/>
        <v>0</v>
      </c>
      <c r="P91" s="163" t="s">
        <v>243</v>
      </c>
      <c r="Q91" s="163"/>
      <c r="R91" s="163"/>
      <c r="S91" s="289">
        <f t="shared" si="19"/>
        <v>0</v>
      </c>
      <c r="T91" s="163"/>
      <c r="U91" s="158"/>
      <c r="V91" s="158"/>
    </row>
    <row r="92" spans="1:22" s="161" customFormat="1" ht="15.6" customHeight="1">
      <c r="A92" s="28" t="s">
        <v>244</v>
      </c>
      <c r="B92" s="420"/>
      <c r="C92" s="421"/>
      <c r="D92" s="421"/>
      <c r="E92" s="421"/>
      <c r="F92" s="420"/>
      <c r="G92" s="422"/>
      <c r="H92" s="420"/>
      <c r="I92" s="422"/>
      <c r="J92" s="422"/>
      <c r="K92" s="422"/>
      <c r="L92" s="422"/>
      <c r="M92" s="422"/>
      <c r="N92" s="423">
        <f t="shared" si="23"/>
        <v>0</v>
      </c>
      <c r="O92" s="286">
        <f t="shared" ref="O92:O123" si="24">+SUM($B92:$M92)-N92</f>
        <v>0</v>
      </c>
      <c r="P92" s="163" t="s">
        <v>245</v>
      </c>
      <c r="Q92" s="163"/>
      <c r="R92" s="163"/>
      <c r="S92" s="289">
        <f t="shared" ref="S92:S123" si="25">H92/1000</f>
        <v>0</v>
      </c>
      <c r="T92" s="163"/>
      <c r="U92" s="158"/>
      <c r="V92" s="158"/>
    </row>
    <row r="93" spans="1:22" s="161" customFormat="1" ht="15.6" customHeight="1">
      <c r="A93" s="28" t="s">
        <v>246</v>
      </c>
      <c r="B93" s="420"/>
      <c r="C93" s="421"/>
      <c r="D93" s="421"/>
      <c r="E93" s="421"/>
      <c r="F93" s="420"/>
      <c r="G93" s="422"/>
      <c r="H93" s="420"/>
      <c r="I93" s="422"/>
      <c r="J93" s="422"/>
      <c r="K93" s="422"/>
      <c r="L93" s="422"/>
      <c r="M93" s="422"/>
      <c r="N93" s="423">
        <f t="shared" si="23"/>
        <v>0</v>
      </c>
      <c r="O93" s="286">
        <f t="shared" si="24"/>
        <v>0</v>
      </c>
      <c r="P93" s="163" t="s">
        <v>247</v>
      </c>
      <c r="Q93" s="163"/>
      <c r="R93" s="163"/>
      <c r="S93" s="289">
        <f t="shared" si="25"/>
        <v>0</v>
      </c>
      <c r="T93" s="163"/>
      <c r="U93" s="158"/>
      <c r="V93" s="158"/>
    </row>
    <row r="94" spans="1:22" s="161" customFormat="1" ht="15.6" customHeight="1">
      <c r="A94" s="28" t="s">
        <v>248</v>
      </c>
      <c r="B94" s="420"/>
      <c r="C94" s="421"/>
      <c r="D94" s="421"/>
      <c r="E94" s="421"/>
      <c r="F94" s="420"/>
      <c r="G94" s="422"/>
      <c r="H94" s="420"/>
      <c r="I94" s="422"/>
      <c r="J94" s="422"/>
      <c r="K94" s="422"/>
      <c r="L94" s="422"/>
      <c r="M94" s="422"/>
      <c r="N94" s="423">
        <f t="shared" si="23"/>
        <v>0</v>
      </c>
      <c r="O94" s="286">
        <f t="shared" si="24"/>
        <v>0</v>
      </c>
      <c r="P94" s="163" t="s">
        <v>249</v>
      </c>
      <c r="Q94" s="163"/>
      <c r="R94" s="163"/>
      <c r="S94" s="289">
        <f t="shared" si="25"/>
        <v>0</v>
      </c>
      <c r="T94" s="163"/>
      <c r="U94" s="158"/>
      <c r="V94" s="158"/>
    </row>
    <row r="95" spans="1:22" s="161" customFormat="1" ht="15.6" customHeight="1">
      <c r="A95" s="28" t="s">
        <v>250</v>
      </c>
      <c r="B95" s="420"/>
      <c r="C95" s="421"/>
      <c r="D95" s="421"/>
      <c r="E95" s="421"/>
      <c r="F95" s="420"/>
      <c r="G95" s="422"/>
      <c r="H95" s="420"/>
      <c r="I95" s="422"/>
      <c r="J95" s="422"/>
      <c r="K95" s="422"/>
      <c r="L95" s="422"/>
      <c r="M95" s="422"/>
      <c r="N95" s="423">
        <f t="shared" si="23"/>
        <v>0</v>
      </c>
      <c r="O95" s="286">
        <f t="shared" si="24"/>
        <v>0</v>
      </c>
      <c r="P95" s="163" t="s">
        <v>251</v>
      </c>
      <c r="Q95" s="163"/>
      <c r="R95" s="163"/>
      <c r="S95" s="289">
        <f t="shared" si="25"/>
        <v>0</v>
      </c>
      <c r="T95" s="163"/>
      <c r="U95" s="158"/>
      <c r="V95" s="158"/>
    </row>
    <row r="96" spans="1:22" s="161" customFormat="1" ht="15.6" customHeight="1">
      <c r="A96" s="28" t="s">
        <v>252</v>
      </c>
      <c r="B96" s="425"/>
      <c r="C96" s="421"/>
      <c r="D96" s="421"/>
      <c r="E96" s="421"/>
      <c r="F96" s="420"/>
      <c r="G96" s="422"/>
      <c r="H96" s="420"/>
      <c r="I96" s="422"/>
      <c r="J96" s="422"/>
      <c r="K96" s="422"/>
      <c r="L96" s="422"/>
      <c r="M96" s="422"/>
      <c r="N96" s="423">
        <f t="shared" si="23"/>
        <v>0</v>
      </c>
      <c r="O96" s="286">
        <f t="shared" si="24"/>
        <v>0</v>
      </c>
      <c r="P96" s="163" t="s">
        <v>253</v>
      </c>
      <c r="Q96" s="163"/>
      <c r="R96" s="163"/>
      <c r="S96" s="289">
        <f t="shared" si="25"/>
        <v>0</v>
      </c>
      <c r="T96" s="163"/>
      <c r="U96" s="158"/>
      <c r="V96" s="158"/>
    </row>
    <row r="97" spans="1:22" s="161" customFormat="1" ht="15.6" customHeight="1">
      <c r="A97" s="28" t="s">
        <v>254</v>
      </c>
      <c r="B97" s="420"/>
      <c r="C97" s="421"/>
      <c r="D97" s="421"/>
      <c r="E97" s="421"/>
      <c r="F97" s="420"/>
      <c r="G97" s="422"/>
      <c r="H97" s="420"/>
      <c r="I97" s="422"/>
      <c r="J97" s="422"/>
      <c r="K97" s="422"/>
      <c r="L97" s="422"/>
      <c r="M97" s="422"/>
      <c r="N97" s="423">
        <f t="shared" si="23"/>
        <v>0</v>
      </c>
      <c r="O97" s="286">
        <f t="shared" si="24"/>
        <v>0</v>
      </c>
      <c r="P97" s="163" t="s">
        <v>255</v>
      </c>
      <c r="Q97" s="163"/>
      <c r="R97" s="163"/>
      <c r="S97" s="289">
        <f t="shared" si="25"/>
        <v>0</v>
      </c>
      <c r="T97" s="163"/>
      <c r="U97" s="158"/>
      <c r="V97" s="158"/>
    </row>
    <row r="98" spans="1:22" s="161" customFormat="1" ht="15.6" customHeight="1">
      <c r="A98" s="41" t="s">
        <v>256</v>
      </c>
      <c r="B98" s="420"/>
      <c r="C98" s="421"/>
      <c r="D98" s="421"/>
      <c r="E98" s="421"/>
      <c r="F98" s="420"/>
      <c r="G98" s="422"/>
      <c r="H98" s="420"/>
      <c r="I98" s="422"/>
      <c r="J98" s="422"/>
      <c r="K98" s="422"/>
      <c r="L98" s="422"/>
      <c r="M98" s="422"/>
      <c r="N98" s="423">
        <f t="shared" si="23"/>
        <v>0</v>
      </c>
      <c r="O98" s="286">
        <f t="shared" si="24"/>
        <v>0</v>
      </c>
      <c r="P98" s="163" t="s">
        <v>257</v>
      </c>
      <c r="Q98" s="163"/>
      <c r="R98" s="163"/>
      <c r="S98" s="289">
        <f t="shared" si="25"/>
        <v>0</v>
      </c>
      <c r="T98" s="163"/>
      <c r="U98" s="158"/>
      <c r="V98" s="158"/>
    </row>
    <row r="99" spans="1:22" s="161" customFormat="1" ht="15.6" customHeight="1">
      <c r="A99" s="28" t="s">
        <v>258</v>
      </c>
      <c r="B99" s="420"/>
      <c r="C99" s="421"/>
      <c r="D99" s="421"/>
      <c r="E99" s="421"/>
      <c r="F99" s="420"/>
      <c r="G99" s="422"/>
      <c r="H99" s="420"/>
      <c r="I99" s="422"/>
      <c r="J99" s="422"/>
      <c r="K99" s="422"/>
      <c r="L99" s="422"/>
      <c r="M99" s="422"/>
      <c r="N99" s="423">
        <f t="shared" si="23"/>
        <v>0</v>
      </c>
      <c r="O99" s="286">
        <f t="shared" si="24"/>
        <v>0</v>
      </c>
      <c r="P99" s="163" t="s">
        <v>259</v>
      </c>
      <c r="Q99" s="163"/>
      <c r="R99" s="163"/>
      <c r="S99" s="289">
        <f t="shared" si="25"/>
        <v>0</v>
      </c>
      <c r="T99" s="163"/>
      <c r="U99" s="158"/>
      <c r="V99" s="158"/>
    </row>
    <row r="100" spans="1:22" s="161" customFormat="1" ht="15.6" customHeight="1">
      <c r="A100" s="28" t="s">
        <v>260</v>
      </c>
      <c r="B100" s="420"/>
      <c r="C100" s="421"/>
      <c r="D100" s="421"/>
      <c r="E100" s="421"/>
      <c r="F100" s="420"/>
      <c r="G100" s="422"/>
      <c r="H100" s="420"/>
      <c r="I100" s="422"/>
      <c r="J100" s="422"/>
      <c r="K100" s="422"/>
      <c r="L100" s="422"/>
      <c r="M100" s="422"/>
      <c r="N100" s="423">
        <f t="shared" si="23"/>
        <v>0</v>
      </c>
      <c r="O100" s="286">
        <f t="shared" si="24"/>
        <v>0</v>
      </c>
      <c r="P100" s="163" t="s">
        <v>261</v>
      </c>
      <c r="Q100" s="163"/>
      <c r="R100" s="163"/>
      <c r="S100" s="289">
        <f t="shared" si="25"/>
        <v>0</v>
      </c>
      <c r="T100" s="163"/>
      <c r="U100" s="158"/>
      <c r="V100" s="158"/>
    </row>
    <row r="101" spans="1:22" s="177" customFormat="1" ht="15.6" customHeight="1">
      <c r="A101" s="28" t="s">
        <v>262</v>
      </c>
      <c r="B101" s="420"/>
      <c r="C101" s="421"/>
      <c r="D101" s="421"/>
      <c r="E101" s="421"/>
      <c r="F101" s="420"/>
      <c r="G101" s="422"/>
      <c r="H101" s="420"/>
      <c r="I101" s="422"/>
      <c r="J101" s="422"/>
      <c r="K101" s="422"/>
      <c r="L101" s="422"/>
      <c r="M101" s="422"/>
      <c r="N101" s="423">
        <f t="shared" si="23"/>
        <v>0</v>
      </c>
      <c r="O101" s="286">
        <f t="shared" si="24"/>
        <v>0</v>
      </c>
      <c r="P101" s="163" t="s">
        <v>263</v>
      </c>
      <c r="Q101" s="163"/>
      <c r="R101" s="163"/>
      <c r="S101" s="289">
        <f t="shared" si="25"/>
        <v>0</v>
      </c>
      <c r="T101" s="163"/>
      <c r="U101" s="158"/>
      <c r="V101" s="158"/>
    </row>
    <row r="102" spans="1:22" s="161" customFormat="1" ht="15.6" customHeight="1">
      <c r="A102" s="28" t="s">
        <v>264</v>
      </c>
      <c r="B102" s="420"/>
      <c r="C102" s="421"/>
      <c r="D102" s="421"/>
      <c r="E102" s="421"/>
      <c r="F102" s="420"/>
      <c r="G102" s="422"/>
      <c r="H102" s="420"/>
      <c r="I102" s="422"/>
      <c r="J102" s="422"/>
      <c r="K102" s="422"/>
      <c r="L102" s="422"/>
      <c r="M102" s="422"/>
      <c r="N102" s="423">
        <f t="shared" si="23"/>
        <v>0</v>
      </c>
      <c r="O102" s="286">
        <f t="shared" si="24"/>
        <v>0</v>
      </c>
      <c r="P102" s="165" t="s">
        <v>265</v>
      </c>
      <c r="Q102" s="163"/>
      <c r="R102" s="163"/>
      <c r="S102" s="289">
        <f t="shared" si="25"/>
        <v>0</v>
      </c>
      <c r="T102" s="163"/>
      <c r="U102" s="158"/>
      <c r="V102" s="158"/>
    </row>
    <row r="103" spans="1:22" s="161" customFormat="1" ht="15.6" customHeight="1">
      <c r="A103" s="28" t="s">
        <v>266</v>
      </c>
      <c r="B103" s="420"/>
      <c r="C103" s="421"/>
      <c r="D103" s="421"/>
      <c r="E103" s="421"/>
      <c r="F103" s="420"/>
      <c r="G103" s="422"/>
      <c r="H103" s="420"/>
      <c r="I103" s="422"/>
      <c r="J103" s="422"/>
      <c r="K103" s="422"/>
      <c r="L103" s="422"/>
      <c r="M103" s="422"/>
      <c r="N103" s="423">
        <f t="shared" si="23"/>
        <v>0</v>
      </c>
      <c r="O103" s="286">
        <f t="shared" si="24"/>
        <v>0</v>
      </c>
      <c r="P103" s="163" t="s">
        <v>267</v>
      </c>
      <c r="Q103" s="163"/>
      <c r="R103" s="163"/>
      <c r="S103" s="289">
        <f t="shared" si="25"/>
        <v>0</v>
      </c>
      <c r="T103" s="163"/>
      <c r="U103" s="158"/>
      <c r="V103" s="158"/>
    </row>
    <row r="104" spans="1:22" s="161" customFormat="1" ht="15.6" customHeight="1">
      <c r="A104" s="28" t="s">
        <v>268</v>
      </c>
      <c r="B104" s="420"/>
      <c r="C104" s="421"/>
      <c r="D104" s="421"/>
      <c r="E104" s="421"/>
      <c r="F104" s="420"/>
      <c r="G104" s="422"/>
      <c r="H104" s="420"/>
      <c r="I104" s="422"/>
      <c r="J104" s="422"/>
      <c r="K104" s="422"/>
      <c r="L104" s="422"/>
      <c r="M104" s="422"/>
      <c r="N104" s="423">
        <f t="shared" si="23"/>
        <v>0</v>
      </c>
      <c r="O104" s="286">
        <f t="shared" si="24"/>
        <v>0</v>
      </c>
      <c r="P104" s="163" t="s">
        <v>269</v>
      </c>
      <c r="Q104" s="163"/>
      <c r="R104" s="163"/>
      <c r="S104" s="289">
        <f t="shared" si="25"/>
        <v>0</v>
      </c>
      <c r="T104" s="163"/>
      <c r="U104" s="158"/>
      <c r="V104" s="158"/>
    </row>
    <row r="105" spans="1:22" s="161" customFormat="1" ht="15.6" customHeight="1">
      <c r="A105" s="28" t="s">
        <v>270</v>
      </c>
      <c r="B105" s="420"/>
      <c r="C105" s="421"/>
      <c r="D105" s="421"/>
      <c r="E105" s="421"/>
      <c r="F105" s="420"/>
      <c r="G105" s="422"/>
      <c r="H105" s="420"/>
      <c r="I105" s="422"/>
      <c r="J105" s="422"/>
      <c r="K105" s="422"/>
      <c r="L105" s="422"/>
      <c r="M105" s="422"/>
      <c r="N105" s="423">
        <f t="shared" si="23"/>
        <v>0</v>
      </c>
      <c r="O105" s="286">
        <f t="shared" si="24"/>
        <v>0</v>
      </c>
      <c r="P105" s="163" t="s">
        <v>271</v>
      </c>
      <c r="Q105" s="163"/>
      <c r="R105" s="163"/>
      <c r="S105" s="289">
        <f t="shared" si="25"/>
        <v>0</v>
      </c>
      <c r="T105" s="163"/>
      <c r="U105" s="158"/>
      <c r="V105" s="158"/>
    </row>
    <row r="106" spans="1:22" s="161" customFormat="1" ht="15.6" customHeight="1">
      <c r="A106" s="28" t="s">
        <v>272</v>
      </c>
      <c r="B106" s="420"/>
      <c r="C106" s="421"/>
      <c r="D106" s="421"/>
      <c r="E106" s="421"/>
      <c r="F106" s="420"/>
      <c r="G106" s="422"/>
      <c r="H106" s="420"/>
      <c r="I106" s="422"/>
      <c r="J106" s="422"/>
      <c r="K106" s="422"/>
      <c r="L106" s="422"/>
      <c r="M106" s="422"/>
      <c r="N106" s="423">
        <f t="shared" si="23"/>
        <v>0</v>
      </c>
      <c r="O106" s="286">
        <f t="shared" si="24"/>
        <v>0</v>
      </c>
      <c r="P106" s="163" t="s">
        <v>273</v>
      </c>
      <c r="Q106" s="163"/>
      <c r="R106" s="163"/>
      <c r="S106" s="289">
        <f t="shared" si="25"/>
        <v>0</v>
      </c>
      <c r="T106" s="163"/>
      <c r="U106" s="158"/>
      <c r="V106" s="158"/>
    </row>
    <row r="107" spans="1:22" s="161" customFormat="1" ht="15.6" customHeight="1">
      <c r="A107" s="28" t="s">
        <v>274</v>
      </c>
      <c r="B107" s="420"/>
      <c r="C107" s="421"/>
      <c r="D107" s="421"/>
      <c r="E107" s="421"/>
      <c r="F107" s="420"/>
      <c r="G107" s="422"/>
      <c r="H107" s="420"/>
      <c r="I107" s="422"/>
      <c r="J107" s="422"/>
      <c r="K107" s="422"/>
      <c r="L107" s="422"/>
      <c r="M107" s="422"/>
      <c r="N107" s="423">
        <f t="shared" si="23"/>
        <v>0</v>
      </c>
      <c r="O107" s="286">
        <f t="shared" si="24"/>
        <v>0</v>
      </c>
      <c r="P107" s="163" t="s">
        <v>275</v>
      </c>
      <c r="Q107" s="163"/>
      <c r="R107" s="163"/>
      <c r="S107" s="289">
        <f t="shared" si="25"/>
        <v>0</v>
      </c>
      <c r="T107" s="163"/>
      <c r="U107" s="158"/>
      <c r="V107" s="158"/>
    </row>
    <row r="108" spans="1:22" s="161" customFormat="1" ht="15.6" customHeight="1">
      <c r="A108" s="28" t="s">
        <v>276</v>
      </c>
      <c r="B108" s="420"/>
      <c r="C108" s="421"/>
      <c r="D108" s="421"/>
      <c r="E108" s="421"/>
      <c r="F108" s="420"/>
      <c r="G108" s="422"/>
      <c r="H108" s="420"/>
      <c r="I108" s="422"/>
      <c r="J108" s="422"/>
      <c r="K108" s="422"/>
      <c r="L108" s="422"/>
      <c r="M108" s="422"/>
      <c r="N108" s="423">
        <f t="shared" si="23"/>
        <v>0</v>
      </c>
      <c r="O108" s="286">
        <f t="shared" si="24"/>
        <v>0</v>
      </c>
      <c r="P108" s="163" t="s">
        <v>277</v>
      </c>
      <c r="Q108" s="163"/>
      <c r="R108" s="163"/>
      <c r="S108" s="289">
        <f t="shared" si="25"/>
        <v>0</v>
      </c>
      <c r="T108" s="163"/>
      <c r="U108" s="158"/>
      <c r="V108" s="158"/>
    </row>
    <row r="109" spans="1:22" s="167" customFormat="1" ht="15.6" customHeight="1">
      <c r="A109" s="28" t="s">
        <v>278</v>
      </c>
      <c r="B109" s="420"/>
      <c r="C109" s="421"/>
      <c r="D109" s="421"/>
      <c r="E109" s="421"/>
      <c r="F109" s="420"/>
      <c r="G109" s="422"/>
      <c r="H109" s="420"/>
      <c r="I109" s="422"/>
      <c r="J109" s="422"/>
      <c r="K109" s="422"/>
      <c r="L109" s="422"/>
      <c r="M109" s="422"/>
      <c r="N109" s="423">
        <f t="shared" si="23"/>
        <v>0</v>
      </c>
      <c r="O109" s="286">
        <f t="shared" si="24"/>
        <v>0</v>
      </c>
      <c r="P109" s="166" t="s">
        <v>279</v>
      </c>
      <c r="Q109" s="163"/>
      <c r="R109" s="163"/>
      <c r="S109" s="289">
        <f t="shared" si="25"/>
        <v>0</v>
      </c>
      <c r="T109" s="163"/>
      <c r="U109" s="158"/>
      <c r="V109" s="158"/>
    </row>
    <row r="110" spans="1:22" s="168" customFormat="1" ht="15.6" customHeight="1">
      <c r="A110" s="28" t="s">
        <v>280</v>
      </c>
      <c r="B110" s="420"/>
      <c r="C110" s="421"/>
      <c r="D110" s="421"/>
      <c r="E110" s="421"/>
      <c r="F110" s="420"/>
      <c r="G110" s="422"/>
      <c r="H110" s="420"/>
      <c r="I110" s="422"/>
      <c r="J110" s="422"/>
      <c r="K110" s="422"/>
      <c r="L110" s="422"/>
      <c r="M110" s="422"/>
      <c r="N110" s="423">
        <f t="shared" si="23"/>
        <v>0</v>
      </c>
      <c r="O110" s="286">
        <f t="shared" si="24"/>
        <v>0</v>
      </c>
      <c r="P110" s="163" t="s">
        <v>281</v>
      </c>
      <c r="Q110" s="163"/>
      <c r="R110" s="163"/>
      <c r="S110" s="289">
        <f t="shared" si="25"/>
        <v>0</v>
      </c>
      <c r="T110" s="163"/>
      <c r="U110" s="158"/>
      <c r="V110" s="158"/>
    </row>
    <row r="111" spans="1:22" s="168" customFormat="1" ht="15.6" customHeight="1">
      <c r="A111" s="28" t="s">
        <v>282</v>
      </c>
      <c r="B111" s="420"/>
      <c r="C111" s="421"/>
      <c r="D111" s="421"/>
      <c r="E111" s="421"/>
      <c r="F111" s="420"/>
      <c r="G111" s="422"/>
      <c r="H111" s="420"/>
      <c r="I111" s="422"/>
      <c r="J111" s="422"/>
      <c r="K111" s="422"/>
      <c r="L111" s="422"/>
      <c r="M111" s="422"/>
      <c r="N111" s="423">
        <f t="shared" si="23"/>
        <v>0</v>
      </c>
      <c r="O111" s="286">
        <f t="shared" si="24"/>
        <v>0</v>
      </c>
      <c r="P111" s="163" t="s">
        <v>283</v>
      </c>
      <c r="Q111" s="163"/>
      <c r="R111" s="163"/>
      <c r="S111" s="289">
        <f t="shared" si="25"/>
        <v>0</v>
      </c>
      <c r="T111" s="163"/>
      <c r="U111" s="158"/>
      <c r="V111" s="158"/>
    </row>
    <row r="112" spans="1:22" s="168" customFormat="1" ht="15.6" customHeight="1">
      <c r="A112" s="28" t="s">
        <v>284</v>
      </c>
      <c r="B112" s="420"/>
      <c r="C112" s="421"/>
      <c r="D112" s="421"/>
      <c r="E112" s="421"/>
      <c r="F112" s="420"/>
      <c r="G112" s="422"/>
      <c r="H112" s="420"/>
      <c r="I112" s="422"/>
      <c r="J112" s="422"/>
      <c r="K112" s="422"/>
      <c r="L112" s="422"/>
      <c r="M112" s="422"/>
      <c r="N112" s="423">
        <f t="shared" si="23"/>
        <v>0</v>
      </c>
      <c r="O112" s="286">
        <f t="shared" si="24"/>
        <v>0</v>
      </c>
      <c r="P112" s="163" t="s">
        <v>285</v>
      </c>
      <c r="Q112" s="163"/>
      <c r="R112" s="163"/>
      <c r="S112" s="289">
        <f t="shared" si="25"/>
        <v>0</v>
      </c>
      <c r="T112" s="163"/>
      <c r="U112" s="158"/>
      <c r="V112" s="158"/>
    </row>
    <row r="113" spans="1:22" s="161" customFormat="1" ht="15.6" customHeight="1">
      <c r="A113" s="24" t="s">
        <v>286</v>
      </c>
      <c r="B113" s="379"/>
      <c r="C113" s="380"/>
      <c r="D113" s="380"/>
      <c r="E113" s="380"/>
      <c r="F113" s="379"/>
      <c r="G113" s="394"/>
      <c r="H113" s="379"/>
      <c r="I113" s="394"/>
      <c r="J113" s="394"/>
      <c r="K113" s="394"/>
      <c r="L113" s="394"/>
      <c r="M113" s="394"/>
      <c r="N113" s="399">
        <f t="shared" si="23"/>
        <v>0</v>
      </c>
      <c r="O113" s="281">
        <f t="shared" si="24"/>
        <v>0</v>
      </c>
      <c r="P113" s="161" t="s">
        <v>287</v>
      </c>
      <c r="S113" s="288">
        <f t="shared" si="25"/>
        <v>0</v>
      </c>
      <c r="U113" s="158"/>
      <c r="V113" s="158"/>
    </row>
    <row r="114" spans="1:22" s="161" customFormat="1" ht="15.6" customHeight="1">
      <c r="A114" s="24" t="s">
        <v>288</v>
      </c>
      <c r="B114" s="379"/>
      <c r="C114" s="380"/>
      <c r="D114" s="380"/>
      <c r="E114" s="380"/>
      <c r="F114" s="379"/>
      <c r="G114" s="394"/>
      <c r="H114" s="379"/>
      <c r="I114" s="394"/>
      <c r="J114" s="394"/>
      <c r="K114" s="394"/>
      <c r="L114" s="394"/>
      <c r="M114" s="394"/>
      <c r="N114" s="399">
        <f t="shared" si="23"/>
        <v>0</v>
      </c>
      <c r="O114" s="281">
        <f t="shared" si="24"/>
        <v>0</v>
      </c>
      <c r="P114" s="161" t="s">
        <v>289</v>
      </c>
      <c r="S114" s="288">
        <f t="shared" si="25"/>
        <v>0</v>
      </c>
      <c r="U114" s="158"/>
      <c r="V114" s="158"/>
    </row>
    <row r="115" spans="1:22" s="161" customFormat="1" ht="15.6" customHeight="1">
      <c r="A115" s="24" t="s">
        <v>290</v>
      </c>
      <c r="B115" s="379"/>
      <c r="C115" s="380"/>
      <c r="D115" s="380"/>
      <c r="E115" s="380"/>
      <c r="F115" s="379"/>
      <c r="G115" s="394"/>
      <c r="H115" s="379"/>
      <c r="I115" s="394"/>
      <c r="J115" s="394"/>
      <c r="K115" s="394"/>
      <c r="L115" s="394"/>
      <c r="M115" s="394"/>
      <c r="N115" s="399">
        <f t="shared" si="23"/>
        <v>0</v>
      </c>
      <c r="O115" s="281">
        <f t="shared" si="24"/>
        <v>0</v>
      </c>
      <c r="P115" s="161" t="s">
        <v>291</v>
      </c>
      <c r="S115" s="288">
        <f t="shared" si="25"/>
        <v>0</v>
      </c>
      <c r="U115" s="158"/>
      <c r="V115" s="158"/>
    </row>
    <row r="116" spans="1:22" s="161" customFormat="1" ht="15.6" customHeight="1">
      <c r="A116" s="24" t="s">
        <v>292</v>
      </c>
      <c r="B116" s="379"/>
      <c r="C116" s="380"/>
      <c r="D116" s="380"/>
      <c r="E116" s="380"/>
      <c r="F116" s="379"/>
      <c r="G116" s="394"/>
      <c r="H116" s="379"/>
      <c r="I116" s="394"/>
      <c r="J116" s="394"/>
      <c r="K116" s="394"/>
      <c r="L116" s="394"/>
      <c r="M116" s="394"/>
      <c r="N116" s="399">
        <f t="shared" si="23"/>
        <v>0</v>
      </c>
      <c r="O116" s="281">
        <f t="shared" si="24"/>
        <v>0</v>
      </c>
      <c r="P116" s="161" t="s">
        <v>293</v>
      </c>
      <c r="S116" s="288">
        <f t="shared" si="25"/>
        <v>0</v>
      </c>
      <c r="U116" s="158"/>
      <c r="V116" s="158"/>
    </row>
    <row r="117" spans="1:22" s="161" customFormat="1" ht="15.6" customHeight="1">
      <c r="A117" s="24" t="s">
        <v>294</v>
      </c>
      <c r="B117" s="379"/>
      <c r="C117" s="380"/>
      <c r="D117" s="380"/>
      <c r="E117" s="380"/>
      <c r="F117" s="379"/>
      <c r="G117" s="394"/>
      <c r="H117" s="379"/>
      <c r="I117" s="394"/>
      <c r="J117" s="394"/>
      <c r="K117" s="394"/>
      <c r="L117" s="394"/>
      <c r="M117" s="394"/>
      <c r="N117" s="399">
        <f t="shared" si="23"/>
        <v>0</v>
      </c>
      <c r="O117" s="281">
        <f t="shared" si="24"/>
        <v>0</v>
      </c>
      <c r="P117" s="161" t="s">
        <v>295</v>
      </c>
      <c r="S117" s="288">
        <f t="shared" si="25"/>
        <v>0</v>
      </c>
      <c r="U117" s="158"/>
      <c r="V117" s="158"/>
    </row>
    <row r="118" spans="1:22" s="161" customFormat="1" ht="15.6" customHeight="1">
      <c r="A118" s="24" t="s">
        <v>296</v>
      </c>
      <c r="B118" s="379"/>
      <c r="C118" s="426"/>
      <c r="D118" s="426"/>
      <c r="E118" s="380"/>
      <c r="F118" s="427"/>
      <c r="G118" s="427"/>
      <c r="H118" s="427"/>
      <c r="I118" s="427"/>
      <c r="J118" s="394"/>
      <c r="K118" s="427"/>
      <c r="L118" s="427"/>
      <c r="M118" s="427"/>
      <c r="N118" s="399">
        <f t="shared" si="23"/>
        <v>0</v>
      </c>
      <c r="O118" s="281">
        <f t="shared" si="24"/>
        <v>0</v>
      </c>
      <c r="P118" s="168" t="s">
        <v>297</v>
      </c>
      <c r="S118" s="288">
        <f t="shared" si="25"/>
        <v>0</v>
      </c>
      <c r="U118" s="158"/>
      <c r="V118" s="158"/>
    </row>
    <row r="119" spans="1:22" s="161" customFormat="1" ht="15.6" customHeight="1">
      <c r="A119" s="24" t="s">
        <v>298</v>
      </c>
      <c r="B119" s="379"/>
      <c r="C119" s="426"/>
      <c r="D119" s="426"/>
      <c r="E119" s="380"/>
      <c r="F119" s="428"/>
      <c r="G119" s="427"/>
      <c r="H119" s="427"/>
      <c r="I119" s="427"/>
      <c r="J119" s="427"/>
      <c r="K119" s="427"/>
      <c r="L119" s="427"/>
      <c r="M119" s="427"/>
      <c r="N119" s="399">
        <f t="shared" si="23"/>
        <v>0</v>
      </c>
      <c r="O119" s="281">
        <f t="shared" si="24"/>
        <v>0</v>
      </c>
      <c r="P119" s="161" t="s">
        <v>299</v>
      </c>
      <c r="S119" s="288">
        <f t="shared" si="25"/>
        <v>0</v>
      </c>
      <c r="U119" s="158"/>
      <c r="V119" s="158"/>
    </row>
    <row r="120" spans="1:22" s="161" customFormat="1" ht="15.6" customHeight="1">
      <c r="A120" s="24" t="s">
        <v>300</v>
      </c>
      <c r="B120" s="379"/>
      <c r="C120" s="413"/>
      <c r="D120" s="413"/>
      <c r="E120" s="380"/>
      <c r="F120" s="429"/>
      <c r="G120" s="379"/>
      <c r="H120" s="379"/>
      <c r="I120" s="379"/>
      <c r="J120" s="394"/>
      <c r="K120" s="379"/>
      <c r="L120" s="379"/>
      <c r="M120" s="379"/>
      <c r="N120" s="399">
        <f t="shared" si="23"/>
        <v>0</v>
      </c>
      <c r="O120" s="281">
        <f t="shared" si="24"/>
        <v>0</v>
      </c>
      <c r="P120" s="161" t="s">
        <v>301</v>
      </c>
      <c r="S120" s="288">
        <f t="shared" si="25"/>
        <v>0</v>
      </c>
      <c r="U120" s="158"/>
      <c r="V120" s="158"/>
    </row>
    <row r="121" spans="1:22" s="161" customFormat="1" ht="16.149999999999999" customHeight="1">
      <c r="A121" s="42" t="s">
        <v>302</v>
      </c>
      <c r="B121" s="377">
        <f t="shared" ref="B121:N121" si="26">SUM(B122:B146)</f>
        <v>0</v>
      </c>
      <c r="C121" s="377">
        <f t="shared" si="26"/>
        <v>0</v>
      </c>
      <c r="D121" s="377">
        <f t="shared" si="26"/>
        <v>0</v>
      </c>
      <c r="E121" s="377">
        <f t="shared" si="26"/>
        <v>0</v>
      </c>
      <c r="F121" s="377">
        <f t="shared" si="26"/>
        <v>0</v>
      </c>
      <c r="G121" s="377">
        <f t="shared" si="26"/>
        <v>0</v>
      </c>
      <c r="H121" s="377">
        <f t="shared" si="26"/>
        <v>0</v>
      </c>
      <c r="I121" s="377">
        <f t="shared" si="26"/>
        <v>0</v>
      </c>
      <c r="J121" s="377">
        <f t="shared" si="26"/>
        <v>0</v>
      </c>
      <c r="K121" s="377">
        <f t="shared" si="26"/>
        <v>0</v>
      </c>
      <c r="L121" s="377">
        <f t="shared" si="26"/>
        <v>0</v>
      </c>
      <c r="M121" s="377">
        <f t="shared" si="26"/>
        <v>0</v>
      </c>
      <c r="N121" s="378">
        <f t="shared" si="26"/>
        <v>0</v>
      </c>
      <c r="O121" s="281">
        <f t="shared" si="24"/>
        <v>0</v>
      </c>
      <c r="P121" s="157" t="s">
        <v>303</v>
      </c>
      <c r="Q121" s="157"/>
      <c r="R121" s="157"/>
      <c r="S121" s="282">
        <f t="shared" si="25"/>
        <v>0</v>
      </c>
      <c r="T121" s="157"/>
      <c r="U121" s="158"/>
      <c r="V121" s="158"/>
    </row>
    <row r="122" spans="1:22" s="161" customFormat="1" ht="15.6" customHeight="1">
      <c r="A122" s="24" t="s">
        <v>304</v>
      </c>
      <c r="B122" s="379"/>
      <c r="C122" s="380"/>
      <c r="D122" s="380"/>
      <c r="E122" s="380"/>
      <c r="F122" s="394"/>
      <c r="G122" s="394"/>
      <c r="H122" s="394"/>
      <c r="I122" s="394"/>
      <c r="J122" s="394"/>
      <c r="K122" s="394"/>
      <c r="L122" s="394"/>
      <c r="M122" s="394"/>
      <c r="N122" s="399">
        <f t="shared" ref="N122:N146" si="27">SUM(B122:M122)</f>
        <v>0</v>
      </c>
      <c r="O122" s="281">
        <f t="shared" si="24"/>
        <v>0</v>
      </c>
      <c r="P122" s="161" t="s">
        <v>305</v>
      </c>
      <c r="S122" s="283">
        <f t="shared" si="25"/>
        <v>0</v>
      </c>
      <c r="U122" s="158"/>
      <c r="V122" s="158"/>
    </row>
    <row r="123" spans="1:22" s="161" customFormat="1" ht="15.6" customHeight="1">
      <c r="A123" s="27" t="s">
        <v>306</v>
      </c>
      <c r="B123" s="430"/>
      <c r="C123" s="431"/>
      <c r="D123" s="380"/>
      <c r="E123" s="380"/>
      <c r="F123" s="394"/>
      <c r="G123" s="394"/>
      <c r="H123" s="394"/>
      <c r="I123" s="394"/>
      <c r="J123" s="394"/>
      <c r="K123" s="394"/>
      <c r="L123" s="394"/>
      <c r="M123" s="394"/>
      <c r="N123" s="399">
        <f t="shared" si="27"/>
        <v>0</v>
      </c>
      <c r="O123" s="281">
        <f t="shared" si="24"/>
        <v>0</v>
      </c>
      <c r="P123" s="161" t="s">
        <v>307</v>
      </c>
      <c r="S123" s="283">
        <f t="shared" si="25"/>
        <v>0</v>
      </c>
      <c r="U123" s="158"/>
      <c r="V123" s="158"/>
    </row>
    <row r="124" spans="1:22" s="161" customFormat="1" ht="15.6" customHeight="1">
      <c r="A124" s="24" t="s">
        <v>308</v>
      </c>
      <c r="B124" s="430"/>
      <c r="C124" s="431"/>
      <c r="D124" s="380"/>
      <c r="E124" s="380"/>
      <c r="F124" s="394"/>
      <c r="G124" s="394"/>
      <c r="H124" s="394"/>
      <c r="I124" s="394"/>
      <c r="J124" s="394"/>
      <c r="K124" s="394"/>
      <c r="L124" s="394"/>
      <c r="M124" s="394"/>
      <c r="N124" s="399">
        <f t="shared" si="27"/>
        <v>0</v>
      </c>
      <c r="O124" s="281">
        <f t="shared" ref="O124:O153" si="28">+SUM($B124:$M124)-N124</f>
        <v>0</v>
      </c>
      <c r="P124" s="161" t="s">
        <v>309</v>
      </c>
      <c r="S124" s="283">
        <f t="shared" ref="S124:S153" si="29">H124/1000</f>
        <v>0</v>
      </c>
      <c r="U124" s="158"/>
      <c r="V124" s="158"/>
    </row>
    <row r="125" spans="1:22" s="161" customFormat="1" ht="15.6" customHeight="1">
      <c r="A125" s="24" t="s">
        <v>310</v>
      </c>
      <c r="B125" s="432"/>
      <c r="C125" s="431"/>
      <c r="D125" s="380"/>
      <c r="E125" s="380"/>
      <c r="F125" s="394"/>
      <c r="G125" s="394"/>
      <c r="H125" s="394"/>
      <c r="I125" s="394"/>
      <c r="J125" s="394"/>
      <c r="K125" s="394"/>
      <c r="L125" s="394"/>
      <c r="M125" s="394"/>
      <c r="N125" s="399">
        <f t="shared" si="27"/>
        <v>0</v>
      </c>
      <c r="O125" s="281">
        <f t="shared" si="28"/>
        <v>0</v>
      </c>
      <c r="P125" s="161" t="s">
        <v>311</v>
      </c>
      <c r="S125" s="283">
        <f t="shared" si="29"/>
        <v>0</v>
      </c>
      <c r="U125" s="158"/>
      <c r="V125" s="158"/>
    </row>
    <row r="126" spans="1:22" s="161" customFormat="1" ht="15.6" customHeight="1">
      <c r="A126" s="24" t="s">
        <v>312</v>
      </c>
      <c r="B126" s="433"/>
      <c r="C126" s="431"/>
      <c r="D126" s="380"/>
      <c r="E126" s="380"/>
      <c r="F126" s="394"/>
      <c r="G126" s="394"/>
      <c r="H126" s="394"/>
      <c r="I126" s="394"/>
      <c r="J126" s="394"/>
      <c r="K126" s="394"/>
      <c r="L126" s="394"/>
      <c r="M126" s="394"/>
      <c r="N126" s="399">
        <f t="shared" si="27"/>
        <v>0</v>
      </c>
      <c r="O126" s="281">
        <f t="shared" si="28"/>
        <v>0</v>
      </c>
      <c r="P126" s="161" t="s">
        <v>313</v>
      </c>
      <c r="S126" s="283">
        <f t="shared" si="29"/>
        <v>0</v>
      </c>
      <c r="U126" s="158"/>
      <c r="V126" s="158"/>
    </row>
    <row r="127" spans="1:22" s="161" customFormat="1" ht="15.6" customHeight="1">
      <c r="A127" s="25" t="s">
        <v>314</v>
      </c>
      <c r="B127" s="434"/>
      <c r="C127" s="435"/>
      <c r="D127" s="431"/>
      <c r="E127" s="431"/>
      <c r="F127" s="436"/>
      <c r="G127" s="436"/>
      <c r="H127" s="436"/>
      <c r="I127" s="436"/>
      <c r="J127" s="436"/>
      <c r="K127" s="436"/>
      <c r="L127" s="436"/>
      <c r="M127" s="436"/>
      <c r="N127" s="399">
        <f t="shared" si="27"/>
        <v>0</v>
      </c>
      <c r="O127" s="281">
        <f t="shared" si="28"/>
        <v>0</v>
      </c>
      <c r="P127" s="161" t="s">
        <v>315</v>
      </c>
      <c r="S127" s="283">
        <f t="shared" si="29"/>
        <v>0</v>
      </c>
      <c r="U127" s="158"/>
      <c r="V127" s="158"/>
    </row>
    <row r="128" spans="1:22" s="161" customFormat="1" ht="15.6" customHeight="1">
      <c r="A128" s="25" t="s">
        <v>316</v>
      </c>
      <c r="B128" s="434"/>
      <c r="C128" s="435"/>
      <c r="D128" s="431"/>
      <c r="E128" s="431"/>
      <c r="F128" s="436"/>
      <c r="G128" s="436"/>
      <c r="H128" s="436"/>
      <c r="I128" s="436"/>
      <c r="J128" s="436"/>
      <c r="K128" s="436"/>
      <c r="L128" s="436"/>
      <c r="M128" s="436"/>
      <c r="N128" s="399">
        <f t="shared" si="27"/>
        <v>0</v>
      </c>
      <c r="O128" s="281">
        <f t="shared" si="28"/>
        <v>0</v>
      </c>
      <c r="P128" s="161" t="s">
        <v>317</v>
      </c>
      <c r="S128" s="283">
        <f t="shared" si="29"/>
        <v>0</v>
      </c>
      <c r="U128" s="158"/>
      <c r="V128" s="158"/>
    </row>
    <row r="129" spans="1:22" s="161" customFormat="1" ht="15.6" customHeight="1">
      <c r="A129" s="25" t="s">
        <v>318</v>
      </c>
      <c r="B129" s="434"/>
      <c r="C129" s="435"/>
      <c r="D129" s="431"/>
      <c r="E129" s="431"/>
      <c r="F129" s="436"/>
      <c r="G129" s="436"/>
      <c r="H129" s="436"/>
      <c r="I129" s="436"/>
      <c r="J129" s="436"/>
      <c r="K129" s="436"/>
      <c r="L129" s="436"/>
      <c r="M129" s="436"/>
      <c r="N129" s="399">
        <f t="shared" si="27"/>
        <v>0</v>
      </c>
      <c r="O129" s="281">
        <f t="shared" si="28"/>
        <v>0</v>
      </c>
      <c r="P129" s="161" t="s">
        <v>319</v>
      </c>
      <c r="S129" s="283">
        <f t="shared" si="29"/>
        <v>0</v>
      </c>
      <c r="U129" s="158"/>
      <c r="V129" s="158"/>
    </row>
    <row r="130" spans="1:22" s="177" customFormat="1" ht="15.6" customHeight="1">
      <c r="A130" s="25" t="s">
        <v>320</v>
      </c>
      <c r="B130" s="434"/>
      <c r="C130" s="435"/>
      <c r="D130" s="431"/>
      <c r="E130" s="431"/>
      <c r="F130" s="436"/>
      <c r="G130" s="436"/>
      <c r="H130" s="436"/>
      <c r="I130" s="436"/>
      <c r="J130" s="436"/>
      <c r="K130" s="436"/>
      <c r="L130" s="436"/>
      <c r="M130" s="436"/>
      <c r="N130" s="399">
        <f t="shared" si="27"/>
        <v>0</v>
      </c>
      <c r="O130" s="281">
        <f t="shared" si="28"/>
        <v>0</v>
      </c>
      <c r="P130" s="161" t="s">
        <v>321</v>
      </c>
      <c r="Q130" s="161"/>
      <c r="R130" s="161"/>
      <c r="S130" s="283">
        <f t="shared" si="29"/>
        <v>0</v>
      </c>
      <c r="T130" s="161"/>
      <c r="U130" s="158"/>
      <c r="V130" s="158"/>
    </row>
    <row r="131" spans="1:22" s="161" customFormat="1" ht="15.6" customHeight="1">
      <c r="A131" s="25" t="s">
        <v>322</v>
      </c>
      <c r="B131" s="434"/>
      <c r="C131" s="435"/>
      <c r="D131" s="431"/>
      <c r="E131" s="431"/>
      <c r="F131" s="436"/>
      <c r="G131" s="436"/>
      <c r="H131" s="436"/>
      <c r="I131" s="436"/>
      <c r="J131" s="436"/>
      <c r="K131" s="436"/>
      <c r="L131" s="436"/>
      <c r="M131" s="436"/>
      <c r="N131" s="399">
        <f t="shared" si="27"/>
        <v>0</v>
      </c>
      <c r="O131" s="281">
        <f t="shared" si="28"/>
        <v>0</v>
      </c>
      <c r="P131" s="161" t="s">
        <v>323</v>
      </c>
      <c r="S131" s="283">
        <f t="shared" si="29"/>
        <v>0</v>
      </c>
      <c r="U131" s="158"/>
      <c r="V131" s="158"/>
    </row>
    <row r="132" spans="1:22" s="161" customFormat="1" ht="15.6" customHeight="1">
      <c r="A132" s="25" t="s">
        <v>324</v>
      </c>
      <c r="B132" s="434"/>
      <c r="C132" s="435"/>
      <c r="D132" s="431"/>
      <c r="E132" s="431"/>
      <c r="F132" s="436"/>
      <c r="G132" s="436"/>
      <c r="H132" s="436"/>
      <c r="I132" s="436"/>
      <c r="J132" s="436"/>
      <c r="K132" s="436"/>
      <c r="L132" s="436"/>
      <c r="M132" s="436"/>
      <c r="N132" s="399">
        <f t="shared" si="27"/>
        <v>0</v>
      </c>
      <c r="O132" s="281">
        <f t="shared" si="28"/>
        <v>0</v>
      </c>
      <c r="P132" s="161" t="s">
        <v>325</v>
      </c>
      <c r="S132" s="283">
        <f t="shared" si="29"/>
        <v>0</v>
      </c>
      <c r="U132" s="158"/>
      <c r="V132" s="158"/>
    </row>
    <row r="133" spans="1:22" s="161" customFormat="1" ht="15.6" customHeight="1">
      <c r="A133" s="25" t="s">
        <v>326</v>
      </c>
      <c r="B133" s="434"/>
      <c r="C133" s="435"/>
      <c r="D133" s="431"/>
      <c r="E133" s="431"/>
      <c r="F133" s="436"/>
      <c r="G133" s="436"/>
      <c r="H133" s="436"/>
      <c r="I133" s="436"/>
      <c r="J133" s="436"/>
      <c r="K133" s="436"/>
      <c r="L133" s="436"/>
      <c r="M133" s="436"/>
      <c r="N133" s="399">
        <f t="shared" si="27"/>
        <v>0</v>
      </c>
      <c r="O133" s="281">
        <f t="shared" si="28"/>
        <v>0</v>
      </c>
      <c r="P133" s="161" t="s">
        <v>327</v>
      </c>
      <c r="S133" s="283">
        <f t="shared" si="29"/>
        <v>0</v>
      </c>
      <c r="U133" s="158"/>
      <c r="V133" s="158"/>
    </row>
    <row r="134" spans="1:22" s="161" customFormat="1" ht="15.6" customHeight="1">
      <c r="A134" s="25" t="s">
        <v>328</v>
      </c>
      <c r="B134" s="434"/>
      <c r="C134" s="435"/>
      <c r="D134" s="431"/>
      <c r="E134" s="431"/>
      <c r="F134" s="436"/>
      <c r="G134" s="436"/>
      <c r="H134" s="436"/>
      <c r="I134" s="436"/>
      <c r="J134" s="436"/>
      <c r="K134" s="436"/>
      <c r="L134" s="436"/>
      <c r="M134" s="436"/>
      <c r="N134" s="399">
        <f t="shared" si="27"/>
        <v>0</v>
      </c>
      <c r="O134" s="281">
        <f t="shared" si="28"/>
        <v>0</v>
      </c>
      <c r="P134" s="161" t="s">
        <v>329</v>
      </c>
      <c r="S134" s="283">
        <f t="shared" si="29"/>
        <v>0</v>
      </c>
      <c r="U134" s="158"/>
      <c r="V134" s="158"/>
    </row>
    <row r="135" spans="1:22" s="161" customFormat="1" ht="15.6" customHeight="1">
      <c r="A135" s="25" t="s">
        <v>330</v>
      </c>
      <c r="B135" s="434"/>
      <c r="C135" s="435"/>
      <c r="D135" s="431"/>
      <c r="E135" s="431"/>
      <c r="F135" s="436"/>
      <c r="G135" s="436"/>
      <c r="H135" s="436"/>
      <c r="I135" s="436"/>
      <c r="J135" s="436"/>
      <c r="K135" s="436"/>
      <c r="L135" s="436"/>
      <c r="M135" s="436"/>
      <c r="N135" s="399">
        <f t="shared" si="27"/>
        <v>0</v>
      </c>
      <c r="O135" s="281">
        <f t="shared" si="28"/>
        <v>0</v>
      </c>
      <c r="P135" s="161" t="s">
        <v>331</v>
      </c>
      <c r="S135" s="283">
        <f t="shared" si="29"/>
        <v>0</v>
      </c>
      <c r="U135" s="158"/>
      <c r="V135" s="158"/>
    </row>
    <row r="136" spans="1:22" s="161" customFormat="1" ht="15.6" customHeight="1">
      <c r="A136" s="25" t="s">
        <v>332</v>
      </c>
      <c r="B136" s="434"/>
      <c r="C136" s="435"/>
      <c r="D136" s="431"/>
      <c r="E136" s="431"/>
      <c r="F136" s="436"/>
      <c r="G136" s="436"/>
      <c r="H136" s="436"/>
      <c r="I136" s="436"/>
      <c r="J136" s="436"/>
      <c r="K136" s="436"/>
      <c r="L136" s="436"/>
      <c r="M136" s="436"/>
      <c r="N136" s="399">
        <f t="shared" si="27"/>
        <v>0</v>
      </c>
      <c r="O136" s="281">
        <f t="shared" si="28"/>
        <v>0</v>
      </c>
      <c r="P136" s="161" t="s">
        <v>333</v>
      </c>
      <c r="S136" s="283">
        <f t="shared" si="29"/>
        <v>0</v>
      </c>
      <c r="U136" s="158"/>
      <c r="V136" s="158"/>
    </row>
    <row r="137" spans="1:22" s="161" customFormat="1" ht="15.6" customHeight="1">
      <c r="A137" s="25" t="s">
        <v>334</v>
      </c>
      <c r="B137" s="434"/>
      <c r="C137" s="435"/>
      <c r="D137" s="431"/>
      <c r="E137" s="431"/>
      <c r="F137" s="436"/>
      <c r="G137" s="436"/>
      <c r="H137" s="436"/>
      <c r="I137" s="436"/>
      <c r="J137" s="436"/>
      <c r="K137" s="436"/>
      <c r="L137" s="436"/>
      <c r="M137" s="436"/>
      <c r="N137" s="399">
        <f t="shared" si="27"/>
        <v>0</v>
      </c>
      <c r="O137" s="281">
        <f t="shared" si="28"/>
        <v>0</v>
      </c>
      <c r="P137" s="161" t="s">
        <v>335</v>
      </c>
      <c r="S137" s="283">
        <f t="shared" si="29"/>
        <v>0</v>
      </c>
      <c r="U137" s="158"/>
      <c r="V137" s="158"/>
    </row>
    <row r="138" spans="1:22" s="161" customFormat="1" ht="15.6" customHeight="1">
      <c r="A138" s="25" t="s">
        <v>336</v>
      </c>
      <c r="B138" s="434"/>
      <c r="C138" s="435"/>
      <c r="D138" s="431"/>
      <c r="E138" s="431"/>
      <c r="F138" s="436"/>
      <c r="G138" s="436"/>
      <c r="H138" s="436"/>
      <c r="I138" s="436"/>
      <c r="J138" s="436"/>
      <c r="K138" s="436"/>
      <c r="L138" s="436"/>
      <c r="M138" s="436"/>
      <c r="N138" s="399">
        <f t="shared" si="27"/>
        <v>0</v>
      </c>
      <c r="O138" s="281">
        <f t="shared" si="28"/>
        <v>0</v>
      </c>
      <c r="P138" s="161" t="s">
        <v>337</v>
      </c>
      <c r="S138" s="283">
        <f t="shared" si="29"/>
        <v>0</v>
      </c>
      <c r="U138" s="158"/>
      <c r="V138" s="158"/>
    </row>
    <row r="139" spans="1:22" s="161" customFormat="1" ht="15.6" customHeight="1">
      <c r="A139" s="48" t="s">
        <v>338</v>
      </c>
      <c r="B139" s="434"/>
      <c r="C139" s="437"/>
      <c r="D139" s="438"/>
      <c r="E139" s="438"/>
      <c r="F139" s="439"/>
      <c r="G139" s="439"/>
      <c r="H139" s="439"/>
      <c r="I139" s="439"/>
      <c r="J139" s="439"/>
      <c r="K139" s="439"/>
      <c r="L139" s="439"/>
      <c r="M139" s="439"/>
      <c r="N139" s="423">
        <f t="shared" si="27"/>
        <v>0</v>
      </c>
      <c r="O139" s="286">
        <f t="shared" si="28"/>
        <v>0</v>
      </c>
      <c r="P139" s="163" t="s">
        <v>339</v>
      </c>
      <c r="Q139" s="163"/>
      <c r="R139" s="163"/>
      <c r="S139" s="287">
        <f t="shared" si="29"/>
        <v>0</v>
      </c>
      <c r="T139" s="163"/>
      <c r="U139" s="158"/>
      <c r="V139" s="158"/>
    </row>
    <row r="140" spans="1:22" s="161" customFormat="1" ht="15.6" customHeight="1">
      <c r="A140" s="25" t="s">
        <v>340</v>
      </c>
      <c r="B140" s="434"/>
      <c r="C140" s="435"/>
      <c r="D140" s="431"/>
      <c r="E140" s="431"/>
      <c r="F140" s="436"/>
      <c r="G140" s="436"/>
      <c r="H140" s="436"/>
      <c r="I140" s="436"/>
      <c r="J140" s="436"/>
      <c r="K140" s="436"/>
      <c r="L140" s="436"/>
      <c r="M140" s="436"/>
      <c r="N140" s="399">
        <f t="shared" si="27"/>
        <v>0</v>
      </c>
      <c r="O140" s="281">
        <f t="shared" si="28"/>
        <v>0</v>
      </c>
      <c r="P140" s="161" t="s">
        <v>341</v>
      </c>
      <c r="S140" s="283">
        <f t="shared" si="29"/>
        <v>0</v>
      </c>
      <c r="U140" s="158"/>
      <c r="V140" s="158"/>
    </row>
    <row r="141" spans="1:22" s="161" customFormat="1" ht="15.6" customHeight="1">
      <c r="A141" s="25" t="s">
        <v>342</v>
      </c>
      <c r="B141" s="434"/>
      <c r="C141" s="435"/>
      <c r="D141" s="431"/>
      <c r="E141" s="431"/>
      <c r="F141" s="436"/>
      <c r="G141" s="436"/>
      <c r="H141" s="436"/>
      <c r="I141" s="436"/>
      <c r="J141" s="436"/>
      <c r="K141" s="436"/>
      <c r="L141" s="436"/>
      <c r="M141" s="436"/>
      <c r="N141" s="399">
        <f t="shared" si="27"/>
        <v>0</v>
      </c>
      <c r="O141" s="281">
        <f t="shared" si="28"/>
        <v>0</v>
      </c>
      <c r="P141" s="161" t="s">
        <v>343</v>
      </c>
      <c r="S141" s="283">
        <f t="shared" si="29"/>
        <v>0</v>
      </c>
      <c r="U141" s="158"/>
      <c r="V141" s="158"/>
    </row>
    <row r="142" spans="1:22" s="161" customFormat="1" ht="15.6" customHeight="1">
      <c r="A142" s="25" t="s">
        <v>344</v>
      </c>
      <c r="B142" s="434"/>
      <c r="C142" s="435"/>
      <c r="D142" s="431"/>
      <c r="E142" s="431"/>
      <c r="F142" s="436"/>
      <c r="G142" s="436"/>
      <c r="H142" s="436"/>
      <c r="I142" s="436"/>
      <c r="J142" s="436"/>
      <c r="K142" s="436"/>
      <c r="L142" s="436"/>
      <c r="M142" s="436"/>
      <c r="N142" s="399">
        <f t="shared" si="27"/>
        <v>0</v>
      </c>
      <c r="O142" s="281">
        <f t="shared" si="28"/>
        <v>0</v>
      </c>
      <c r="P142" s="161" t="s">
        <v>345</v>
      </c>
      <c r="S142" s="283">
        <f t="shared" si="29"/>
        <v>0</v>
      </c>
      <c r="U142" s="158"/>
      <c r="V142" s="158"/>
    </row>
    <row r="143" spans="1:22" s="161" customFormat="1" ht="15.6" customHeight="1">
      <c r="A143" s="25" t="s">
        <v>346</v>
      </c>
      <c r="B143" s="434"/>
      <c r="C143" s="435"/>
      <c r="D143" s="431"/>
      <c r="E143" s="431"/>
      <c r="F143" s="436"/>
      <c r="G143" s="436"/>
      <c r="H143" s="436"/>
      <c r="I143" s="436"/>
      <c r="J143" s="436"/>
      <c r="K143" s="436"/>
      <c r="L143" s="436"/>
      <c r="M143" s="436"/>
      <c r="N143" s="399">
        <f t="shared" si="27"/>
        <v>0</v>
      </c>
      <c r="O143" s="281">
        <f t="shared" si="28"/>
        <v>0</v>
      </c>
      <c r="P143" s="161" t="s">
        <v>347</v>
      </c>
      <c r="S143" s="283">
        <f t="shared" si="29"/>
        <v>0</v>
      </c>
      <c r="U143" s="158"/>
      <c r="V143" s="158"/>
    </row>
    <row r="144" spans="1:22" s="161" customFormat="1" ht="15.6" customHeight="1">
      <c r="A144" s="25" t="s">
        <v>348</v>
      </c>
      <c r="B144" s="434"/>
      <c r="C144" s="435"/>
      <c r="D144" s="431"/>
      <c r="E144" s="431"/>
      <c r="F144" s="436"/>
      <c r="G144" s="436"/>
      <c r="H144" s="436"/>
      <c r="I144" s="436"/>
      <c r="J144" s="436"/>
      <c r="K144" s="436"/>
      <c r="L144" s="436"/>
      <c r="M144" s="436"/>
      <c r="N144" s="399">
        <f t="shared" si="27"/>
        <v>0</v>
      </c>
      <c r="O144" s="281">
        <f t="shared" si="28"/>
        <v>0</v>
      </c>
      <c r="P144" s="161" t="s">
        <v>349</v>
      </c>
      <c r="S144" s="283">
        <f t="shared" si="29"/>
        <v>0</v>
      </c>
      <c r="U144" s="158"/>
      <c r="V144" s="158"/>
    </row>
    <row r="145" spans="1:22" s="161" customFormat="1" ht="15.6" customHeight="1">
      <c r="A145" s="25" t="s">
        <v>350</v>
      </c>
      <c r="B145" s="434"/>
      <c r="C145" s="435"/>
      <c r="D145" s="431"/>
      <c r="E145" s="431"/>
      <c r="F145" s="436"/>
      <c r="G145" s="436"/>
      <c r="H145" s="436"/>
      <c r="I145" s="436"/>
      <c r="J145" s="436"/>
      <c r="K145" s="436"/>
      <c r="L145" s="436"/>
      <c r="M145" s="436"/>
      <c r="N145" s="399">
        <f t="shared" si="27"/>
        <v>0</v>
      </c>
      <c r="O145" s="281">
        <f t="shared" si="28"/>
        <v>0</v>
      </c>
      <c r="P145" s="161" t="s">
        <v>351</v>
      </c>
      <c r="S145" s="283">
        <f t="shared" si="29"/>
        <v>0</v>
      </c>
      <c r="U145" s="158"/>
      <c r="V145" s="158"/>
    </row>
    <row r="146" spans="1:22" s="161" customFormat="1" ht="15.6" customHeight="1">
      <c r="A146" s="25" t="s">
        <v>352</v>
      </c>
      <c r="B146" s="434"/>
      <c r="C146" s="435"/>
      <c r="D146" s="431"/>
      <c r="E146" s="431"/>
      <c r="F146" s="436"/>
      <c r="G146" s="436"/>
      <c r="H146" s="436"/>
      <c r="I146" s="436"/>
      <c r="J146" s="436"/>
      <c r="K146" s="436"/>
      <c r="L146" s="436"/>
      <c r="M146" s="436"/>
      <c r="N146" s="399">
        <f t="shared" si="27"/>
        <v>0</v>
      </c>
      <c r="O146" s="281">
        <f t="shared" si="28"/>
        <v>0</v>
      </c>
      <c r="P146" s="161" t="s">
        <v>353</v>
      </c>
      <c r="S146" s="283">
        <f t="shared" si="29"/>
        <v>0</v>
      </c>
      <c r="U146" s="158"/>
      <c r="V146" s="158"/>
    </row>
    <row r="147" spans="1:22" s="161" customFormat="1" ht="16.149999999999999" customHeight="1">
      <c r="A147" s="42" t="s">
        <v>354</v>
      </c>
      <c r="B147" s="377">
        <f t="shared" ref="B147:N147" si="30">SUM(B148:B153)</f>
        <v>0</v>
      </c>
      <c r="C147" s="377">
        <f t="shared" si="30"/>
        <v>0</v>
      </c>
      <c r="D147" s="377">
        <f t="shared" si="30"/>
        <v>0</v>
      </c>
      <c r="E147" s="377">
        <f t="shared" si="30"/>
        <v>0</v>
      </c>
      <c r="F147" s="377">
        <f t="shared" si="30"/>
        <v>0</v>
      </c>
      <c r="G147" s="377">
        <f t="shared" si="30"/>
        <v>0</v>
      </c>
      <c r="H147" s="377">
        <f t="shared" si="30"/>
        <v>0</v>
      </c>
      <c r="I147" s="377">
        <f t="shared" si="30"/>
        <v>0</v>
      </c>
      <c r="J147" s="377">
        <f t="shared" si="30"/>
        <v>0</v>
      </c>
      <c r="K147" s="377">
        <f t="shared" si="30"/>
        <v>0</v>
      </c>
      <c r="L147" s="377">
        <f t="shared" si="30"/>
        <v>0</v>
      </c>
      <c r="M147" s="377">
        <f t="shared" si="30"/>
        <v>0</v>
      </c>
      <c r="N147" s="378">
        <f t="shared" si="30"/>
        <v>0</v>
      </c>
      <c r="O147" s="281">
        <f t="shared" si="28"/>
        <v>0</v>
      </c>
      <c r="P147" s="157" t="s">
        <v>355</v>
      </c>
      <c r="Q147" s="157"/>
      <c r="R147" s="157"/>
      <c r="S147" s="282">
        <f t="shared" si="29"/>
        <v>0</v>
      </c>
      <c r="T147" s="157"/>
      <c r="U147" s="158"/>
      <c r="V147" s="158"/>
    </row>
    <row r="148" spans="1:22" s="161" customFormat="1" ht="15.6" customHeight="1">
      <c r="A148" s="29" t="s">
        <v>356</v>
      </c>
      <c r="B148" s="440"/>
      <c r="C148" s="386"/>
      <c r="D148" s="386"/>
      <c r="E148" s="386"/>
      <c r="F148" s="386"/>
      <c r="G148" s="386"/>
      <c r="H148" s="386"/>
      <c r="I148" s="386"/>
      <c r="J148" s="386"/>
      <c r="K148" s="386"/>
      <c r="L148" s="386"/>
      <c r="M148" s="386"/>
      <c r="N148" s="381">
        <f t="shared" ref="N148:N153" si="31">B148+C148+D148+E148+F148+G148+H148+I148+J148+K148+L148+M148</f>
        <v>0</v>
      </c>
      <c r="O148" s="281">
        <f t="shared" si="28"/>
        <v>0</v>
      </c>
      <c r="P148" s="161" t="s">
        <v>357</v>
      </c>
      <c r="S148" s="283">
        <f t="shared" si="29"/>
        <v>0</v>
      </c>
      <c r="U148" s="158"/>
      <c r="V148" s="158"/>
    </row>
    <row r="149" spans="1:22" s="161" customFormat="1" ht="15.6" customHeight="1">
      <c r="A149" s="24" t="s">
        <v>358</v>
      </c>
      <c r="B149" s="440"/>
      <c r="C149" s="386"/>
      <c r="D149" s="386"/>
      <c r="E149" s="386"/>
      <c r="F149" s="386"/>
      <c r="G149" s="386"/>
      <c r="H149" s="386"/>
      <c r="I149" s="386"/>
      <c r="J149" s="386"/>
      <c r="K149" s="386"/>
      <c r="L149" s="386"/>
      <c r="M149" s="386"/>
      <c r="N149" s="381">
        <f t="shared" si="31"/>
        <v>0</v>
      </c>
      <c r="O149" s="281">
        <f t="shared" si="28"/>
        <v>0</v>
      </c>
      <c r="P149" s="161" t="s">
        <v>359</v>
      </c>
      <c r="S149" s="283">
        <f t="shared" si="29"/>
        <v>0</v>
      </c>
      <c r="U149" s="158"/>
      <c r="V149" s="158"/>
    </row>
    <row r="150" spans="1:22" s="161" customFormat="1" ht="15.6" customHeight="1">
      <c r="A150" s="24" t="s">
        <v>360</v>
      </c>
      <c r="B150" s="440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1">
        <f t="shared" si="31"/>
        <v>0</v>
      </c>
      <c r="O150" s="281">
        <f t="shared" si="28"/>
        <v>0</v>
      </c>
      <c r="P150" s="161" t="s">
        <v>361</v>
      </c>
      <c r="S150" s="283">
        <f t="shared" si="29"/>
        <v>0</v>
      </c>
      <c r="U150" s="158"/>
      <c r="V150" s="158"/>
    </row>
    <row r="151" spans="1:22" s="161" customFormat="1" ht="15.6" customHeight="1">
      <c r="A151" s="29" t="s">
        <v>362</v>
      </c>
      <c r="B151" s="440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1">
        <f t="shared" si="31"/>
        <v>0</v>
      </c>
      <c r="O151" s="281">
        <f t="shared" si="28"/>
        <v>0</v>
      </c>
      <c r="P151" s="161" t="s">
        <v>363</v>
      </c>
      <c r="S151" s="283">
        <f t="shared" si="29"/>
        <v>0</v>
      </c>
      <c r="U151" s="158"/>
      <c r="V151" s="158"/>
    </row>
    <row r="152" spans="1:22" s="161" customFormat="1" ht="15.6" customHeight="1">
      <c r="A152" s="29" t="s">
        <v>364</v>
      </c>
      <c r="B152" s="440"/>
      <c r="C152" s="386"/>
      <c r="D152" s="386"/>
      <c r="E152" s="386"/>
      <c r="F152" s="386"/>
      <c r="G152" s="386"/>
      <c r="H152" s="386"/>
      <c r="I152" s="386"/>
      <c r="J152" s="386"/>
      <c r="K152" s="386"/>
      <c r="L152" s="386"/>
      <c r="M152" s="386"/>
      <c r="N152" s="381">
        <f t="shared" si="31"/>
        <v>0</v>
      </c>
      <c r="O152" s="281">
        <f t="shared" si="28"/>
        <v>0</v>
      </c>
      <c r="P152" s="161" t="s">
        <v>365</v>
      </c>
      <c r="S152" s="283">
        <f t="shared" si="29"/>
        <v>0</v>
      </c>
      <c r="U152" s="158"/>
      <c r="V152" s="158"/>
    </row>
    <row r="153" spans="1:22" s="161" customFormat="1" ht="15.6" customHeight="1">
      <c r="A153" s="29" t="s">
        <v>366</v>
      </c>
      <c r="B153" s="440"/>
      <c r="C153" s="386"/>
      <c r="D153" s="386"/>
      <c r="E153" s="386"/>
      <c r="F153" s="386"/>
      <c r="G153" s="386"/>
      <c r="H153" s="386"/>
      <c r="I153" s="386"/>
      <c r="J153" s="386"/>
      <c r="K153" s="386"/>
      <c r="L153" s="386"/>
      <c r="M153" s="386"/>
      <c r="N153" s="381">
        <f t="shared" si="31"/>
        <v>0</v>
      </c>
      <c r="O153" s="281">
        <f t="shared" si="28"/>
        <v>0</v>
      </c>
      <c r="P153" s="161" t="s">
        <v>367</v>
      </c>
      <c r="S153" s="283">
        <f t="shared" si="29"/>
        <v>0</v>
      </c>
      <c r="U153" s="158"/>
      <c r="V153" s="158"/>
    </row>
    <row r="154" spans="1:22" s="161" customFormat="1" ht="15.6" customHeight="1">
      <c r="A154" s="29"/>
      <c r="B154" s="440"/>
      <c r="C154" s="386"/>
      <c r="D154" s="386"/>
      <c r="E154" s="386"/>
      <c r="F154" s="386"/>
      <c r="G154" s="386"/>
      <c r="H154" s="386"/>
      <c r="I154" s="386"/>
      <c r="J154" s="386"/>
      <c r="K154" s="386"/>
      <c r="L154" s="386"/>
      <c r="M154" s="386"/>
      <c r="N154" s="381"/>
      <c r="O154" s="281"/>
      <c r="S154" s="283"/>
      <c r="U154" s="158"/>
      <c r="V154" s="158"/>
    </row>
    <row r="155" spans="1:22" s="161" customFormat="1" ht="18" customHeight="1">
      <c r="A155" s="45" t="s">
        <v>368</v>
      </c>
      <c r="B155" s="387">
        <f t="shared" ref="B155:N155" si="32">SUM(B156:B175)</f>
        <v>0</v>
      </c>
      <c r="C155" s="388">
        <f t="shared" si="32"/>
        <v>0</v>
      </c>
      <c r="D155" s="388">
        <f t="shared" si="32"/>
        <v>0</v>
      </c>
      <c r="E155" s="388">
        <f t="shared" si="32"/>
        <v>0</v>
      </c>
      <c r="F155" s="388">
        <f t="shared" si="32"/>
        <v>0</v>
      </c>
      <c r="G155" s="388">
        <f t="shared" si="32"/>
        <v>0</v>
      </c>
      <c r="H155" s="388">
        <f t="shared" si="32"/>
        <v>0</v>
      </c>
      <c r="I155" s="388">
        <f t="shared" si="32"/>
        <v>0</v>
      </c>
      <c r="J155" s="388">
        <f t="shared" si="32"/>
        <v>0</v>
      </c>
      <c r="K155" s="388">
        <f t="shared" si="32"/>
        <v>0</v>
      </c>
      <c r="L155" s="388">
        <f t="shared" si="32"/>
        <v>0</v>
      </c>
      <c r="M155" s="388">
        <f t="shared" si="32"/>
        <v>0</v>
      </c>
      <c r="N155" s="388">
        <f t="shared" si="32"/>
        <v>0</v>
      </c>
      <c r="O155" s="280">
        <f t="shared" ref="O155:O180" si="33">+SUM($B155:$M155)-N155</f>
        <v>0</v>
      </c>
      <c r="P155" s="162" t="s">
        <v>369</v>
      </c>
      <c r="Q155" s="162"/>
      <c r="R155" s="162"/>
      <c r="S155" s="290">
        <f t="shared" ref="S155:S180" si="34">H155/1000</f>
        <v>0</v>
      </c>
      <c r="T155" s="162"/>
      <c r="U155" s="158"/>
      <c r="V155" s="158"/>
    </row>
    <row r="156" spans="1:22" s="161" customFormat="1" ht="15.6" customHeight="1">
      <c r="A156" s="24" t="s">
        <v>370</v>
      </c>
      <c r="B156" s="419"/>
      <c r="C156" s="382"/>
      <c r="D156" s="382"/>
      <c r="E156" s="382"/>
      <c r="F156" s="382"/>
      <c r="G156" s="382"/>
      <c r="H156" s="382"/>
      <c r="I156" s="382"/>
      <c r="J156" s="382"/>
      <c r="K156" s="382"/>
      <c r="L156" s="382"/>
      <c r="M156" s="382"/>
      <c r="N156" s="381">
        <f t="shared" ref="N156:N176" si="35">B156+C156+D156+E156+F156+G156+H156+I156+J156+K156+L156+M156</f>
        <v>0</v>
      </c>
      <c r="O156" s="281">
        <f t="shared" si="33"/>
        <v>0</v>
      </c>
      <c r="P156" s="161" t="s">
        <v>371</v>
      </c>
      <c r="S156" s="284">
        <f t="shared" si="34"/>
        <v>0</v>
      </c>
      <c r="U156" s="158"/>
      <c r="V156" s="158"/>
    </row>
    <row r="157" spans="1:22" s="161" customFormat="1" ht="15.6" customHeight="1">
      <c r="A157" s="24" t="s">
        <v>372</v>
      </c>
      <c r="B157" s="419"/>
      <c r="C157" s="382"/>
      <c r="D157" s="382"/>
      <c r="E157" s="382"/>
      <c r="F157" s="382"/>
      <c r="G157" s="382"/>
      <c r="H157" s="382"/>
      <c r="I157" s="382"/>
      <c r="J157" s="382"/>
      <c r="K157" s="382"/>
      <c r="L157" s="382"/>
      <c r="M157" s="382"/>
      <c r="N157" s="381">
        <f t="shared" si="35"/>
        <v>0</v>
      </c>
      <c r="O157" s="281">
        <f t="shared" si="33"/>
        <v>0</v>
      </c>
      <c r="P157" s="161" t="s">
        <v>373</v>
      </c>
      <c r="S157" s="284">
        <f t="shared" si="34"/>
        <v>0</v>
      </c>
      <c r="U157" s="158"/>
      <c r="V157" s="158"/>
    </row>
    <row r="158" spans="1:22" s="161" customFormat="1" ht="15.6" customHeight="1">
      <c r="A158" s="24" t="s">
        <v>374</v>
      </c>
      <c r="B158" s="419"/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/>
      <c r="N158" s="381">
        <f t="shared" si="35"/>
        <v>0</v>
      </c>
      <c r="O158" s="281">
        <f t="shared" si="33"/>
        <v>0</v>
      </c>
      <c r="P158" s="161" t="s">
        <v>375</v>
      </c>
      <c r="S158" s="284">
        <f t="shared" si="34"/>
        <v>0</v>
      </c>
      <c r="U158" s="158"/>
      <c r="V158" s="158"/>
    </row>
    <row r="159" spans="1:22" s="161" customFormat="1" ht="15.6" customHeight="1">
      <c r="A159" s="24" t="s">
        <v>376</v>
      </c>
      <c r="B159" s="419"/>
      <c r="C159" s="382"/>
      <c r="D159" s="382"/>
      <c r="E159" s="382"/>
      <c r="F159" s="382"/>
      <c r="G159" s="382"/>
      <c r="H159" s="382"/>
      <c r="I159" s="382"/>
      <c r="J159" s="382"/>
      <c r="K159" s="382"/>
      <c r="L159" s="382"/>
      <c r="M159" s="382"/>
      <c r="N159" s="381">
        <f t="shared" si="35"/>
        <v>0</v>
      </c>
      <c r="O159" s="281">
        <f t="shared" si="33"/>
        <v>0</v>
      </c>
      <c r="P159" s="161" t="s">
        <v>377</v>
      </c>
      <c r="S159" s="284">
        <f t="shared" si="34"/>
        <v>0</v>
      </c>
      <c r="U159" s="158"/>
      <c r="V159" s="158"/>
    </row>
    <row r="160" spans="1:22" s="161" customFormat="1" ht="15.6" customHeight="1">
      <c r="A160" s="24" t="s">
        <v>378</v>
      </c>
      <c r="B160" s="419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381">
        <f t="shared" si="35"/>
        <v>0</v>
      </c>
      <c r="O160" s="281">
        <f t="shared" si="33"/>
        <v>0</v>
      </c>
      <c r="P160" s="161" t="s">
        <v>379</v>
      </c>
      <c r="S160" s="284">
        <f t="shared" si="34"/>
        <v>0</v>
      </c>
      <c r="U160" s="158"/>
      <c r="V160" s="158"/>
    </row>
    <row r="161" spans="1:22" s="161" customFormat="1" ht="15.6" customHeight="1">
      <c r="A161" s="24" t="s">
        <v>380</v>
      </c>
      <c r="B161" s="419"/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381">
        <f t="shared" si="35"/>
        <v>0</v>
      </c>
      <c r="O161" s="281">
        <f t="shared" si="33"/>
        <v>0</v>
      </c>
      <c r="P161" s="161" t="s">
        <v>381</v>
      </c>
      <c r="S161" s="284">
        <f t="shared" si="34"/>
        <v>0</v>
      </c>
      <c r="U161" s="158"/>
      <c r="V161" s="158"/>
    </row>
    <row r="162" spans="1:22" s="161" customFormat="1" ht="15.6" customHeight="1">
      <c r="A162" s="24" t="s">
        <v>382</v>
      </c>
      <c r="B162" s="419"/>
      <c r="C162" s="382"/>
      <c r="D162" s="382"/>
      <c r="E162" s="382"/>
      <c r="F162" s="382"/>
      <c r="G162" s="382"/>
      <c r="H162" s="382"/>
      <c r="I162" s="382"/>
      <c r="J162" s="382"/>
      <c r="K162" s="382"/>
      <c r="L162" s="382"/>
      <c r="M162" s="382"/>
      <c r="N162" s="381">
        <f t="shared" si="35"/>
        <v>0</v>
      </c>
      <c r="O162" s="281">
        <f t="shared" si="33"/>
        <v>0</v>
      </c>
      <c r="P162" s="161" t="s">
        <v>383</v>
      </c>
      <c r="S162" s="284">
        <f t="shared" si="34"/>
        <v>0</v>
      </c>
      <c r="U162" s="158"/>
      <c r="V162" s="158"/>
    </row>
    <row r="163" spans="1:22" s="161" customFormat="1" ht="15.6" customHeight="1">
      <c r="A163" s="24" t="s">
        <v>384</v>
      </c>
      <c r="B163" s="419"/>
      <c r="C163" s="382"/>
      <c r="D163" s="382"/>
      <c r="E163" s="382"/>
      <c r="F163" s="382"/>
      <c r="G163" s="382"/>
      <c r="H163" s="382"/>
      <c r="I163" s="382"/>
      <c r="J163" s="382"/>
      <c r="K163" s="382"/>
      <c r="L163" s="382"/>
      <c r="M163" s="382"/>
      <c r="N163" s="381">
        <f t="shared" si="35"/>
        <v>0</v>
      </c>
      <c r="O163" s="281">
        <f t="shared" si="33"/>
        <v>0</v>
      </c>
      <c r="P163" s="161" t="s">
        <v>385</v>
      </c>
      <c r="S163" s="284">
        <f t="shared" si="34"/>
        <v>0</v>
      </c>
      <c r="U163" s="158"/>
      <c r="V163" s="158"/>
    </row>
    <row r="164" spans="1:22" s="161" customFormat="1" ht="15.6" customHeight="1">
      <c r="A164" s="24" t="s">
        <v>386</v>
      </c>
      <c r="B164" s="419"/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/>
      <c r="N164" s="381">
        <f t="shared" si="35"/>
        <v>0</v>
      </c>
      <c r="O164" s="281">
        <f t="shared" si="33"/>
        <v>0</v>
      </c>
      <c r="P164" s="161" t="s">
        <v>387</v>
      </c>
      <c r="S164" s="284">
        <f t="shared" si="34"/>
        <v>0</v>
      </c>
      <c r="U164" s="158"/>
      <c r="V164" s="158"/>
    </row>
    <row r="165" spans="1:22" s="161" customFormat="1" ht="15.6" customHeight="1">
      <c r="A165" s="24" t="s">
        <v>388</v>
      </c>
      <c r="B165" s="419"/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381">
        <f t="shared" si="35"/>
        <v>0</v>
      </c>
      <c r="O165" s="281">
        <f t="shared" si="33"/>
        <v>0</v>
      </c>
      <c r="P165" s="161" t="s">
        <v>389</v>
      </c>
      <c r="S165" s="284">
        <f t="shared" si="34"/>
        <v>0</v>
      </c>
      <c r="U165" s="158"/>
      <c r="V165" s="158"/>
    </row>
    <row r="166" spans="1:22" s="161" customFormat="1" ht="15.6" customHeight="1">
      <c r="A166" s="24" t="s">
        <v>390</v>
      </c>
      <c r="B166" s="419"/>
      <c r="C166" s="382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1">
        <f t="shared" si="35"/>
        <v>0</v>
      </c>
      <c r="O166" s="281">
        <f t="shared" si="33"/>
        <v>0</v>
      </c>
      <c r="P166" s="161" t="s">
        <v>391</v>
      </c>
      <c r="S166" s="284">
        <f t="shared" si="34"/>
        <v>0</v>
      </c>
      <c r="U166" s="158"/>
      <c r="V166" s="158"/>
    </row>
    <row r="167" spans="1:22" s="161" customFormat="1" ht="15.6" customHeight="1">
      <c r="A167" s="24" t="s">
        <v>392</v>
      </c>
      <c r="B167" s="419"/>
      <c r="C167" s="382"/>
      <c r="D167" s="382"/>
      <c r="E167" s="382"/>
      <c r="F167" s="382"/>
      <c r="G167" s="382"/>
      <c r="H167" s="382"/>
      <c r="I167" s="382"/>
      <c r="J167" s="382"/>
      <c r="K167" s="382"/>
      <c r="L167" s="382"/>
      <c r="M167" s="382"/>
      <c r="N167" s="381">
        <f t="shared" si="35"/>
        <v>0</v>
      </c>
      <c r="O167" s="281">
        <f t="shared" si="33"/>
        <v>0</v>
      </c>
      <c r="P167" s="161" t="s">
        <v>393</v>
      </c>
      <c r="S167" s="284">
        <f t="shared" si="34"/>
        <v>0</v>
      </c>
      <c r="U167" s="158"/>
      <c r="V167" s="158"/>
    </row>
    <row r="168" spans="1:22" s="161" customFormat="1" ht="15.6" customHeight="1">
      <c r="A168" s="24" t="s">
        <v>394</v>
      </c>
      <c r="B168" s="419"/>
      <c r="C168" s="382"/>
      <c r="D168" s="382"/>
      <c r="E168" s="382"/>
      <c r="F168" s="382"/>
      <c r="G168" s="382"/>
      <c r="H168" s="382"/>
      <c r="I168" s="382"/>
      <c r="J168" s="382"/>
      <c r="K168" s="382"/>
      <c r="L168" s="382"/>
      <c r="M168" s="382"/>
      <c r="N168" s="381">
        <f t="shared" si="35"/>
        <v>0</v>
      </c>
      <c r="O168" s="281">
        <f t="shared" si="33"/>
        <v>0</v>
      </c>
      <c r="P168" s="161" t="s">
        <v>395</v>
      </c>
      <c r="S168" s="284">
        <f t="shared" si="34"/>
        <v>0</v>
      </c>
      <c r="U168" s="158"/>
      <c r="V168" s="158"/>
    </row>
    <row r="169" spans="1:22" s="161" customFormat="1" ht="15.6" customHeight="1">
      <c r="A169" s="24" t="s">
        <v>396</v>
      </c>
      <c r="B169" s="419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  <c r="M169" s="382"/>
      <c r="N169" s="381">
        <f t="shared" si="35"/>
        <v>0</v>
      </c>
      <c r="O169" s="281">
        <f t="shared" si="33"/>
        <v>0</v>
      </c>
      <c r="P169" s="161" t="s">
        <v>397</v>
      </c>
      <c r="S169" s="284">
        <f t="shared" si="34"/>
        <v>0</v>
      </c>
      <c r="U169" s="158"/>
      <c r="V169" s="158"/>
    </row>
    <row r="170" spans="1:22" s="161" customFormat="1" ht="15.6" customHeight="1">
      <c r="A170" s="24" t="s">
        <v>398</v>
      </c>
      <c r="B170" s="419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/>
      <c r="N170" s="381">
        <f t="shared" si="35"/>
        <v>0</v>
      </c>
      <c r="O170" s="281">
        <f t="shared" si="33"/>
        <v>0</v>
      </c>
      <c r="P170" s="161" t="s">
        <v>399</v>
      </c>
      <c r="S170" s="284">
        <f t="shared" si="34"/>
        <v>0</v>
      </c>
      <c r="U170" s="158"/>
      <c r="V170" s="158"/>
    </row>
    <row r="171" spans="1:22" s="161" customFormat="1" ht="15.6" customHeight="1">
      <c r="A171" s="24" t="s">
        <v>400</v>
      </c>
      <c r="B171" s="419"/>
      <c r="C171" s="382"/>
      <c r="D171" s="382"/>
      <c r="E171" s="382"/>
      <c r="F171" s="382"/>
      <c r="G171" s="382"/>
      <c r="H171" s="382"/>
      <c r="I171" s="382"/>
      <c r="J171" s="382"/>
      <c r="K171" s="382"/>
      <c r="L171" s="382"/>
      <c r="M171" s="382"/>
      <c r="N171" s="381">
        <f t="shared" si="35"/>
        <v>0</v>
      </c>
      <c r="O171" s="281">
        <f t="shared" si="33"/>
        <v>0</v>
      </c>
      <c r="P171" s="161" t="s">
        <v>401</v>
      </c>
      <c r="S171" s="284">
        <f t="shared" si="34"/>
        <v>0</v>
      </c>
      <c r="U171" s="158"/>
      <c r="V171" s="158"/>
    </row>
    <row r="172" spans="1:22" s="161" customFormat="1" ht="15.6" customHeight="1">
      <c r="A172" s="24" t="s">
        <v>402</v>
      </c>
      <c r="B172" s="419"/>
      <c r="C172" s="382"/>
      <c r="D172" s="382"/>
      <c r="E172" s="382"/>
      <c r="F172" s="382"/>
      <c r="G172" s="382"/>
      <c r="H172" s="382"/>
      <c r="I172" s="382"/>
      <c r="J172" s="382"/>
      <c r="K172" s="382"/>
      <c r="L172" s="382"/>
      <c r="M172" s="382"/>
      <c r="N172" s="381">
        <f t="shared" si="35"/>
        <v>0</v>
      </c>
      <c r="O172" s="281">
        <f t="shared" si="33"/>
        <v>0</v>
      </c>
      <c r="P172" s="161" t="s">
        <v>403</v>
      </c>
      <c r="S172" s="284">
        <f t="shared" si="34"/>
        <v>0</v>
      </c>
      <c r="U172" s="158"/>
      <c r="V172" s="158"/>
    </row>
    <row r="173" spans="1:22" s="161" customFormat="1" ht="15.6" customHeight="1">
      <c r="A173" s="24" t="s">
        <v>404</v>
      </c>
      <c r="B173" s="419"/>
      <c r="C173" s="382"/>
      <c r="D173" s="382"/>
      <c r="E173" s="382"/>
      <c r="F173" s="382"/>
      <c r="G173" s="382"/>
      <c r="H173" s="382"/>
      <c r="I173" s="382"/>
      <c r="J173" s="382"/>
      <c r="K173" s="382"/>
      <c r="L173" s="382"/>
      <c r="M173" s="382"/>
      <c r="N173" s="381">
        <f t="shared" si="35"/>
        <v>0</v>
      </c>
      <c r="O173" s="281">
        <f t="shared" si="33"/>
        <v>0</v>
      </c>
      <c r="P173" s="161" t="s">
        <v>405</v>
      </c>
      <c r="S173" s="284">
        <f t="shared" si="34"/>
        <v>0</v>
      </c>
      <c r="U173" s="158"/>
      <c r="V173" s="158"/>
    </row>
    <row r="174" spans="1:22" s="161" customFormat="1" ht="15.6" customHeight="1">
      <c r="A174" s="24" t="s">
        <v>406</v>
      </c>
      <c r="B174" s="419"/>
      <c r="C174" s="382"/>
      <c r="D174" s="382"/>
      <c r="E174" s="382"/>
      <c r="F174" s="382"/>
      <c r="G174" s="382"/>
      <c r="H174" s="382"/>
      <c r="I174" s="382"/>
      <c r="J174" s="382"/>
      <c r="K174" s="382"/>
      <c r="L174" s="382"/>
      <c r="M174" s="382"/>
      <c r="N174" s="381">
        <f t="shared" si="35"/>
        <v>0</v>
      </c>
      <c r="O174" s="281">
        <f t="shared" si="33"/>
        <v>0</v>
      </c>
      <c r="P174" s="161" t="s">
        <v>407</v>
      </c>
      <c r="S174" s="284">
        <f t="shared" si="34"/>
        <v>0</v>
      </c>
      <c r="U174" s="158"/>
      <c r="V174" s="158"/>
    </row>
    <row r="175" spans="1:22" s="133" customFormat="1" ht="15" customHeight="1">
      <c r="A175" s="24" t="s">
        <v>408</v>
      </c>
      <c r="B175" s="419"/>
      <c r="C175" s="382"/>
      <c r="D175" s="382"/>
      <c r="E175" s="382"/>
      <c r="F175" s="382"/>
      <c r="G175" s="382"/>
      <c r="H175" s="382"/>
      <c r="I175" s="382"/>
      <c r="J175" s="382"/>
      <c r="K175" s="382"/>
      <c r="L175" s="382"/>
      <c r="M175" s="382"/>
      <c r="N175" s="381">
        <f t="shared" si="35"/>
        <v>0</v>
      </c>
      <c r="O175" s="281">
        <f t="shared" si="33"/>
        <v>0</v>
      </c>
      <c r="P175" s="161" t="s">
        <v>409</v>
      </c>
      <c r="Q175" s="161"/>
      <c r="R175" s="161"/>
      <c r="S175" s="284">
        <f t="shared" si="34"/>
        <v>0</v>
      </c>
      <c r="T175" s="161"/>
      <c r="U175" s="158"/>
      <c r="V175" s="158"/>
    </row>
    <row r="176" spans="1:22" s="133" customFormat="1" ht="15" customHeight="1">
      <c r="A176" s="169" t="s">
        <v>410</v>
      </c>
      <c r="B176" s="389"/>
      <c r="C176" s="391"/>
      <c r="D176" s="391"/>
      <c r="E176" s="391"/>
      <c r="F176" s="391"/>
      <c r="G176" s="391"/>
      <c r="H176" s="391"/>
      <c r="I176" s="391"/>
      <c r="J176" s="391"/>
      <c r="K176" s="392"/>
      <c r="L176" s="392"/>
      <c r="M176" s="392"/>
      <c r="N176" s="392">
        <f t="shared" si="35"/>
        <v>0</v>
      </c>
      <c r="O176" s="280">
        <f t="shared" si="33"/>
        <v>0</v>
      </c>
      <c r="P176" s="123" t="s">
        <v>411</v>
      </c>
      <c r="Q176" s="46"/>
      <c r="R176" s="46"/>
      <c r="S176" s="291">
        <f t="shared" si="34"/>
        <v>0</v>
      </c>
      <c r="T176" s="46"/>
      <c r="U176" s="158"/>
      <c r="V176" s="158"/>
    </row>
    <row r="177" spans="1:29" ht="15.6" customHeight="1">
      <c r="O177" s="281">
        <f t="shared" si="33"/>
        <v>0</v>
      </c>
      <c r="S177" s="278">
        <f t="shared" si="34"/>
        <v>0</v>
      </c>
      <c r="U177" s="158"/>
      <c r="V177" s="158"/>
    </row>
    <row r="178" spans="1:29" s="170" customFormat="1" ht="18" customHeight="1">
      <c r="A178" s="171" t="s">
        <v>586</v>
      </c>
      <c r="B178" s="393">
        <f t="shared" ref="B178:N178" si="36">+B2+B28+B41+B51+B155+B176</f>
        <v>0</v>
      </c>
      <c r="C178" s="393">
        <f t="shared" si="36"/>
        <v>0</v>
      </c>
      <c r="D178" s="393">
        <f t="shared" si="36"/>
        <v>0</v>
      </c>
      <c r="E178" s="393">
        <f t="shared" si="36"/>
        <v>0</v>
      </c>
      <c r="F178" s="393">
        <f t="shared" si="36"/>
        <v>0</v>
      </c>
      <c r="G178" s="393">
        <f t="shared" si="36"/>
        <v>0</v>
      </c>
      <c r="H178" s="393">
        <f t="shared" si="36"/>
        <v>0</v>
      </c>
      <c r="I178" s="393">
        <f t="shared" si="36"/>
        <v>0</v>
      </c>
      <c r="J178" s="393">
        <f t="shared" si="36"/>
        <v>0</v>
      </c>
      <c r="K178" s="393">
        <f t="shared" si="36"/>
        <v>0</v>
      </c>
      <c r="L178" s="393">
        <f t="shared" si="36"/>
        <v>0</v>
      </c>
      <c r="M178" s="393">
        <f t="shared" si="36"/>
        <v>0</v>
      </c>
      <c r="N178" s="393">
        <f t="shared" si="36"/>
        <v>0</v>
      </c>
      <c r="O178" s="281">
        <f t="shared" si="33"/>
        <v>0</v>
      </c>
      <c r="S178" s="292">
        <f t="shared" si="34"/>
        <v>0</v>
      </c>
      <c r="U178" s="158"/>
      <c r="V178" s="158"/>
    </row>
    <row r="179" spans="1:29" s="162" customFormat="1" ht="18" customHeight="1">
      <c r="A179" s="31"/>
      <c r="B179" s="394"/>
      <c r="C179" s="394"/>
      <c r="D179" s="394"/>
      <c r="E179" s="394"/>
      <c r="F179" s="394"/>
      <c r="G179" s="394"/>
      <c r="H179" s="394"/>
      <c r="I179" s="394"/>
      <c r="J179" s="394"/>
      <c r="K179" s="394"/>
      <c r="L179" s="382"/>
      <c r="M179" s="382"/>
      <c r="N179" s="381"/>
      <c r="O179" s="172">
        <f t="shared" si="33"/>
        <v>0</v>
      </c>
      <c r="S179" s="283">
        <f t="shared" si="34"/>
        <v>0</v>
      </c>
      <c r="U179" s="158"/>
      <c r="V179" s="158"/>
    </row>
    <row r="180" spans="1:29" ht="15.6" customHeight="1">
      <c r="N180" s="396"/>
      <c r="O180" s="174">
        <f t="shared" si="33"/>
        <v>0</v>
      </c>
      <c r="S180" s="278">
        <f t="shared" si="34"/>
        <v>0</v>
      </c>
      <c r="U180" s="158"/>
      <c r="V180" s="158"/>
    </row>
    <row r="181" spans="1:29">
      <c r="B181" s="395"/>
      <c r="C181" s="395"/>
      <c r="D181" s="395"/>
      <c r="E181" s="395"/>
      <c r="F181" s="395"/>
      <c r="G181" s="395"/>
      <c r="H181" s="395"/>
      <c r="N181" s="396"/>
      <c r="S181" s="300"/>
    </row>
    <row r="182" spans="1:29">
      <c r="B182" s="395"/>
      <c r="C182" s="395"/>
      <c r="D182" s="395"/>
      <c r="E182" s="395"/>
      <c r="F182" s="395"/>
      <c r="G182" s="395"/>
      <c r="H182" s="395"/>
      <c r="N182" s="396"/>
      <c r="S182" s="300"/>
    </row>
    <row r="183" spans="1:29">
      <c r="B183" s="395"/>
      <c r="C183" s="395"/>
      <c r="D183" s="395"/>
      <c r="E183" s="395"/>
      <c r="F183" s="395"/>
      <c r="G183" s="395"/>
      <c r="H183" s="395"/>
      <c r="N183" s="396"/>
      <c r="S183" s="300"/>
    </row>
    <row r="184" spans="1:29">
      <c r="B184" s="395"/>
      <c r="C184" s="395"/>
      <c r="D184" s="395"/>
      <c r="E184" s="395"/>
      <c r="F184" s="395"/>
      <c r="G184" s="395"/>
      <c r="H184" s="395"/>
      <c r="N184" s="396"/>
      <c r="S184" s="300"/>
    </row>
    <row r="185" spans="1:29">
      <c r="B185" s="395"/>
      <c r="C185" s="395"/>
      <c r="D185" s="395"/>
      <c r="E185" s="395"/>
      <c r="F185" s="395"/>
      <c r="G185" s="395"/>
      <c r="H185" s="395"/>
      <c r="N185" s="396"/>
      <c r="S185" s="300"/>
    </row>
    <row r="186" spans="1:29">
      <c r="B186" s="395"/>
      <c r="C186" s="395"/>
      <c r="D186" s="395"/>
      <c r="E186" s="395"/>
      <c r="F186" s="395"/>
      <c r="G186" s="395"/>
      <c r="H186" s="395"/>
      <c r="N186" s="396"/>
      <c r="S186" s="300"/>
    </row>
    <row r="187" spans="1:29">
      <c r="B187" s="395"/>
      <c r="C187" s="395"/>
      <c r="D187" s="395"/>
      <c r="E187" s="395"/>
      <c r="F187" s="395"/>
      <c r="N187" s="396"/>
    </row>
    <row r="188" spans="1:29">
      <c r="N188" s="396"/>
    </row>
    <row r="189" spans="1:29">
      <c r="N189" s="396"/>
    </row>
    <row r="190" spans="1:29">
      <c r="N190" s="396"/>
    </row>
    <row r="192" spans="1:29" ht="100.9" customHeight="1">
      <c r="C192" s="408" t="s">
        <v>567</v>
      </c>
      <c r="D192" s="409" t="s">
        <v>568</v>
      </c>
      <c r="E192" s="409" t="s">
        <v>569</v>
      </c>
      <c r="F192" s="409" t="s">
        <v>570</v>
      </c>
      <c r="G192" s="409" t="s">
        <v>559</v>
      </c>
      <c r="H192" s="409" t="s">
        <v>560</v>
      </c>
      <c r="I192" s="409" t="s">
        <v>36</v>
      </c>
      <c r="J192" s="409" t="s">
        <v>482</v>
      </c>
      <c r="K192" s="409" t="s">
        <v>571</v>
      </c>
      <c r="L192" s="410" t="s">
        <v>368</v>
      </c>
      <c r="M192" s="409" t="s">
        <v>572</v>
      </c>
      <c r="N192" s="409" t="s">
        <v>354</v>
      </c>
      <c r="O192" s="12" t="s">
        <v>573</v>
      </c>
      <c r="Q192" s="11" t="s">
        <v>574</v>
      </c>
      <c r="R192" s="11" t="s">
        <v>460</v>
      </c>
      <c r="S192" s="294" t="s">
        <v>575</v>
      </c>
      <c r="T192" s="11" t="s">
        <v>587</v>
      </c>
      <c r="U192" s="12" t="s">
        <v>588</v>
      </c>
      <c r="V192" s="10" t="s">
        <v>589</v>
      </c>
      <c r="W192" s="12" t="s">
        <v>590</v>
      </c>
      <c r="X192" s="11" t="s">
        <v>591</v>
      </c>
      <c r="Y192" s="11" t="s">
        <v>592</v>
      </c>
      <c r="Z192" s="12" t="s">
        <v>593</v>
      </c>
      <c r="AA192" s="11" t="s">
        <v>594</v>
      </c>
      <c r="AB192" s="11" t="s">
        <v>410</v>
      </c>
      <c r="AC192" s="11" t="s">
        <v>595</v>
      </c>
    </row>
    <row r="193" spans="1:29" ht="18" customHeight="1">
      <c r="C193" s="411"/>
      <c r="D193" s="411" t="s">
        <v>576</v>
      </c>
      <c r="E193" s="412" t="s">
        <v>577</v>
      </c>
      <c r="F193" s="412" t="s">
        <v>578</v>
      </c>
      <c r="G193" s="412" t="s">
        <v>579</v>
      </c>
      <c r="H193" s="413" t="s">
        <v>91</v>
      </c>
      <c r="I193" s="412" t="s">
        <v>580</v>
      </c>
      <c r="J193" s="414" t="s">
        <v>482</v>
      </c>
      <c r="K193" s="412" t="s">
        <v>581</v>
      </c>
      <c r="L193" s="415" t="s">
        <v>582</v>
      </c>
      <c r="M193" s="416"/>
      <c r="N193" s="416"/>
      <c r="O193" s="15"/>
      <c r="Q193" s="14"/>
      <c r="R193" s="175" t="s">
        <v>583</v>
      </c>
      <c r="S193" s="295" t="s">
        <v>584</v>
      </c>
      <c r="T193" s="14"/>
      <c r="U193" s="15"/>
      <c r="V193" s="13"/>
      <c r="W193" s="15"/>
      <c r="X193" s="14"/>
      <c r="Y193" s="14"/>
      <c r="Z193" s="15"/>
      <c r="AA193" s="2" t="s">
        <v>596</v>
      </c>
      <c r="AB193" s="179" t="s">
        <v>410</v>
      </c>
      <c r="AC193" s="180" t="s">
        <v>597</v>
      </c>
    </row>
    <row r="194" spans="1:29">
      <c r="C194" s="411"/>
      <c r="D194" s="411" t="e">
        <f t="shared" ref="D194:L194" si="37">MATCH(D193,$A$1:$A$192,0)</f>
        <v>#N/A</v>
      </c>
      <c r="E194" s="411" t="e">
        <f t="shared" si="37"/>
        <v>#N/A</v>
      </c>
      <c r="F194" s="411" t="e">
        <f t="shared" si="37"/>
        <v>#N/A</v>
      </c>
      <c r="G194" s="411" t="e">
        <f t="shared" si="37"/>
        <v>#N/A</v>
      </c>
      <c r="H194" s="411">
        <f t="shared" si="37"/>
        <v>14</v>
      </c>
      <c r="I194" s="411" t="e">
        <f t="shared" si="37"/>
        <v>#N/A</v>
      </c>
      <c r="J194" s="411" t="e">
        <f t="shared" si="37"/>
        <v>#N/A</v>
      </c>
      <c r="K194" s="411" t="e">
        <f t="shared" si="37"/>
        <v>#N/A</v>
      </c>
      <c r="L194" s="411" t="e">
        <f t="shared" si="37"/>
        <v>#N/A</v>
      </c>
      <c r="M194" s="411"/>
      <c r="N194" s="411"/>
      <c r="O194" s="13"/>
      <c r="Q194" s="13"/>
      <c r="R194" s="13"/>
      <c r="S194" s="296"/>
      <c r="T194" s="13"/>
      <c r="U194" s="13"/>
      <c r="V194" s="13"/>
      <c r="W194" s="15"/>
      <c r="X194" s="14"/>
      <c r="Y194" s="14"/>
      <c r="Z194" s="15"/>
      <c r="AA194" s="13" t="e">
        <f>MATCH(AA193,$A$1:$A$192,0)</f>
        <v>#N/A</v>
      </c>
      <c r="AB194" s="13">
        <f>MATCH(AB193,$A$1:$A$192,0)</f>
        <v>176</v>
      </c>
      <c r="AC194" s="13" t="e">
        <f>MATCH(AC193,$A$1:$A$192,0)</f>
        <v>#N/A</v>
      </c>
    </row>
    <row r="195" spans="1:29">
      <c r="A195" s="176" t="s">
        <v>1</v>
      </c>
      <c r="B195" s="417">
        <f>MATCH(A195,A1:O1,0)</f>
        <v>2</v>
      </c>
      <c r="C195" s="371" t="e">
        <f>D195+R195</f>
        <v>#N/A</v>
      </c>
      <c r="D195" s="371" t="e">
        <f>INDEX($A$1:$N$191,D$194,$B195)/1000-AB195+AC195+J195</f>
        <v>#N/A</v>
      </c>
      <c r="E195" s="371" t="e">
        <f>INDEX($A$1:$N$191,E$194,$B195)/1000</f>
        <v>#N/A</v>
      </c>
      <c r="F195" s="371" t="e">
        <f>INDEX($A$1:$N$191,F$194,$B195)/1000</f>
        <v>#N/A</v>
      </c>
      <c r="G195" s="371" t="e">
        <f>INDEX($A$1:$N$191,G$194,$B195)/1000</f>
        <v>#N/A</v>
      </c>
      <c r="H195" s="371">
        <f>INDEX($A$1:$N$191,H$194,$B195)/1000</f>
        <v>0</v>
      </c>
      <c r="I195" s="371" t="e">
        <f>INDEX($A$1:$N$191,I$194,$B195)/1000-H195</f>
        <v>#N/A</v>
      </c>
      <c r="J195" s="371" t="e">
        <f>INDEX($A$1:$N$191,J$194,$B195)/1000</f>
        <v>#N/A</v>
      </c>
      <c r="K195" s="371" t="e">
        <f>INDEX($A$1:$N$191,K$194,$B195)/1000</f>
        <v>#N/A</v>
      </c>
      <c r="L195" s="371" t="e">
        <f>INDEX($A$1:$N$191,L$194,$B195)/1000</f>
        <v>#N/A</v>
      </c>
      <c r="N195" s="371" t="e">
        <f>D195-SUM(E195:M195)</f>
        <v>#N/A</v>
      </c>
      <c r="O195" s="297"/>
      <c r="Q195" s="298"/>
      <c r="R195" s="299"/>
      <c r="T195" s="299"/>
      <c r="U195" s="299"/>
      <c r="V195" s="299"/>
      <c r="W195" s="299"/>
      <c r="X195" s="299"/>
      <c r="Y195" s="299"/>
      <c r="Z195" s="299"/>
      <c r="AA195" s="299" t="e">
        <f>INDEX($A$1:$N$191,AA$194,$B195)/1000-J195</f>
        <v>#N/A</v>
      </c>
      <c r="AB195" s="299">
        <f>INDEX($A$1:$N$191,AB$194,$B195)/1000</f>
        <v>0</v>
      </c>
      <c r="AC195" s="299" t="e">
        <f>INDEX($A$1:$N$191,AC$194,$B195)/1000</f>
        <v>#N/A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"/>
  <sheetViews>
    <sheetView zoomScale="80" zoomScaleNormal="80" workbookViewId="0">
      <pane xSplit="1" ySplit="2" topLeftCell="E30" activePane="bottomRight" state="frozen"/>
      <selection pane="topRight" activeCell="D1" sqref="D1"/>
      <selection pane="bottomLeft" activeCell="A3" sqref="A3"/>
      <selection pane="bottomRight" activeCell="H22" sqref="H22"/>
    </sheetView>
  </sheetViews>
  <sheetFormatPr defaultRowHeight="15.75" outlineLevelCol="1"/>
  <cols>
    <col min="1" max="1" width="35.7109375" style="158" customWidth="1"/>
    <col min="2" max="3" width="14.5703125" style="158" customWidth="1" outlineLevel="1"/>
    <col min="4" max="4" width="19" style="158" customWidth="1" outlineLevel="1"/>
    <col min="5" max="5" width="22.140625" style="158" customWidth="1" outlineLevel="1"/>
    <col min="6" max="6" width="23.42578125" style="158" customWidth="1" outlineLevel="1"/>
    <col min="7" max="7" width="19.85546875" style="158" customWidth="1" outlineLevel="1"/>
    <col min="8" max="8" width="20" style="158" customWidth="1" outlineLevel="1"/>
    <col min="9" max="9" width="19.5703125" style="158" customWidth="1" outlineLevel="1"/>
    <col min="10" max="14" width="14.5703125" style="158" customWidth="1" outlineLevel="1"/>
    <col min="15" max="15" width="18.5703125" style="158" customWidth="1" outlineLevel="1"/>
    <col min="16" max="16" width="16.140625" style="158" bestFit="1" customWidth="1"/>
    <col min="17" max="251" width="9.140625" style="158" customWidth="1"/>
    <col min="252" max="252" width="12" style="158" customWidth="1"/>
    <col min="253" max="265" width="15.5703125" style="158" customWidth="1"/>
    <col min="266" max="507" width="9.140625" style="158" customWidth="1"/>
    <col min="508" max="508" width="12" style="158" customWidth="1"/>
    <col min="509" max="521" width="15.5703125" style="158" customWidth="1"/>
    <col min="522" max="763" width="9.140625" style="158" customWidth="1"/>
    <col min="764" max="764" width="12" style="158" customWidth="1"/>
    <col min="765" max="777" width="15.5703125" style="158" customWidth="1"/>
    <col min="778" max="1019" width="9.140625" style="158" customWidth="1"/>
    <col min="1020" max="1020" width="12" style="158" customWidth="1"/>
    <col min="1021" max="1033" width="15.5703125" style="158" customWidth="1"/>
    <col min="1034" max="1275" width="9.140625" style="158" customWidth="1"/>
    <col min="1276" max="1276" width="12" style="158" customWidth="1"/>
    <col min="1277" max="1289" width="15.5703125" style="158" customWidth="1"/>
    <col min="1290" max="1531" width="9.140625" style="158" customWidth="1"/>
    <col min="1532" max="1532" width="12" style="158" customWidth="1"/>
    <col min="1533" max="1545" width="15.5703125" style="158" customWidth="1"/>
    <col min="1546" max="1787" width="9.140625" style="158" customWidth="1"/>
    <col min="1788" max="1788" width="12" style="158" customWidth="1"/>
    <col min="1789" max="1801" width="15.5703125" style="158" customWidth="1"/>
    <col min="1802" max="2043" width="9.140625" style="158" customWidth="1"/>
    <col min="2044" max="2044" width="12" style="158" customWidth="1"/>
    <col min="2045" max="2057" width="15.5703125" style="158" customWidth="1"/>
    <col min="2058" max="2299" width="9.140625" style="158" customWidth="1"/>
    <col min="2300" max="2300" width="12" style="158" customWidth="1"/>
    <col min="2301" max="2313" width="15.5703125" style="158" customWidth="1"/>
    <col min="2314" max="2555" width="9.140625" style="158" customWidth="1"/>
    <col min="2556" max="2556" width="12" style="158" customWidth="1"/>
    <col min="2557" max="2569" width="15.5703125" style="158" customWidth="1"/>
    <col min="2570" max="2811" width="9.140625" style="158" customWidth="1"/>
    <col min="2812" max="2812" width="12" style="158" customWidth="1"/>
    <col min="2813" max="2825" width="15.5703125" style="158" customWidth="1"/>
    <col min="2826" max="3067" width="9.140625" style="158" customWidth="1"/>
    <col min="3068" max="3068" width="12" style="158" customWidth="1"/>
    <col min="3069" max="3081" width="15.5703125" style="158" customWidth="1"/>
    <col min="3082" max="3323" width="9.140625" style="158" customWidth="1"/>
    <col min="3324" max="3324" width="12" style="158" customWidth="1"/>
    <col min="3325" max="3337" width="15.5703125" style="158" customWidth="1"/>
    <col min="3338" max="3579" width="9.140625" style="158" customWidth="1"/>
    <col min="3580" max="3580" width="12" style="158" customWidth="1"/>
    <col min="3581" max="3593" width="15.5703125" style="158" customWidth="1"/>
    <col min="3594" max="3835" width="9.140625" style="158" customWidth="1"/>
    <col min="3836" max="3836" width="12" style="158" customWidth="1"/>
    <col min="3837" max="3849" width="15.5703125" style="158" customWidth="1"/>
    <col min="3850" max="4091" width="9.140625" style="158" customWidth="1"/>
    <col min="4092" max="4092" width="12" style="158" customWidth="1"/>
    <col min="4093" max="4105" width="15.5703125" style="158" customWidth="1"/>
    <col min="4106" max="4347" width="9.140625" style="158" customWidth="1"/>
    <col min="4348" max="4348" width="12" style="158" customWidth="1"/>
    <col min="4349" max="4361" width="15.5703125" style="158" customWidth="1"/>
    <col min="4362" max="4603" width="9.140625" style="158" customWidth="1"/>
    <col min="4604" max="4604" width="12" style="158" customWidth="1"/>
    <col min="4605" max="4617" width="15.5703125" style="158" customWidth="1"/>
    <col min="4618" max="4859" width="9.140625" style="158" customWidth="1"/>
    <col min="4860" max="4860" width="12" style="158" customWidth="1"/>
    <col min="4861" max="4873" width="15.5703125" style="158" customWidth="1"/>
    <col min="4874" max="5115" width="9.140625" style="158" customWidth="1"/>
    <col min="5116" max="5116" width="12" style="158" customWidth="1"/>
    <col min="5117" max="5129" width="15.5703125" style="158" customWidth="1"/>
    <col min="5130" max="5371" width="9.140625" style="158" customWidth="1"/>
    <col min="5372" max="5372" width="12" style="158" customWidth="1"/>
    <col min="5373" max="5385" width="15.5703125" style="158" customWidth="1"/>
    <col min="5386" max="5627" width="9.140625" style="158" customWidth="1"/>
    <col min="5628" max="5628" width="12" style="158" customWidth="1"/>
    <col min="5629" max="5641" width="15.5703125" style="158" customWidth="1"/>
    <col min="5642" max="5883" width="9.140625" style="158" customWidth="1"/>
    <col min="5884" max="5884" width="12" style="158" customWidth="1"/>
    <col min="5885" max="5897" width="15.5703125" style="158" customWidth="1"/>
    <col min="5898" max="6139" width="9.140625" style="158" customWidth="1"/>
    <col min="6140" max="6140" width="12" style="158" customWidth="1"/>
    <col min="6141" max="6153" width="15.5703125" style="158" customWidth="1"/>
    <col min="6154" max="6395" width="9.140625" style="158" customWidth="1"/>
    <col min="6396" max="6396" width="12" style="158" customWidth="1"/>
    <col min="6397" max="6409" width="15.5703125" style="158" customWidth="1"/>
    <col min="6410" max="6651" width="9.140625" style="158" customWidth="1"/>
    <col min="6652" max="6652" width="12" style="158" customWidth="1"/>
    <col min="6653" max="6665" width="15.5703125" style="158" customWidth="1"/>
    <col min="6666" max="6907" width="9.140625" style="158" customWidth="1"/>
    <col min="6908" max="6908" width="12" style="158" customWidth="1"/>
    <col min="6909" max="6921" width="15.5703125" style="158" customWidth="1"/>
    <col min="6922" max="7163" width="9.140625" style="158" customWidth="1"/>
    <col min="7164" max="7164" width="12" style="158" customWidth="1"/>
    <col min="7165" max="7177" width="15.5703125" style="158" customWidth="1"/>
    <col min="7178" max="7419" width="9.140625" style="158" customWidth="1"/>
    <col min="7420" max="7420" width="12" style="158" customWidth="1"/>
    <col min="7421" max="7433" width="15.5703125" style="158" customWidth="1"/>
    <col min="7434" max="7675" width="9.140625" style="158" customWidth="1"/>
    <col min="7676" max="7676" width="12" style="158" customWidth="1"/>
    <col min="7677" max="7689" width="15.5703125" style="158" customWidth="1"/>
    <col min="7690" max="7931" width="9.140625" style="158" customWidth="1"/>
    <col min="7932" max="7932" width="12" style="158" customWidth="1"/>
    <col min="7933" max="7945" width="15.5703125" style="158" customWidth="1"/>
    <col min="7946" max="8187" width="9.140625" style="158" customWidth="1"/>
    <col min="8188" max="8188" width="12" style="158" customWidth="1"/>
    <col min="8189" max="8201" width="15.5703125" style="158" customWidth="1"/>
    <col min="8202" max="8443" width="9.140625" style="158" customWidth="1"/>
    <col min="8444" max="8444" width="12" style="158" customWidth="1"/>
    <col min="8445" max="8457" width="15.5703125" style="158" customWidth="1"/>
    <col min="8458" max="8699" width="9.140625" style="158" customWidth="1"/>
    <col min="8700" max="8700" width="12" style="158" customWidth="1"/>
    <col min="8701" max="8713" width="15.5703125" style="158" customWidth="1"/>
    <col min="8714" max="8955" width="9.140625" style="158" customWidth="1"/>
    <col min="8956" max="8956" width="12" style="158" customWidth="1"/>
    <col min="8957" max="8969" width="15.5703125" style="158" customWidth="1"/>
    <col min="8970" max="9211" width="9.140625" style="158" customWidth="1"/>
    <col min="9212" max="9212" width="12" style="158" customWidth="1"/>
    <col min="9213" max="9225" width="15.5703125" style="158" customWidth="1"/>
    <col min="9226" max="9467" width="9.140625" style="158" customWidth="1"/>
    <col min="9468" max="9468" width="12" style="158" customWidth="1"/>
    <col min="9469" max="9481" width="15.5703125" style="158" customWidth="1"/>
    <col min="9482" max="9723" width="9.140625" style="158" customWidth="1"/>
    <col min="9724" max="9724" width="12" style="158" customWidth="1"/>
    <col min="9725" max="9737" width="15.5703125" style="158" customWidth="1"/>
    <col min="9738" max="9979" width="9.140625" style="158" customWidth="1"/>
    <col min="9980" max="9980" width="12" style="158" customWidth="1"/>
    <col min="9981" max="9993" width="15.5703125" style="158" customWidth="1"/>
    <col min="9994" max="10235" width="9.140625" style="158" customWidth="1"/>
    <col min="10236" max="10236" width="12" style="158" customWidth="1"/>
    <col min="10237" max="10249" width="15.5703125" style="158" customWidth="1"/>
    <col min="10250" max="10491" width="9.140625" style="158" customWidth="1"/>
    <col min="10492" max="10492" width="12" style="158" customWidth="1"/>
    <col min="10493" max="10505" width="15.5703125" style="158" customWidth="1"/>
    <col min="10506" max="10747" width="9.140625" style="158" customWidth="1"/>
    <col min="10748" max="10748" width="12" style="158" customWidth="1"/>
    <col min="10749" max="10761" width="15.5703125" style="158" customWidth="1"/>
    <col min="10762" max="11003" width="9.140625" style="158" customWidth="1"/>
    <col min="11004" max="11004" width="12" style="158" customWidth="1"/>
    <col min="11005" max="11017" width="15.5703125" style="158" customWidth="1"/>
    <col min="11018" max="11259" width="9.140625" style="158" customWidth="1"/>
    <col min="11260" max="11260" width="12" style="158" customWidth="1"/>
    <col min="11261" max="11273" width="15.5703125" style="158" customWidth="1"/>
    <col min="11274" max="11515" width="9.140625" style="158" customWidth="1"/>
    <col min="11516" max="11516" width="12" style="158" customWidth="1"/>
    <col min="11517" max="11529" width="15.5703125" style="158" customWidth="1"/>
    <col min="11530" max="11771" width="9.140625" style="158" customWidth="1"/>
    <col min="11772" max="11772" width="12" style="158" customWidth="1"/>
    <col min="11773" max="11785" width="15.5703125" style="158" customWidth="1"/>
    <col min="11786" max="12027" width="9.140625" style="158" customWidth="1"/>
    <col min="12028" max="12028" width="12" style="158" customWidth="1"/>
    <col min="12029" max="12041" width="15.5703125" style="158" customWidth="1"/>
    <col min="12042" max="12283" width="9.140625" style="158" customWidth="1"/>
    <col min="12284" max="12284" width="12" style="158" customWidth="1"/>
    <col min="12285" max="12297" width="15.5703125" style="158" customWidth="1"/>
    <col min="12298" max="12539" width="9.140625" style="158" customWidth="1"/>
    <col min="12540" max="12540" width="12" style="158" customWidth="1"/>
    <col min="12541" max="12553" width="15.5703125" style="158" customWidth="1"/>
    <col min="12554" max="12795" width="9.140625" style="158" customWidth="1"/>
    <col min="12796" max="12796" width="12" style="158" customWidth="1"/>
    <col min="12797" max="12809" width="15.5703125" style="158" customWidth="1"/>
    <col min="12810" max="13051" width="9.140625" style="158" customWidth="1"/>
    <col min="13052" max="13052" width="12" style="158" customWidth="1"/>
    <col min="13053" max="13065" width="15.5703125" style="158" customWidth="1"/>
    <col min="13066" max="13307" width="9.140625" style="158" customWidth="1"/>
    <col min="13308" max="13308" width="12" style="158" customWidth="1"/>
    <col min="13309" max="13321" width="15.5703125" style="158" customWidth="1"/>
    <col min="13322" max="13563" width="9.140625" style="158" customWidth="1"/>
    <col min="13564" max="13564" width="12" style="158" customWidth="1"/>
    <col min="13565" max="13577" width="15.5703125" style="158" customWidth="1"/>
    <col min="13578" max="13819" width="9.140625" style="158" customWidth="1"/>
    <col min="13820" max="13820" width="12" style="158" customWidth="1"/>
    <col min="13821" max="13833" width="15.5703125" style="158" customWidth="1"/>
    <col min="13834" max="14075" width="9.140625" style="158" customWidth="1"/>
    <col min="14076" max="14076" width="12" style="158" customWidth="1"/>
    <col min="14077" max="14089" width="15.5703125" style="158" customWidth="1"/>
    <col min="14090" max="14331" width="9.140625" style="158" customWidth="1"/>
    <col min="14332" max="14332" width="12" style="158" customWidth="1"/>
    <col min="14333" max="14345" width="15.5703125" style="158" customWidth="1"/>
    <col min="14346" max="14587" width="9.140625" style="158" customWidth="1"/>
    <col min="14588" max="14588" width="12" style="158" customWidth="1"/>
    <col min="14589" max="14601" width="15.5703125" style="158" customWidth="1"/>
    <col min="14602" max="14843" width="9.140625" style="158" customWidth="1"/>
    <col min="14844" max="14844" width="12" style="158" customWidth="1"/>
    <col min="14845" max="14857" width="15.5703125" style="158" customWidth="1"/>
    <col min="14858" max="15099" width="9.140625" style="158" customWidth="1"/>
    <col min="15100" max="15100" width="12" style="158" customWidth="1"/>
    <col min="15101" max="15113" width="15.5703125" style="158" customWidth="1"/>
    <col min="15114" max="15355" width="9.140625" style="158" customWidth="1"/>
    <col min="15356" max="15356" width="12" style="158" customWidth="1"/>
    <col min="15357" max="15369" width="15.5703125" style="158" customWidth="1"/>
    <col min="15370" max="15611" width="9.140625" style="158" customWidth="1"/>
    <col min="15612" max="15612" width="12" style="158" customWidth="1"/>
    <col min="15613" max="15625" width="15.5703125" style="158" customWidth="1"/>
    <col min="15626" max="15867" width="9.140625" style="158" customWidth="1"/>
    <col min="15868" max="15868" width="12" style="158" customWidth="1"/>
    <col min="15869" max="15881" width="15.5703125" style="158" customWidth="1"/>
    <col min="15882" max="16123" width="9.140625" style="158" customWidth="1"/>
    <col min="16124" max="16124" width="12" style="158" customWidth="1"/>
    <col min="16125" max="16137" width="15.5703125" style="158" customWidth="1"/>
    <col min="16138" max="16384" width="9.140625" style="158" customWidth="1"/>
  </cols>
  <sheetData>
    <row r="1" spans="1:17" ht="27.75" customHeight="1">
      <c r="A1" s="181"/>
      <c r="B1" s="441">
        <v>46022</v>
      </c>
      <c r="C1" s="441">
        <v>46053</v>
      </c>
      <c r="D1" s="441">
        <v>46081</v>
      </c>
      <c r="E1" s="441">
        <v>46112</v>
      </c>
      <c r="F1" s="441">
        <v>46142</v>
      </c>
      <c r="G1" s="441">
        <v>46173</v>
      </c>
      <c r="H1" s="441">
        <v>46203</v>
      </c>
      <c r="I1" s="441">
        <v>46234</v>
      </c>
      <c r="J1" s="441">
        <v>46265</v>
      </c>
      <c r="K1" s="441">
        <v>46295</v>
      </c>
      <c r="L1" s="441">
        <v>46326</v>
      </c>
      <c r="M1" s="441">
        <v>46356</v>
      </c>
      <c r="N1" s="441">
        <v>46387</v>
      </c>
      <c r="O1" s="442"/>
      <c r="Q1" s="521">
        <f>+G1</f>
        <v>46173</v>
      </c>
    </row>
    <row r="2" spans="1:17" ht="16.149999999999999" customHeight="1">
      <c r="A2" s="182" t="s">
        <v>598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4"/>
      <c r="Q2" s="158">
        <f>-(G9-G20)/1000</f>
        <v>-828.6788600000001</v>
      </c>
    </row>
    <row r="3" spans="1:17">
      <c r="A3" s="183" t="s">
        <v>599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303"/>
    </row>
    <row r="4" spans="1:17">
      <c r="A4" s="184" t="s">
        <v>600</v>
      </c>
      <c r="B4" s="304"/>
      <c r="C4" s="304"/>
      <c r="D4" s="506"/>
      <c r="E4" s="503">
        <v>50072.57</v>
      </c>
      <c r="F4" s="503">
        <v>166003.53</v>
      </c>
      <c r="G4" s="503">
        <v>174229.79</v>
      </c>
      <c r="H4" s="225">
        <v>643865.9</v>
      </c>
      <c r="I4" s="304"/>
      <c r="J4" s="304"/>
      <c r="K4" s="304"/>
      <c r="L4" s="304"/>
      <c r="M4" s="304"/>
      <c r="N4" s="304"/>
      <c r="O4" s="305"/>
      <c r="P4" s="303"/>
    </row>
    <row r="5" spans="1:17">
      <c r="A5" s="184" t="s">
        <v>601</v>
      </c>
      <c r="B5" s="304"/>
      <c r="C5" s="304"/>
      <c r="D5" s="503">
        <v>11688.95</v>
      </c>
      <c r="E5" s="503">
        <v>2944817.91</v>
      </c>
      <c r="F5" s="503">
        <v>393968.96</v>
      </c>
      <c r="G5" s="503">
        <v>1539376.41</v>
      </c>
      <c r="H5" s="225">
        <v>579478.31000000006</v>
      </c>
      <c r="I5" s="304"/>
      <c r="J5" s="304"/>
      <c r="K5" s="304"/>
      <c r="L5" s="304"/>
      <c r="M5" s="304"/>
      <c r="N5" s="304"/>
      <c r="O5" s="305"/>
      <c r="P5" s="303"/>
    </row>
    <row r="6" spans="1:17">
      <c r="A6" s="184" t="s">
        <v>602</v>
      </c>
      <c r="B6" s="304"/>
      <c r="C6" s="304"/>
      <c r="D6" s="502">
        <v>405812</v>
      </c>
      <c r="E6" s="503">
        <v>209552.61</v>
      </c>
      <c r="F6" s="503">
        <v>174126.4</v>
      </c>
      <c r="G6" s="503">
        <v>48924.81</v>
      </c>
      <c r="H6" s="225">
        <v>62537.58</v>
      </c>
      <c r="I6" s="304"/>
      <c r="J6" s="304"/>
      <c r="K6" s="304"/>
      <c r="L6" s="304"/>
      <c r="M6" s="304"/>
      <c r="N6" s="304"/>
      <c r="O6" s="305"/>
      <c r="P6" s="303"/>
    </row>
    <row r="7" spans="1:17">
      <c r="A7" s="184" t="s">
        <v>603</v>
      </c>
      <c r="B7" s="306"/>
      <c r="C7" s="306"/>
      <c r="D7" s="507"/>
      <c r="E7" s="505">
        <v>-70000</v>
      </c>
      <c r="F7" s="505">
        <v>-96620</v>
      </c>
      <c r="G7" s="505">
        <v>-45638.400000000001</v>
      </c>
      <c r="H7" s="225">
        <v>-19100.080000000002</v>
      </c>
      <c r="I7" s="306"/>
      <c r="J7" s="306"/>
      <c r="K7" s="306"/>
      <c r="L7" s="306"/>
      <c r="M7" s="306"/>
      <c r="N7" s="306"/>
      <c r="O7" s="307"/>
      <c r="P7" s="303"/>
    </row>
    <row r="8" spans="1:17">
      <c r="A8" s="184" t="s">
        <v>604</v>
      </c>
      <c r="B8" s="304"/>
      <c r="C8" s="304"/>
      <c r="D8" s="506"/>
      <c r="E8" s="503">
        <v>-3000</v>
      </c>
      <c r="F8" s="503">
        <f>27333.99-17446.47</f>
        <v>9887.52</v>
      </c>
      <c r="G8" s="503">
        <f>29259.99</f>
        <v>29259.99</v>
      </c>
      <c r="H8" s="225">
        <v>922511.1</v>
      </c>
      <c r="I8" s="304"/>
      <c r="J8" s="304"/>
      <c r="K8" s="304"/>
      <c r="L8" s="304"/>
      <c r="M8" s="304"/>
      <c r="N8" s="304"/>
      <c r="O8" s="305"/>
      <c r="P8" s="303"/>
    </row>
    <row r="9" spans="1:17">
      <c r="A9" s="184" t="s">
        <v>605</v>
      </c>
      <c r="B9" s="304"/>
      <c r="C9" s="304"/>
      <c r="D9" s="502">
        <v>474058.45</v>
      </c>
      <c r="E9" s="503">
        <v>2318952.84</v>
      </c>
      <c r="F9" s="503">
        <v>3001149.02</v>
      </c>
      <c r="G9" s="503">
        <v>2722690.54</v>
      </c>
      <c r="H9" s="225">
        <v>2687852.22</v>
      </c>
      <c r="I9" s="304"/>
      <c r="J9" s="304"/>
      <c r="K9" s="304"/>
      <c r="L9" s="304"/>
      <c r="M9" s="304"/>
      <c r="N9" s="304"/>
      <c r="O9" s="305"/>
      <c r="P9" s="303"/>
    </row>
    <row r="10" spans="1:17">
      <c r="A10" s="185" t="s">
        <v>606</v>
      </c>
      <c r="B10" s="308">
        <f t="shared" ref="B10:N10" si="0">SUM(B4:B9)</f>
        <v>0</v>
      </c>
      <c r="C10" s="308">
        <f t="shared" si="0"/>
        <v>0</v>
      </c>
      <c r="D10" s="308">
        <f t="shared" si="0"/>
        <v>891559.4</v>
      </c>
      <c r="E10" s="308">
        <f t="shared" si="0"/>
        <v>5450395.9299999997</v>
      </c>
      <c r="F10" s="308">
        <f t="shared" si="0"/>
        <v>3648515.43</v>
      </c>
      <c r="G10" s="308">
        <f t="shared" si="0"/>
        <v>4468843.1400000006</v>
      </c>
      <c r="H10" s="308">
        <f t="shared" si="0"/>
        <v>4877145.03</v>
      </c>
      <c r="I10" s="308">
        <f t="shared" si="0"/>
        <v>0</v>
      </c>
      <c r="J10" s="308">
        <f t="shared" si="0"/>
        <v>0</v>
      </c>
      <c r="K10" s="308">
        <f t="shared" si="0"/>
        <v>0</v>
      </c>
      <c r="L10" s="308">
        <f t="shared" si="0"/>
        <v>0</v>
      </c>
      <c r="M10" s="308">
        <f t="shared" si="0"/>
        <v>0</v>
      </c>
      <c r="N10" s="308">
        <f t="shared" si="0"/>
        <v>0</v>
      </c>
      <c r="O10" s="308"/>
      <c r="P10" s="308"/>
    </row>
    <row r="11" spans="1:17">
      <c r="A11" s="186" t="s">
        <v>607</v>
      </c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3"/>
      <c r="P11" s="303"/>
    </row>
    <row r="12" spans="1:17">
      <c r="A12" s="184" t="s">
        <v>608</v>
      </c>
      <c r="B12" s="310"/>
      <c r="C12" s="310"/>
      <c r="D12" s="225">
        <v>45981732.939999998</v>
      </c>
      <c r="E12" s="225">
        <v>53336355.289999999</v>
      </c>
      <c r="F12" s="225">
        <v>55126452.130000003</v>
      </c>
      <c r="G12" s="225">
        <v>56899699.479999997</v>
      </c>
      <c r="H12" s="225">
        <v>57501542.439999998</v>
      </c>
      <c r="I12" s="310"/>
      <c r="J12" s="310"/>
      <c r="K12" s="310"/>
      <c r="L12" s="310"/>
      <c r="M12" s="310"/>
      <c r="N12" s="310"/>
      <c r="O12" s="305"/>
      <c r="P12" s="303"/>
    </row>
    <row r="13" spans="1:17">
      <c r="A13" s="184" t="s">
        <v>609</v>
      </c>
      <c r="B13" s="267"/>
      <c r="C13" s="267"/>
      <c r="D13" s="225">
        <v>22609581.710000001</v>
      </c>
      <c r="E13" s="519">
        <v>26301554.07</v>
      </c>
      <c r="F13" s="225">
        <v>26841220.949999999</v>
      </c>
      <c r="G13" s="225">
        <v>31848980.460000001</v>
      </c>
      <c r="H13" s="225">
        <v>32538727.52</v>
      </c>
      <c r="I13" s="267"/>
      <c r="J13" s="267"/>
      <c r="K13" s="267"/>
      <c r="L13" s="267"/>
      <c r="M13" s="267"/>
      <c r="N13" s="267"/>
      <c r="O13" s="307"/>
      <c r="P13" s="303"/>
    </row>
    <row r="14" spans="1:17">
      <c r="A14" s="185" t="s">
        <v>610</v>
      </c>
      <c r="B14" s="311">
        <f t="shared" ref="B14:N14" si="1">SUM(B12:B13)</f>
        <v>0</v>
      </c>
      <c r="C14" s="311">
        <f t="shared" si="1"/>
        <v>0</v>
      </c>
      <c r="D14" s="311">
        <f t="shared" si="1"/>
        <v>68591314.650000006</v>
      </c>
      <c r="E14" s="311">
        <f t="shared" si="1"/>
        <v>79637909.359999999</v>
      </c>
      <c r="F14" s="311">
        <f t="shared" si="1"/>
        <v>81967673.079999998</v>
      </c>
      <c r="G14" s="311">
        <f t="shared" si="1"/>
        <v>88748679.939999998</v>
      </c>
      <c r="H14" s="311">
        <f t="shared" si="1"/>
        <v>90040269.959999993</v>
      </c>
      <c r="I14" s="311">
        <f t="shared" si="1"/>
        <v>0</v>
      </c>
      <c r="J14" s="311">
        <f t="shared" si="1"/>
        <v>0</v>
      </c>
      <c r="K14" s="311">
        <f t="shared" si="1"/>
        <v>0</v>
      </c>
      <c r="L14" s="311">
        <f t="shared" si="1"/>
        <v>0</v>
      </c>
      <c r="M14" s="311">
        <f t="shared" si="1"/>
        <v>0</v>
      </c>
      <c r="N14" s="311">
        <f t="shared" si="1"/>
        <v>0</v>
      </c>
      <c r="O14" s="312"/>
      <c r="P14" s="303"/>
    </row>
    <row r="15" spans="1:17">
      <c r="A15" s="187" t="s">
        <v>611</v>
      </c>
      <c r="B15" s="313">
        <f t="shared" ref="B15:N15" si="2">B14+B10</f>
        <v>0</v>
      </c>
      <c r="C15" s="313">
        <f t="shared" si="2"/>
        <v>0</v>
      </c>
      <c r="D15" s="313">
        <f t="shared" si="2"/>
        <v>69482874.050000012</v>
      </c>
      <c r="E15" s="313">
        <f t="shared" si="2"/>
        <v>85088305.289999992</v>
      </c>
      <c r="F15" s="313">
        <f t="shared" si="2"/>
        <v>85616188.510000005</v>
      </c>
      <c r="G15" s="313">
        <f t="shared" si="2"/>
        <v>93217523.079999998</v>
      </c>
      <c r="H15" s="313">
        <f t="shared" si="2"/>
        <v>94917414.989999995</v>
      </c>
      <c r="I15" s="313">
        <f t="shared" si="2"/>
        <v>0</v>
      </c>
      <c r="J15" s="313">
        <f t="shared" si="2"/>
        <v>0</v>
      </c>
      <c r="K15" s="313">
        <f t="shared" si="2"/>
        <v>0</v>
      </c>
      <c r="L15" s="313">
        <f t="shared" si="2"/>
        <v>0</v>
      </c>
      <c r="M15" s="313">
        <f t="shared" si="2"/>
        <v>0</v>
      </c>
      <c r="N15" s="313">
        <f t="shared" si="2"/>
        <v>0</v>
      </c>
      <c r="O15" s="314"/>
      <c r="P15" s="303"/>
    </row>
    <row r="16" spans="1:17" ht="16.149999999999999" customHeight="1">
      <c r="A16" s="188" t="s">
        <v>612</v>
      </c>
      <c r="B16" s="315"/>
      <c r="C16" s="315"/>
      <c r="D16" s="315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2"/>
      <c r="P16" s="303"/>
    </row>
    <row r="17" spans="1:16">
      <c r="A17" s="186" t="s">
        <v>613</v>
      </c>
      <c r="B17" s="316"/>
      <c r="C17" s="316"/>
      <c r="D17" s="501"/>
      <c r="E17" s="501"/>
      <c r="F17" s="501"/>
      <c r="G17" s="316"/>
      <c r="H17" s="316"/>
      <c r="I17" s="316"/>
      <c r="J17" s="316"/>
      <c r="K17" s="316"/>
      <c r="L17" s="316"/>
      <c r="M17" s="316"/>
      <c r="N17" s="316"/>
      <c r="O17" s="317"/>
      <c r="P17" s="303"/>
    </row>
    <row r="18" spans="1:16">
      <c r="A18" s="184" t="s">
        <v>614</v>
      </c>
      <c r="B18" s="318"/>
      <c r="C18" s="304"/>
      <c r="D18" s="502">
        <v>5017381.1399999997</v>
      </c>
      <c r="E18" s="502">
        <v>6355983.9199999999</v>
      </c>
      <c r="F18" s="503">
        <v>5216340.7</v>
      </c>
      <c r="G18" s="503">
        <v>6298090.75</v>
      </c>
      <c r="H18" s="225">
        <v>6436219.1900000004</v>
      </c>
      <c r="I18" s="304"/>
      <c r="J18" s="304"/>
      <c r="K18" s="304"/>
      <c r="L18" s="304"/>
      <c r="M18" s="319"/>
      <c r="N18" s="318"/>
      <c r="O18" s="305"/>
      <c r="P18" s="303"/>
    </row>
    <row r="19" spans="1:16">
      <c r="A19" s="189" t="s">
        <v>615</v>
      </c>
      <c r="B19" s="320"/>
      <c r="C19" s="320"/>
      <c r="D19" s="504"/>
      <c r="E19" s="504"/>
      <c r="F19" s="504"/>
      <c r="G19" s="320"/>
      <c r="H19" s="320"/>
      <c r="I19" s="320"/>
      <c r="J19" s="320"/>
      <c r="K19" s="320"/>
      <c r="L19" s="320"/>
      <c r="M19" s="320"/>
      <c r="N19" s="320"/>
      <c r="O19" s="321"/>
      <c r="P19" s="303"/>
    </row>
    <row r="20" spans="1:16">
      <c r="A20" s="184" t="s">
        <v>616</v>
      </c>
      <c r="B20" s="320"/>
      <c r="C20" s="320"/>
      <c r="D20" s="504"/>
      <c r="E20" s="503">
        <f>-1757749*2+1948891.68</f>
        <v>-1566606.32</v>
      </c>
      <c r="F20" s="503">
        <v>1855386.98</v>
      </c>
      <c r="G20" s="519">
        <v>1894011.68</v>
      </c>
      <c r="H20" s="519">
        <v>1806923.73</v>
      </c>
      <c r="I20" s="320"/>
      <c r="J20" s="320"/>
      <c r="K20" s="320"/>
      <c r="L20" s="320"/>
      <c r="M20" s="320"/>
      <c r="N20" s="320"/>
      <c r="O20" s="321"/>
      <c r="P20" s="303"/>
    </row>
    <row r="21" spans="1:16">
      <c r="A21" s="184" t="s">
        <v>617</v>
      </c>
      <c r="B21" s="319"/>
      <c r="C21" s="319"/>
      <c r="D21" s="505">
        <v>-6191978.2999999998</v>
      </c>
      <c r="E21" s="505">
        <v>-191142.68</v>
      </c>
      <c r="F21" s="505">
        <v>-4269661.03</v>
      </c>
      <c r="G21" s="505">
        <v>-51312.6</v>
      </c>
      <c r="H21" s="519">
        <v>84531.66</v>
      </c>
      <c r="I21" s="319"/>
      <c r="J21" s="319"/>
      <c r="K21" s="319"/>
      <c r="L21" s="319"/>
      <c r="M21" s="319"/>
      <c r="N21" s="319"/>
      <c r="O21" s="322"/>
      <c r="P21" s="303"/>
    </row>
    <row r="22" spans="1:16">
      <c r="A22" s="189" t="s">
        <v>618</v>
      </c>
      <c r="B22" s="304"/>
      <c r="C22" s="304"/>
      <c r="D22" s="505">
        <v>-49262.93</v>
      </c>
      <c r="E22" s="502">
        <v>6913.83</v>
      </c>
      <c r="F22" s="503">
        <v>77156.88</v>
      </c>
      <c r="G22" s="503">
        <v>219836.18</v>
      </c>
      <c r="H22" s="225">
        <v>360894.18</v>
      </c>
      <c r="I22" s="304"/>
      <c r="J22" s="304"/>
      <c r="K22" s="304"/>
      <c r="L22" s="304"/>
      <c r="M22" s="304"/>
      <c r="N22" s="304"/>
      <c r="O22" s="305"/>
      <c r="P22" s="303"/>
    </row>
    <row r="23" spans="1:16">
      <c r="A23" s="184" t="s">
        <v>619</v>
      </c>
      <c r="B23" s="304"/>
      <c r="C23" s="304"/>
      <c r="D23" s="502">
        <v>654421.79</v>
      </c>
      <c r="E23" s="502">
        <v>1830983.04</v>
      </c>
      <c r="F23" s="503">
        <v>2116145.98</v>
      </c>
      <c r="G23" s="503">
        <v>2163261.94</v>
      </c>
      <c r="H23" s="225">
        <v>1883777.47</v>
      </c>
      <c r="I23" s="304"/>
      <c r="J23" s="304"/>
      <c r="K23" s="304"/>
      <c r="L23" s="304"/>
      <c r="M23" s="304"/>
      <c r="N23" s="304"/>
      <c r="O23" s="305"/>
      <c r="P23" s="303"/>
    </row>
    <row r="24" spans="1:16">
      <c r="A24" s="184" t="s">
        <v>620</v>
      </c>
      <c r="B24" s="304"/>
      <c r="C24" s="304"/>
      <c r="D24" s="502"/>
      <c r="E24" s="502">
        <v>-58618</v>
      </c>
      <c r="F24" s="503"/>
      <c r="G24" s="304"/>
      <c r="H24" s="304"/>
      <c r="I24" s="304"/>
      <c r="J24" s="304"/>
      <c r="K24" s="304"/>
      <c r="L24" s="304"/>
      <c r="M24" s="304"/>
      <c r="N24" s="304"/>
      <c r="O24" s="305"/>
      <c r="P24" s="303"/>
    </row>
    <row r="25" spans="1:16">
      <c r="A25" s="184" t="s">
        <v>621</v>
      </c>
      <c r="B25" s="304"/>
      <c r="C25" s="304"/>
      <c r="D25" s="506"/>
      <c r="E25" s="506"/>
      <c r="F25" s="506"/>
      <c r="G25" s="304"/>
      <c r="H25" s="304"/>
      <c r="I25" s="304"/>
      <c r="J25" s="304"/>
      <c r="K25" s="304"/>
      <c r="L25" s="304"/>
      <c r="M25" s="304"/>
      <c r="N25" s="304"/>
      <c r="O25" s="305"/>
      <c r="P25" s="303"/>
    </row>
    <row r="26" spans="1:16">
      <c r="A26" s="189" t="s">
        <v>622</v>
      </c>
      <c r="B26" s="320"/>
      <c r="C26" s="320"/>
      <c r="D26" s="504"/>
      <c r="E26" s="504"/>
      <c r="F26" s="504"/>
      <c r="G26" s="320"/>
      <c r="H26" s="320"/>
      <c r="I26" s="320"/>
      <c r="J26" s="320"/>
      <c r="K26" s="320"/>
      <c r="L26" s="320"/>
      <c r="M26" s="320"/>
      <c r="N26" s="320"/>
      <c r="O26" s="321"/>
      <c r="P26" s="303"/>
    </row>
    <row r="27" spans="1:16">
      <c r="A27" s="184" t="s">
        <v>623</v>
      </c>
      <c r="B27" s="304"/>
      <c r="C27" s="304"/>
      <c r="D27" s="502">
        <v>70052312.349999994</v>
      </c>
      <c r="E27" s="502">
        <v>77514493.390000001</v>
      </c>
      <c r="F27" s="503">
        <v>77629613.390000001</v>
      </c>
      <c r="G27" s="503">
        <v>77629613.390000001</v>
      </c>
      <c r="H27" s="225">
        <v>77629613.390000001</v>
      </c>
      <c r="I27" s="304"/>
      <c r="J27" s="304"/>
      <c r="K27" s="304"/>
      <c r="L27" s="304"/>
      <c r="M27" s="304"/>
      <c r="N27" s="304"/>
      <c r="O27" s="305"/>
      <c r="P27" s="303"/>
    </row>
    <row r="28" spans="1:16">
      <c r="A28" s="185" t="s">
        <v>606</v>
      </c>
      <c r="B28" s="308">
        <f t="shared" ref="B28:N28" si="3">SUM(B18:B27)</f>
        <v>0</v>
      </c>
      <c r="C28" s="308">
        <f t="shared" si="3"/>
        <v>0</v>
      </c>
      <c r="D28" s="308">
        <f t="shared" si="3"/>
        <v>69482874.049999997</v>
      </c>
      <c r="E28" s="308">
        <f t="shared" si="3"/>
        <v>83892007.180000007</v>
      </c>
      <c r="F28" s="308">
        <f t="shared" si="3"/>
        <v>82624982.900000006</v>
      </c>
      <c r="G28" s="308">
        <f t="shared" si="3"/>
        <v>88153501.340000004</v>
      </c>
      <c r="H28" s="308">
        <f t="shared" si="3"/>
        <v>88201959.620000005</v>
      </c>
      <c r="I28" s="308">
        <f t="shared" si="3"/>
        <v>0</v>
      </c>
      <c r="J28" s="308">
        <f t="shared" si="3"/>
        <v>0</v>
      </c>
      <c r="K28" s="308">
        <f t="shared" si="3"/>
        <v>0</v>
      </c>
      <c r="L28" s="308">
        <f t="shared" si="3"/>
        <v>0</v>
      </c>
      <c r="M28" s="308">
        <f t="shared" si="3"/>
        <v>0</v>
      </c>
      <c r="N28" s="308">
        <f t="shared" si="3"/>
        <v>0</v>
      </c>
      <c r="O28" s="308"/>
      <c r="P28" s="308"/>
    </row>
    <row r="29" spans="1:16">
      <c r="A29" s="186" t="s">
        <v>624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3"/>
      <c r="P29" s="303"/>
    </row>
    <row r="30" spans="1:16">
      <c r="A30" s="190" t="s">
        <v>625</v>
      </c>
      <c r="B30" s="309">
        <f t="shared" ref="B30:N30" si="4">B15-B28</f>
        <v>0</v>
      </c>
      <c r="C30" s="309">
        <f t="shared" si="4"/>
        <v>0</v>
      </c>
      <c r="D30" s="309">
        <f t="shared" si="4"/>
        <v>0</v>
      </c>
      <c r="E30" s="309">
        <f t="shared" si="4"/>
        <v>1196298.1099999845</v>
      </c>
      <c r="F30" s="309">
        <f t="shared" si="4"/>
        <v>2991205.6099999994</v>
      </c>
      <c r="G30" s="309">
        <f t="shared" si="4"/>
        <v>5064021.7399999946</v>
      </c>
      <c r="H30" s="309">
        <f t="shared" si="4"/>
        <v>6715455.3699999899</v>
      </c>
      <c r="I30" s="309">
        <f t="shared" si="4"/>
        <v>0</v>
      </c>
      <c r="J30" s="309">
        <f t="shared" si="4"/>
        <v>0</v>
      </c>
      <c r="K30" s="309">
        <f t="shared" si="4"/>
        <v>0</v>
      </c>
      <c r="L30" s="309">
        <f t="shared" si="4"/>
        <v>0</v>
      </c>
      <c r="M30" s="309">
        <f t="shared" si="4"/>
        <v>0</v>
      </c>
      <c r="N30" s="309">
        <f t="shared" si="4"/>
        <v>0</v>
      </c>
      <c r="O30" s="303"/>
      <c r="P30" s="303"/>
    </row>
    <row r="31" spans="1:16">
      <c r="A31" s="190" t="s">
        <v>626</v>
      </c>
      <c r="B31" s="309"/>
      <c r="C31" s="309">
        <f t="shared" ref="C31:N31" si="5">B30</f>
        <v>0</v>
      </c>
      <c r="D31" s="309">
        <f t="shared" si="5"/>
        <v>0</v>
      </c>
      <c r="E31" s="309">
        <f t="shared" si="5"/>
        <v>0</v>
      </c>
      <c r="F31" s="309">
        <f t="shared" si="5"/>
        <v>1196298.1099999845</v>
      </c>
      <c r="G31" s="309">
        <f t="shared" si="5"/>
        <v>2991205.6099999994</v>
      </c>
      <c r="H31" s="309">
        <f t="shared" si="5"/>
        <v>5064021.7399999946</v>
      </c>
      <c r="I31" s="309">
        <f t="shared" si="5"/>
        <v>6715455.3699999899</v>
      </c>
      <c r="J31" s="309">
        <f t="shared" si="5"/>
        <v>0</v>
      </c>
      <c r="K31" s="309">
        <f t="shared" si="5"/>
        <v>0</v>
      </c>
      <c r="L31" s="309">
        <f t="shared" si="5"/>
        <v>0</v>
      </c>
      <c r="M31" s="309">
        <f t="shared" si="5"/>
        <v>0</v>
      </c>
      <c r="N31" s="309">
        <f t="shared" si="5"/>
        <v>0</v>
      </c>
      <c r="O31" s="303"/>
      <c r="P31" s="303"/>
    </row>
    <row r="32" spans="1:16">
      <c r="A32" s="185" t="s">
        <v>610</v>
      </c>
      <c r="B32" s="311">
        <f t="shared" ref="B32:N32" si="6">SUM(B30)</f>
        <v>0</v>
      </c>
      <c r="C32" s="311">
        <f t="shared" si="6"/>
        <v>0</v>
      </c>
      <c r="D32" s="311">
        <f t="shared" si="6"/>
        <v>0</v>
      </c>
      <c r="E32" s="311">
        <f t="shared" si="6"/>
        <v>1196298.1099999845</v>
      </c>
      <c r="F32" s="311">
        <f t="shared" si="6"/>
        <v>2991205.6099999994</v>
      </c>
      <c r="G32" s="311">
        <f t="shared" si="6"/>
        <v>5064021.7399999946</v>
      </c>
      <c r="H32" s="311">
        <f t="shared" si="6"/>
        <v>6715455.3699999899</v>
      </c>
      <c r="I32" s="311">
        <f t="shared" si="6"/>
        <v>0</v>
      </c>
      <c r="J32" s="311">
        <f t="shared" si="6"/>
        <v>0</v>
      </c>
      <c r="K32" s="311">
        <f t="shared" si="6"/>
        <v>0</v>
      </c>
      <c r="L32" s="311">
        <f t="shared" si="6"/>
        <v>0</v>
      </c>
      <c r="M32" s="311">
        <f t="shared" si="6"/>
        <v>0</v>
      </c>
      <c r="N32" s="311">
        <f t="shared" si="6"/>
        <v>0</v>
      </c>
      <c r="O32" s="311"/>
      <c r="P32" s="303"/>
    </row>
    <row r="33" spans="1:16">
      <c r="A33" s="187" t="s">
        <v>611</v>
      </c>
      <c r="B33" s="313">
        <f t="shared" ref="B33:N33" si="7">B32+B28</f>
        <v>0</v>
      </c>
      <c r="C33" s="313">
        <f t="shared" si="7"/>
        <v>0</v>
      </c>
      <c r="D33" s="313">
        <f t="shared" si="7"/>
        <v>69482874.049999997</v>
      </c>
      <c r="E33" s="313">
        <f t="shared" si="7"/>
        <v>85088305.289999992</v>
      </c>
      <c r="F33" s="313">
        <f t="shared" si="7"/>
        <v>85616188.510000005</v>
      </c>
      <c r="G33" s="313">
        <f t="shared" si="7"/>
        <v>93217523.079999998</v>
      </c>
      <c r="H33" s="313">
        <f t="shared" si="7"/>
        <v>94917414.989999995</v>
      </c>
      <c r="I33" s="313">
        <f t="shared" si="7"/>
        <v>0</v>
      </c>
      <c r="J33" s="313">
        <f t="shared" si="7"/>
        <v>0</v>
      </c>
      <c r="K33" s="313">
        <f t="shared" si="7"/>
        <v>0</v>
      </c>
      <c r="L33" s="313">
        <f t="shared" si="7"/>
        <v>0</v>
      </c>
      <c r="M33" s="313">
        <f t="shared" si="7"/>
        <v>0</v>
      </c>
      <c r="N33" s="313">
        <f t="shared" si="7"/>
        <v>0</v>
      </c>
      <c r="O33" s="314"/>
      <c r="P33" s="313"/>
    </row>
    <row r="34" spans="1:16">
      <c r="A34" s="191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02"/>
      <c r="P34" s="303"/>
    </row>
    <row r="35" spans="1:16">
      <c r="A35" s="192" t="s">
        <v>627</v>
      </c>
      <c r="B35" s="324">
        <f>[1]баланс!$P$38</f>
        <v>33798.320000004023</v>
      </c>
      <c r="C35" s="324">
        <f t="shared" ref="C35:N35" si="8">C30-C31</f>
        <v>0</v>
      </c>
      <c r="D35" s="324">
        <f t="shared" si="8"/>
        <v>0</v>
      </c>
      <c r="E35" s="324">
        <f t="shared" si="8"/>
        <v>1196298.1099999845</v>
      </c>
      <c r="F35" s="324">
        <f t="shared" si="8"/>
        <v>1794907.5000000149</v>
      </c>
      <c r="G35" s="324">
        <f t="shared" si="8"/>
        <v>2072816.1299999952</v>
      </c>
      <c r="H35" s="324">
        <f t="shared" si="8"/>
        <v>1651433.6299999952</v>
      </c>
      <c r="I35" s="324">
        <f t="shared" si="8"/>
        <v>-6715455.3699999899</v>
      </c>
      <c r="J35" s="324">
        <f t="shared" si="8"/>
        <v>0</v>
      </c>
      <c r="K35" s="324">
        <f t="shared" si="8"/>
        <v>0</v>
      </c>
      <c r="L35" s="324">
        <f t="shared" si="8"/>
        <v>0</v>
      </c>
      <c r="M35" s="324">
        <f t="shared" si="8"/>
        <v>0</v>
      </c>
      <c r="N35" s="324">
        <f t="shared" si="8"/>
        <v>0</v>
      </c>
      <c r="O35" s="325"/>
      <c r="P35" s="303"/>
    </row>
    <row r="36" spans="1:16">
      <c r="A36" s="193"/>
      <c r="B36" s="303"/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</row>
    <row r="37" spans="1:16">
      <c r="A37" s="193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3"/>
      <c r="P37" s="303"/>
    </row>
    <row r="38" spans="1:16" ht="27" customHeight="1">
      <c r="A38" s="194" t="s">
        <v>628</v>
      </c>
      <c r="B38" s="326"/>
      <c r="C38" s="326">
        <f>'Отчет о фин.рез.'!B55</f>
        <v>0</v>
      </c>
      <c r="D38" s="326">
        <f>'Отчет о фин.рез.'!C55</f>
        <v>0</v>
      </c>
      <c r="E38" s="326">
        <f>'Отчет о фин.рез.'!D55</f>
        <v>1196.3514999999998</v>
      </c>
      <c r="F38" s="326">
        <f>'Отчет о фин.рез.'!E55</f>
        <v>1794.5870600000014</v>
      </c>
      <c r="G38" s="326">
        <f>'Отчет о фин.рез.'!F55</f>
        <v>2072.8160900000007</v>
      </c>
      <c r="H38" s="326">
        <f>'Отчет о фин.рез.'!G55</f>
        <v>1651.4345400000025</v>
      </c>
      <c r="I38" s="326">
        <f>'Отчет о фин.рез.'!H55</f>
        <v>0</v>
      </c>
      <c r="J38" s="326">
        <f>'Отчет о фин.рез.'!I55</f>
        <v>0</v>
      </c>
      <c r="K38" s="326">
        <f>'Отчет о фин.рез.'!J55</f>
        <v>0</v>
      </c>
      <c r="L38" s="326">
        <f>'Отчет о фин.рез.'!K55</f>
        <v>0</v>
      </c>
      <c r="M38" s="326">
        <f>'Отчет о фин.рез.'!L55</f>
        <v>0</v>
      </c>
      <c r="N38" s="326">
        <f>'Отчет о фин.рез.'!M55</f>
        <v>0</v>
      </c>
      <c r="O38" s="327"/>
      <c r="P38" s="303"/>
    </row>
    <row r="39" spans="1:16">
      <c r="A39" s="195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303"/>
    </row>
    <row r="40" spans="1:16" s="196" customFormat="1">
      <c r="A40" s="197" t="s">
        <v>14</v>
      </c>
      <c r="B40" s="328"/>
      <c r="C40" s="328">
        <f t="shared" ref="C40:N40" si="9">+(C38*1000-C35)</f>
        <v>0</v>
      </c>
      <c r="D40" s="328">
        <f t="shared" si="9"/>
        <v>0</v>
      </c>
      <c r="E40" s="328">
        <f t="shared" si="9"/>
        <v>53.390000015264377</v>
      </c>
      <c r="F40" s="328">
        <f t="shared" si="9"/>
        <v>-320.4400000134483</v>
      </c>
      <c r="G40" s="328">
        <f t="shared" si="9"/>
        <v>-3.9999994449317455E-2</v>
      </c>
      <c r="H40" s="328">
        <f t="shared" si="9"/>
        <v>0.91000000713393092</v>
      </c>
      <c r="I40" s="328">
        <f t="shared" si="9"/>
        <v>6715455.3699999899</v>
      </c>
      <c r="J40" s="328">
        <f t="shared" si="9"/>
        <v>0</v>
      </c>
      <c r="K40" s="328">
        <f t="shared" si="9"/>
        <v>0</v>
      </c>
      <c r="L40" s="328">
        <f t="shared" si="9"/>
        <v>0</v>
      </c>
      <c r="M40" s="328">
        <f t="shared" si="9"/>
        <v>0</v>
      </c>
      <c r="N40" s="328">
        <f t="shared" si="9"/>
        <v>0</v>
      </c>
      <c r="O40" s="328"/>
      <c r="P40" s="329"/>
    </row>
    <row r="41" spans="1:16">
      <c r="A41" s="193"/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</row>
    <row r="42" spans="1:16">
      <c r="A42" s="193"/>
      <c r="B42" s="330"/>
      <c r="C42" s="330">
        <f>C32+C27-C14</f>
        <v>0</v>
      </c>
      <c r="D42" s="330">
        <f>D32+D27-D14</f>
        <v>1460997.6999999881</v>
      </c>
      <c r="E42" s="330">
        <f>E32+E27-E14</f>
        <v>-927117.86000001431</v>
      </c>
      <c r="F42" s="330">
        <f>F32+F24-F14</f>
        <v>-78976467.469999999</v>
      </c>
      <c r="G42" s="330">
        <f t="shared" ref="G42:N42" si="10">G32+G27-G14</f>
        <v>-6055044.8100000024</v>
      </c>
      <c r="H42" s="330">
        <f t="shared" si="10"/>
        <v>-5695201.200000003</v>
      </c>
      <c r="I42" s="330">
        <f t="shared" si="10"/>
        <v>0</v>
      </c>
      <c r="J42" s="330">
        <f t="shared" si="10"/>
        <v>0</v>
      </c>
      <c r="K42" s="330">
        <f t="shared" si="10"/>
        <v>0</v>
      </c>
      <c r="L42" s="330">
        <f t="shared" si="10"/>
        <v>0</v>
      </c>
      <c r="M42" s="330">
        <f t="shared" si="10"/>
        <v>0</v>
      </c>
      <c r="N42" s="330">
        <f t="shared" si="10"/>
        <v>0</v>
      </c>
      <c r="O42" s="330"/>
      <c r="P42" s="303"/>
    </row>
    <row r="43" spans="1:16">
      <c r="B43" s="303"/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03"/>
      <c r="P43" s="303"/>
    </row>
    <row r="44" spans="1:16"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</row>
    <row r="45" spans="1:16">
      <c r="A45" s="154" t="s">
        <v>629</v>
      </c>
      <c r="B45" s="331"/>
      <c r="C45" s="331">
        <f t="shared" ref="C45:N45" si="11">+SUM(C13:C13)-SUM(B13:B13)</f>
        <v>0</v>
      </c>
      <c r="D45" s="331">
        <f t="shared" si="11"/>
        <v>22609581.710000001</v>
      </c>
      <c r="E45" s="331">
        <f t="shared" si="11"/>
        <v>3691972.3599999994</v>
      </c>
      <c r="F45" s="331">
        <f t="shared" si="11"/>
        <v>539666.87999999896</v>
      </c>
      <c r="G45" s="331">
        <f t="shared" si="11"/>
        <v>5007759.5100000016</v>
      </c>
      <c r="H45" s="331">
        <f t="shared" si="11"/>
        <v>689747.05999999866</v>
      </c>
      <c r="I45" s="331">
        <f t="shared" si="11"/>
        <v>-32538727.52</v>
      </c>
      <c r="J45" s="331">
        <f t="shared" si="11"/>
        <v>0</v>
      </c>
      <c r="K45" s="331">
        <f t="shared" si="11"/>
        <v>0</v>
      </c>
      <c r="L45" s="331">
        <f t="shared" si="11"/>
        <v>0</v>
      </c>
      <c r="M45" s="331">
        <f t="shared" si="11"/>
        <v>0</v>
      </c>
      <c r="N45" s="331">
        <f t="shared" si="11"/>
        <v>0</v>
      </c>
      <c r="O45" s="331"/>
      <c r="P45" s="303"/>
    </row>
    <row r="46" spans="1:16">
      <c r="A46" s="198" t="s">
        <v>630</v>
      </c>
      <c r="B46" s="332"/>
      <c r="C46" s="332">
        <f>'Отчет о фин.рез.'!B57*1000</f>
        <v>0</v>
      </c>
      <c r="D46" s="332">
        <f>'Отчет о фин.рез.'!C57*1000</f>
        <v>22609581.710000001</v>
      </c>
      <c r="E46" s="332">
        <f>'Отчет о фин.рез.'!D57*1000</f>
        <v>3691972.3600000003</v>
      </c>
      <c r="F46" s="332">
        <f>'Отчет о фин.рез.'!E57*1000</f>
        <v>539666.87999999989</v>
      </c>
      <c r="G46" s="332">
        <f>'Отчет о фин.рез.'!F57*1000</f>
        <v>5007759.51</v>
      </c>
      <c r="H46" s="332">
        <f>'Отчет о фин.рез.'!G57*1000</f>
        <v>689747.05999999994</v>
      </c>
      <c r="I46" s="332">
        <f>'Отчет о фин.рез.'!H57*1000</f>
        <v>0</v>
      </c>
      <c r="J46" s="332">
        <f>'Отчет о фин.рез.'!I57*1000</f>
        <v>0</v>
      </c>
      <c r="K46" s="332">
        <f>'Отчет о фин.рез.'!J57*1000</f>
        <v>0</v>
      </c>
      <c r="L46" s="332">
        <f>'Отчет о фин.рез.'!K57*1000</f>
        <v>0</v>
      </c>
      <c r="M46" s="332">
        <f>'Отчет о фин.рез.'!L57*1000</f>
        <v>0</v>
      </c>
      <c r="N46" s="332">
        <f>'Отчет о фин.рез.'!M57*1000</f>
        <v>0</v>
      </c>
      <c r="O46" s="332"/>
      <c r="P46" s="303"/>
    </row>
    <row r="47" spans="1:16">
      <c r="A47" s="199" t="s">
        <v>14</v>
      </c>
      <c r="B47" s="333"/>
      <c r="C47" s="333">
        <f t="shared" ref="C47:N47" si="12">+C45-C46</f>
        <v>0</v>
      </c>
      <c r="D47" s="333">
        <f t="shared" si="12"/>
        <v>0</v>
      </c>
      <c r="E47" s="333">
        <f t="shared" si="12"/>
        <v>0</v>
      </c>
      <c r="F47" s="333">
        <f t="shared" si="12"/>
        <v>-9.3132257461547852E-10</v>
      </c>
      <c r="G47" s="333">
        <f t="shared" si="12"/>
        <v>0</v>
      </c>
      <c r="H47" s="333">
        <f t="shared" si="12"/>
        <v>-1.280568540096283E-9</v>
      </c>
      <c r="I47" s="333">
        <f t="shared" si="12"/>
        <v>-32538727.52</v>
      </c>
      <c r="J47" s="333">
        <f t="shared" si="12"/>
        <v>0</v>
      </c>
      <c r="K47" s="333">
        <f t="shared" si="12"/>
        <v>0</v>
      </c>
      <c r="L47" s="333">
        <f t="shared" si="12"/>
        <v>0</v>
      </c>
      <c r="M47" s="333">
        <f t="shared" si="12"/>
        <v>0</v>
      </c>
      <c r="N47" s="333">
        <f t="shared" si="12"/>
        <v>0</v>
      </c>
      <c r="O47" s="333"/>
      <c r="P47" s="303"/>
    </row>
    <row r="48" spans="1:16">
      <c r="A48" s="154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</row>
    <row r="49" spans="1:16">
      <c r="A49" s="154" t="s">
        <v>631</v>
      </c>
      <c r="B49" s="331"/>
      <c r="C49" s="331">
        <f t="shared" ref="C49:N49" si="13">+SUM(C12)-SUM(B12)</f>
        <v>0</v>
      </c>
      <c r="D49" s="331">
        <f t="shared" si="13"/>
        <v>45981732.939999998</v>
      </c>
      <c r="E49" s="331">
        <f t="shared" si="13"/>
        <v>7354622.3500000015</v>
      </c>
      <c r="F49" s="331">
        <f t="shared" si="13"/>
        <v>1790096.8400000036</v>
      </c>
      <c r="G49" s="331">
        <f t="shared" si="13"/>
        <v>1773247.349999994</v>
      </c>
      <c r="H49" s="331">
        <f t="shared" si="13"/>
        <v>601842.96000000089</v>
      </c>
      <c r="I49" s="331">
        <f t="shared" si="13"/>
        <v>-57501542.439999998</v>
      </c>
      <c r="J49" s="331">
        <f t="shared" si="13"/>
        <v>0</v>
      </c>
      <c r="K49" s="331">
        <f t="shared" si="13"/>
        <v>0</v>
      </c>
      <c r="L49" s="331">
        <f t="shared" si="13"/>
        <v>0</v>
      </c>
      <c r="M49" s="331">
        <f t="shared" si="13"/>
        <v>0</v>
      </c>
      <c r="N49" s="331">
        <f t="shared" si="13"/>
        <v>0</v>
      </c>
      <c r="O49" s="331"/>
      <c r="P49" s="303"/>
    </row>
    <row r="50" spans="1:16">
      <c r="A50" s="198" t="s">
        <v>632</v>
      </c>
      <c r="B50" s="332"/>
      <c r="C50" s="332">
        <f>'Отчет о фин.рез.'!B60*1000</f>
        <v>0</v>
      </c>
      <c r="D50" s="332">
        <f>'Отчет о фин.рез.'!C60*1000</f>
        <v>45981732.940000005</v>
      </c>
      <c r="E50" s="332">
        <f>'Отчет о фин.рез.'!D60*1000</f>
        <v>7354622.3499999996</v>
      </c>
      <c r="F50" s="332">
        <f>'Отчет о фин.рез.'!E60*1000</f>
        <v>1790096.84</v>
      </c>
      <c r="G50" s="332">
        <f>'Отчет о фин.рез.'!F60*1000</f>
        <v>1773244.35</v>
      </c>
      <c r="H50" s="332">
        <f>'Отчет о фин.рез.'!G60*1000</f>
        <v>601842.96</v>
      </c>
      <c r="I50" s="332">
        <f>'Отчет о фин.рез.'!H60*1000</f>
        <v>0</v>
      </c>
      <c r="J50" s="332">
        <f>'Отчет о фин.рез.'!I60*1000</f>
        <v>0</v>
      </c>
      <c r="K50" s="332">
        <f>'Отчет о фин.рез.'!J60*1000</f>
        <v>0</v>
      </c>
      <c r="L50" s="332">
        <f>'Отчет о фин.рез.'!K60*1000</f>
        <v>0</v>
      </c>
      <c r="M50" s="332">
        <f>'Отчет о фин.рез.'!L60*1000</f>
        <v>0</v>
      </c>
      <c r="N50" s="332">
        <f>'Отчет о фин.рез.'!M60*1000</f>
        <v>0</v>
      </c>
      <c r="O50" s="332"/>
      <c r="P50" s="303"/>
    </row>
    <row r="51" spans="1:16">
      <c r="A51" s="199" t="s">
        <v>14</v>
      </c>
      <c r="B51" s="333"/>
      <c r="C51" s="333">
        <f t="shared" ref="C51:N51" si="14">+C49-C50</f>
        <v>0</v>
      </c>
      <c r="D51" s="333">
        <f t="shared" si="14"/>
        <v>0</v>
      </c>
      <c r="E51" s="333">
        <f t="shared" si="14"/>
        <v>0</v>
      </c>
      <c r="F51" s="333">
        <f t="shared" si="14"/>
        <v>3.4924596548080444E-9</v>
      </c>
      <c r="G51" s="333">
        <f t="shared" si="14"/>
        <v>2.9999999939464033</v>
      </c>
      <c r="H51" s="333">
        <f t="shared" si="14"/>
        <v>9.3132257461547852E-10</v>
      </c>
      <c r="I51" s="333">
        <f t="shared" si="14"/>
        <v>-57501542.439999998</v>
      </c>
      <c r="J51" s="333">
        <f t="shared" si="14"/>
        <v>0</v>
      </c>
      <c r="K51" s="333">
        <f t="shared" si="14"/>
        <v>0</v>
      </c>
      <c r="L51" s="333">
        <f t="shared" si="14"/>
        <v>0</v>
      </c>
      <c r="M51" s="333">
        <f t="shared" si="14"/>
        <v>0</v>
      </c>
      <c r="N51" s="333">
        <f t="shared" si="14"/>
        <v>0</v>
      </c>
      <c r="O51" s="333"/>
      <c r="P51" s="303"/>
    </row>
    <row r="52" spans="1:16" s="154" customFormat="1"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</row>
    <row r="53" spans="1:16" s="154" customFormat="1">
      <c r="A53" s="154" t="s">
        <v>633</v>
      </c>
      <c r="B53" s="331"/>
      <c r="C53" s="331">
        <f t="shared" ref="C53:N53" si="15">+SUM(C26:C27)-SUM(B26:B27)</f>
        <v>0</v>
      </c>
      <c r="D53" s="331">
        <f t="shared" si="15"/>
        <v>70052312.349999994</v>
      </c>
      <c r="E53" s="331">
        <f t="shared" si="15"/>
        <v>7462181.0400000066</v>
      </c>
      <c r="F53" s="331">
        <f t="shared" si="15"/>
        <v>115120</v>
      </c>
      <c r="G53" s="331">
        <f t="shared" si="15"/>
        <v>0</v>
      </c>
      <c r="H53" s="331">
        <f t="shared" si="15"/>
        <v>0</v>
      </c>
      <c r="I53" s="331">
        <f t="shared" si="15"/>
        <v>-77629613.390000001</v>
      </c>
      <c r="J53" s="331">
        <f t="shared" si="15"/>
        <v>0</v>
      </c>
      <c r="K53" s="331">
        <f t="shared" si="15"/>
        <v>0</v>
      </c>
      <c r="L53" s="331">
        <f t="shared" si="15"/>
        <v>0</v>
      </c>
      <c r="M53" s="331">
        <f t="shared" si="15"/>
        <v>0</v>
      </c>
      <c r="N53" s="331">
        <f t="shared" si="15"/>
        <v>0</v>
      </c>
      <c r="O53" s="331"/>
      <c r="P53" s="334"/>
    </row>
    <row r="54" spans="1:16" s="154" customFormat="1">
      <c r="A54" s="154" t="s">
        <v>634</v>
      </c>
      <c r="B54" s="332"/>
      <c r="C54" s="332">
        <f>'Отчет о фин.рез.'!B68*1000+'Отчет о фин.рез.'!B64*1000</f>
        <v>0</v>
      </c>
      <c r="D54" s="332">
        <f>'Отчет о фин.рез.'!C68*1000+'Отчет о фин.рез.'!C64*1000</f>
        <v>-70052312.349999994</v>
      </c>
      <c r="E54" s="332">
        <f>'Отчет о фин.рез.'!D68*1000+'Отчет о фин.рез.'!D64*1000</f>
        <v>-7462181.0400000103</v>
      </c>
      <c r="F54" s="332">
        <f>'Отчет о фин.рез.'!E68*1000+'Отчет о фин.рез.'!E64*1000</f>
        <v>-115120</v>
      </c>
      <c r="G54" s="332">
        <f>'Отчет о фин.рез.'!F68*1000+'Отчет о фин.рез.'!F64*1000</f>
        <v>0</v>
      </c>
      <c r="H54" s="332">
        <f>'Отчет о фин.рез.'!G68*1000+'Отчет о фин.рез.'!G64*1000</f>
        <v>0</v>
      </c>
      <c r="I54" s="332">
        <f>'Отчет о фин.рез.'!H68*1000+'Отчет о фин.рез.'!H64*1000</f>
        <v>0</v>
      </c>
      <c r="J54" s="332">
        <f>'Отчет о фин.рез.'!I68*1000+'Отчет о фин.рез.'!I64*1000</f>
        <v>0</v>
      </c>
      <c r="K54" s="332">
        <f>'Отчет о фин.рез.'!J68*1000+'Отчет о фин.рез.'!J64*1000</f>
        <v>0</v>
      </c>
      <c r="L54" s="332">
        <f>'Отчет о фин.рез.'!K68*1000+'Отчет о фин.рез.'!K64*1000</f>
        <v>0</v>
      </c>
      <c r="M54" s="332">
        <f>'Отчет о фин.рез.'!L68*1000+'Отчет о фин.рез.'!L64*1000</f>
        <v>0</v>
      </c>
      <c r="N54" s="332">
        <f>'Отчет о фин.рез.'!M68*1000+'Отчет о фин.рез.'!M64*1000</f>
        <v>0</v>
      </c>
      <c r="O54" s="332"/>
      <c r="P54" s="334"/>
    </row>
    <row r="55" spans="1:16" s="154" customFormat="1">
      <c r="A55" s="199" t="s">
        <v>14</v>
      </c>
      <c r="B55" s="333"/>
      <c r="C55" s="333">
        <f t="shared" ref="C55:N55" si="16">+C53+C54</f>
        <v>0</v>
      </c>
      <c r="D55" s="333">
        <f t="shared" si="16"/>
        <v>0</v>
      </c>
      <c r="E55" s="333">
        <f t="shared" si="16"/>
        <v>0</v>
      </c>
      <c r="F55" s="333">
        <f t="shared" si="16"/>
        <v>0</v>
      </c>
      <c r="G55" s="333">
        <f t="shared" si="16"/>
        <v>0</v>
      </c>
      <c r="H55" s="333">
        <f t="shared" si="16"/>
        <v>0</v>
      </c>
      <c r="I55" s="333">
        <f t="shared" si="16"/>
        <v>-77629613.390000001</v>
      </c>
      <c r="J55" s="333">
        <f t="shared" si="16"/>
        <v>0</v>
      </c>
      <c r="K55" s="333">
        <f t="shared" si="16"/>
        <v>0</v>
      </c>
      <c r="L55" s="333">
        <f t="shared" si="16"/>
        <v>0</v>
      </c>
      <c r="M55" s="333">
        <f t="shared" si="16"/>
        <v>0</v>
      </c>
      <c r="N55" s="333">
        <f t="shared" si="16"/>
        <v>0</v>
      </c>
      <c r="O55" s="333"/>
      <c r="P55" s="334"/>
    </row>
    <row r="56" spans="1:16" s="154" customFormat="1"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</row>
    <row r="57" spans="1:16" s="154" customFormat="1" ht="31.15" customHeight="1">
      <c r="A57" s="200" t="s">
        <v>635</v>
      </c>
      <c r="B57" s="335">
        <f t="shared" ref="B57:N57" si="17">+SUM(B4:B9)-SUM(B19:B20,B21:B24)</f>
        <v>0</v>
      </c>
      <c r="C57" s="335">
        <f t="shared" si="17"/>
        <v>0</v>
      </c>
      <c r="D57" s="335">
        <f t="shared" si="17"/>
        <v>6478378.8399999999</v>
      </c>
      <c r="E57" s="335">
        <f t="shared" si="17"/>
        <v>5428866.0599999996</v>
      </c>
      <c r="F57" s="335">
        <f t="shared" si="17"/>
        <v>3869486.6200000006</v>
      </c>
      <c r="G57" s="335">
        <f t="shared" si="17"/>
        <v>243045.94000000134</v>
      </c>
      <c r="H57" s="335">
        <f t="shared" si="17"/>
        <v>741017.99000000022</v>
      </c>
      <c r="I57" s="335">
        <f t="shared" si="17"/>
        <v>0</v>
      </c>
      <c r="J57" s="335">
        <f t="shared" si="17"/>
        <v>0</v>
      </c>
      <c r="K57" s="335">
        <f t="shared" si="17"/>
        <v>0</v>
      </c>
      <c r="L57" s="335">
        <f t="shared" si="17"/>
        <v>0</v>
      </c>
      <c r="M57" s="335">
        <f t="shared" si="17"/>
        <v>0</v>
      </c>
      <c r="N57" s="335">
        <f t="shared" si="17"/>
        <v>0</v>
      </c>
      <c r="O57" s="335"/>
      <c r="P57" s="334"/>
    </row>
    <row r="58" spans="1:16" s="154" customFormat="1" ht="31.15" customHeight="1">
      <c r="A58" s="201" t="s">
        <v>636</v>
      </c>
      <c r="B58" s="336">
        <f t="shared" ref="B58:N58" si="18">+SUM(B4:B6,B9)-SUM(B19:B23)</f>
        <v>0</v>
      </c>
      <c r="C58" s="336">
        <f t="shared" si="18"/>
        <v>0</v>
      </c>
      <c r="D58" s="336">
        <f t="shared" si="18"/>
        <v>6478378.8399999999</v>
      </c>
      <c r="E58" s="336">
        <f t="shared" si="18"/>
        <v>5443248.0599999996</v>
      </c>
      <c r="F58" s="336">
        <f t="shared" si="18"/>
        <v>3956219.1000000006</v>
      </c>
      <c r="G58" s="336">
        <f t="shared" si="18"/>
        <v>259424.35000000056</v>
      </c>
      <c r="H58" s="336">
        <f t="shared" si="18"/>
        <v>-162393.0299999998</v>
      </c>
      <c r="I58" s="336">
        <f t="shared" si="18"/>
        <v>0</v>
      </c>
      <c r="J58" s="336">
        <f t="shared" si="18"/>
        <v>0</v>
      </c>
      <c r="K58" s="336">
        <f t="shared" si="18"/>
        <v>0</v>
      </c>
      <c r="L58" s="336">
        <f t="shared" si="18"/>
        <v>0</v>
      </c>
      <c r="M58" s="336">
        <f t="shared" si="18"/>
        <v>0</v>
      </c>
      <c r="N58" s="336">
        <f t="shared" si="18"/>
        <v>0</v>
      </c>
      <c r="O58" s="336"/>
      <c r="P58" s="334"/>
    </row>
    <row r="59" spans="1:16" s="154" customFormat="1">
      <c r="A59" s="154" t="s">
        <v>637</v>
      </c>
      <c r="B59" s="331">
        <f t="shared" ref="B59:N59" si="19">+B10-SUM(B18:B25)</f>
        <v>0</v>
      </c>
      <c r="C59" s="331">
        <f t="shared" si="19"/>
        <v>0</v>
      </c>
      <c r="D59" s="331">
        <f t="shared" si="19"/>
        <v>1460997.7000000002</v>
      </c>
      <c r="E59" s="331">
        <f t="shared" si="19"/>
        <v>-927117.86000000034</v>
      </c>
      <c r="F59" s="331">
        <f t="shared" si="19"/>
        <v>-1346854.0799999996</v>
      </c>
      <c r="G59" s="331">
        <f t="shared" si="19"/>
        <v>-6055044.8099999987</v>
      </c>
      <c r="H59" s="331">
        <f t="shared" si="19"/>
        <v>-5695201.2000000002</v>
      </c>
      <c r="I59" s="331">
        <f t="shared" si="19"/>
        <v>0</v>
      </c>
      <c r="J59" s="331">
        <f t="shared" si="19"/>
        <v>0</v>
      </c>
      <c r="K59" s="331">
        <f t="shared" si="19"/>
        <v>0</v>
      </c>
      <c r="L59" s="331">
        <f t="shared" si="19"/>
        <v>0</v>
      </c>
      <c r="M59" s="331">
        <f t="shared" si="19"/>
        <v>0</v>
      </c>
      <c r="N59" s="331">
        <f t="shared" si="19"/>
        <v>0</v>
      </c>
      <c r="O59" s="331"/>
      <c r="P59" s="334"/>
    </row>
    <row r="60" spans="1:16" s="154" customFormat="1">
      <c r="A60" s="198" t="s">
        <v>638</v>
      </c>
      <c r="B60" s="332"/>
      <c r="C60" s="332">
        <f>'Отчет о фин.рез.'!B74*1000</f>
        <v>0</v>
      </c>
      <c r="D60" s="332">
        <f>'Отчет о фин.рез.'!C74*1000</f>
        <v>1460997.6999999927</v>
      </c>
      <c r="E60" s="332">
        <f>'Отчет о фин.рез.'!D74*1000</f>
        <v>-927064.4699999966</v>
      </c>
      <c r="F60" s="332">
        <f>'Отчет о фин.рез.'!E74*1000</f>
        <v>-1347121.1299999952</v>
      </c>
      <c r="G60" s="332">
        <f>'Отчет о фин.рез.'!F74*1000</f>
        <v>-6055308.8999999939</v>
      </c>
      <c r="H60" s="332">
        <f>'Отчет о фин.рез.'!G74*1000</f>
        <v>-5695464.3799999915</v>
      </c>
      <c r="I60" s="332">
        <f>'Отчет о фин.рез.'!H74*1000</f>
        <v>-5695464.3799999915</v>
      </c>
      <c r="J60" s="332">
        <f>'Отчет о фин.рез.'!I74*1000</f>
        <v>-5695464.3799999915</v>
      </c>
      <c r="K60" s="332">
        <f>'Отчет о фин.рез.'!J74*1000</f>
        <v>-5695464.3799999915</v>
      </c>
      <c r="L60" s="332">
        <f>'Отчет о фин.рез.'!K74*1000</f>
        <v>-5695464.3799999915</v>
      </c>
      <c r="M60" s="332">
        <f>'Отчет о фин.рез.'!L74*1000</f>
        <v>-5695464.3799999915</v>
      </c>
      <c r="N60" s="332">
        <f>'Отчет о фин.рез.'!M74*1000</f>
        <v>-5695464.3799999915</v>
      </c>
      <c r="O60" s="332"/>
      <c r="P60" s="334"/>
    </row>
    <row r="61" spans="1:16" s="154" customFormat="1">
      <c r="A61" s="199" t="s">
        <v>14</v>
      </c>
      <c r="B61" s="333"/>
      <c r="C61" s="333">
        <f t="shared" ref="C61:N61" si="20">+C59-C60</f>
        <v>0</v>
      </c>
      <c r="D61" s="333">
        <f t="shared" si="20"/>
        <v>7.4505805969238281E-9</v>
      </c>
      <c r="E61" s="333">
        <f t="shared" si="20"/>
        <v>-53.39000000373926</v>
      </c>
      <c r="F61" s="333">
        <f t="shared" si="20"/>
        <v>267.04999999562278</v>
      </c>
      <c r="G61" s="333">
        <f t="shared" si="20"/>
        <v>264.08999999519438</v>
      </c>
      <c r="H61" s="333">
        <f t="shared" si="20"/>
        <v>263.17999999132007</v>
      </c>
      <c r="I61" s="333">
        <f t="shared" si="20"/>
        <v>5695464.3799999915</v>
      </c>
      <c r="J61" s="333">
        <f t="shared" si="20"/>
        <v>5695464.3799999915</v>
      </c>
      <c r="K61" s="333">
        <f t="shared" si="20"/>
        <v>5695464.3799999915</v>
      </c>
      <c r="L61" s="333">
        <f t="shared" si="20"/>
        <v>5695464.3799999915</v>
      </c>
      <c r="M61" s="333">
        <f t="shared" si="20"/>
        <v>5695464.3799999915</v>
      </c>
      <c r="N61" s="333">
        <f t="shared" si="20"/>
        <v>5695464.3799999915</v>
      </c>
      <c r="O61" s="333"/>
      <c r="P61" s="334"/>
    </row>
    <row r="62" spans="1:16"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  <c r="N62" s="303"/>
      <c r="O62" s="303"/>
      <c r="P62" s="303"/>
    </row>
    <row r="63" spans="1:16"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</row>
    <row r="64" spans="1:16"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</row>
    <row r="65" spans="2:16"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</row>
    <row r="66" spans="2:16"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</row>
    <row r="67" spans="2:16"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</row>
    <row r="68" spans="2:16"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</row>
    <row r="69" spans="2:16"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</row>
    <row r="70" spans="2:16"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30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6"/>
  <sheetViews>
    <sheetView topLeftCell="A22" zoomScale="90" zoomScaleNormal="90" workbookViewId="0">
      <selection activeCell="J14" sqref="J14"/>
    </sheetView>
  </sheetViews>
  <sheetFormatPr defaultRowHeight="15" outlineLevelCol="1"/>
  <cols>
    <col min="2" max="2" width="16.7109375" style="82" customWidth="1"/>
    <col min="4" max="4" width="9.85546875" style="82" customWidth="1"/>
    <col min="5" max="6" width="14.5703125" style="202" bestFit="1" customWidth="1" outlineLevel="1"/>
    <col min="7" max="7" width="17.7109375" style="202" customWidth="1" outlineLevel="1"/>
    <col min="8" max="9" width="18" style="202" customWidth="1" outlineLevel="1"/>
    <col min="10" max="10" width="18.7109375" style="202" customWidth="1" outlineLevel="1"/>
    <col min="11" max="14" width="14.5703125" style="202" bestFit="1" customWidth="1" outlineLevel="1"/>
    <col min="15" max="15" width="14.5703125" style="202" bestFit="1" customWidth="1"/>
    <col min="16" max="16" width="14.7109375" style="202" bestFit="1" customWidth="1"/>
    <col min="17" max="17" width="12.85546875" style="202" bestFit="1" customWidth="1"/>
  </cols>
  <sheetData>
    <row r="1" spans="1:17">
      <c r="A1" s="203"/>
      <c r="B1" s="203"/>
      <c r="C1" s="203"/>
      <c r="D1" s="203"/>
      <c r="E1" s="8">
        <v>46023</v>
      </c>
      <c r="F1" s="8">
        <v>46054</v>
      </c>
      <c r="G1" s="8">
        <v>46082</v>
      </c>
      <c r="H1" s="8">
        <v>46113</v>
      </c>
      <c r="I1" s="8">
        <v>46143</v>
      </c>
      <c r="J1" s="8">
        <v>46174</v>
      </c>
      <c r="K1" s="8">
        <v>46204</v>
      </c>
      <c r="L1" s="8">
        <v>46235</v>
      </c>
      <c r="M1" s="8">
        <v>46266</v>
      </c>
      <c r="N1" s="8">
        <v>46296</v>
      </c>
      <c r="O1" s="8">
        <v>46327</v>
      </c>
      <c r="P1" s="8">
        <v>46357</v>
      </c>
      <c r="Q1" s="8">
        <v>46388</v>
      </c>
    </row>
    <row r="2" spans="1:17">
      <c r="A2" s="173" t="s">
        <v>639</v>
      </c>
      <c r="B2" s="203" t="s">
        <v>640</v>
      </c>
      <c r="C2" s="203" t="s">
        <v>641</v>
      </c>
      <c r="D2" s="203" t="s">
        <v>642</v>
      </c>
      <c r="E2" s="337"/>
      <c r="F2" s="337"/>
      <c r="G2" s="337">
        <v>3939956</v>
      </c>
      <c r="H2" s="337">
        <v>9041571.5</v>
      </c>
      <c r="I2" s="337">
        <v>10579404</v>
      </c>
      <c r="J2" s="337">
        <v>9819475.4000000004</v>
      </c>
      <c r="K2" s="337"/>
      <c r="L2" s="337"/>
      <c r="M2" s="337"/>
      <c r="N2" s="337"/>
      <c r="O2" s="337"/>
      <c r="P2" s="337"/>
      <c r="Q2" s="445">
        <f>SUM(E2:P2)</f>
        <v>33380406.899999999</v>
      </c>
    </row>
    <row r="3" spans="1:17" s="173" customFormat="1">
      <c r="A3" s="173" t="s">
        <v>639</v>
      </c>
      <c r="B3" s="173" t="s">
        <v>640</v>
      </c>
      <c r="C3" s="173" t="s">
        <v>641</v>
      </c>
      <c r="D3" s="173" t="s">
        <v>643</v>
      </c>
      <c r="E3" s="338"/>
      <c r="F3" s="338"/>
      <c r="G3" s="338">
        <v>1972289.5</v>
      </c>
      <c r="H3" s="338">
        <v>4568102.5</v>
      </c>
      <c r="I3" s="338">
        <v>5094849.5</v>
      </c>
      <c r="J3" s="338">
        <v>4417617.5999999996</v>
      </c>
      <c r="K3" s="339"/>
      <c r="L3" s="338"/>
      <c r="M3" s="339"/>
      <c r="N3" s="339"/>
      <c r="O3" s="339"/>
      <c r="P3" s="339"/>
      <c r="Q3" s="446">
        <f>SUM(E3:P3)</f>
        <v>16052859.1</v>
      </c>
    </row>
    <row r="4" spans="1:17">
      <c r="A4" s="173" t="s">
        <v>639</v>
      </c>
      <c r="B4" s="203" t="s">
        <v>640</v>
      </c>
      <c r="C4" s="203" t="s">
        <v>644</v>
      </c>
      <c r="D4" s="203" t="s">
        <v>642</v>
      </c>
      <c r="E4" s="337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>
        <f>SUM(E4:P4)</f>
        <v>0</v>
      </c>
    </row>
    <row r="5" spans="1:17" s="173" customFormat="1">
      <c r="A5" s="173" t="s">
        <v>639</v>
      </c>
      <c r="B5" s="173" t="s">
        <v>640</v>
      </c>
      <c r="C5" s="173" t="s">
        <v>644</v>
      </c>
      <c r="D5" s="173" t="s">
        <v>643</v>
      </c>
      <c r="E5" s="338"/>
      <c r="F5" s="446"/>
      <c r="G5" s="446"/>
      <c r="H5" s="446"/>
      <c r="I5" s="446"/>
      <c r="J5" s="446"/>
      <c r="K5" s="447"/>
      <c r="L5" s="446"/>
      <c r="M5" s="447"/>
      <c r="N5" s="447"/>
      <c r="O5" s="447"/>
      <c r="P5" s="447"/>
      <c r="Q5" s="446">
        <f>SUM(E5:P5)</f>
        <v>0</v>
      </c>
    </row>
    <row r="6" spans="1:17">
      <c r="A6" s="173" t="s">
        <v>639</v>
      </c>
      <c r="B6" s="203" t="s">
        <v>645</v>
      </c>
      <c r="C6" s="203" t="s">
        <v>641</v>
      </c>
      <c r="D6" s="203" t="s">
        <v>642</v>
      </c>
      <c r="E6" s="337"/>
      <c r="F6" s="337"/>
      <c r="G6" s="337">
        <v>1152549.82</v>
      </c>
      <c r="H6" s="337">
        <v>2621768.44</v>
      </c>
      <c r="I6" s="337">
        <v>3155337.61</v>
      </c>
      <c r="J6" s="337">
        <v>2945616.71</v>
      </c>
      <c r="K6" s="337"/>
      <c r="L6" s="337"/>
      <c r="M6" s="337"/>
      <c r="N6" s="337"/>
      <c r="O6" s="337"/>
      <c r="P6" s="337"/>
      <c r="Q6" s="445"/>
    </row>
    <row r="7" spans="1:17" s="173" customFormat="1">
      <c r="A7" s="173" t="s">
        <v>639</v>
      </c>
      <c r="B7" s="173" t="s">
        <v>645</v>
      </c>
      <c r="C7" s="173" t="s">
        <v>641</v>
      </c>
      <c r="D7" s="173" t="s">
        <v>643</v>
      </c>
      <c r="E7" s="338"/>
      <c r="F7" s="338"/>
      <c r="G7" s="338">
        <v>453796.89</v>
      </c>
      <c r="H7" s="338">
        <v>1056247.46</v>
      </c>
      <c r="I7" s="338">
        <v>1188078.94</v>
      </c>
      <c r="J7" s="338">
        <v>1015168.04</v>
      </c>
      <c r="K7" s="339"/>
      <c r="L7" s="338"/>
      <c r="M7" s="339"/>
      <c r="N7" s="339"/>
      <c r="O7" s="339"/>
      <c r="P7" s="339"/>
      <c r="Q7" s="447"/>
    </row>
    <row r="8" spans="1:17">
      <c r="A8" s="173" t="s">
        <v>639</v>
      </c>
      <c r="B8" s="203" t="s">
        <v>645</v>
      </c>
      <c r="C8" s="203" t="s">
        <v>644</v>
      </c>
      <c r="D8" s="203" t="s">
        <v>642</v>
      </c>
      <c r="E8" s="337"/>
      <c r="F8" s="445"/>
      <c r="G8" s="445"/>
      <c r="H8" s="445"/>
      <c r="I8" s="445"/>
      <c r="J8" s="445"/>
      <c r="K8" s="445"/>
      <c r="L8" s="445"/>
      <c r="M8" s="445"/>
      <c r="N8" s="445"/>
      <c r="O8" s="445"/>
      <c r="P8" s="445"/>
      <c r="Q8" s="445"/>
    </row>
    <row r="9" spans="1:17" s="173" customFormat="1">
      <c r="A9" s="173" t="s">
        <v>639</v>
      </c>
      <c r="B9" s="173" t="s">
        <v>645</v>
      </c>
      <c r="C9" s="173" t="s">
        <v>644</v>
      </c>
      <c r="D9" s="173" t="s">
        <v>643</v>
      </c>
      <c r="E9" s="338"/>
      <c r="F9" s="446"/>
      <c r="G9" s="446"/>
      <c r="H9" s="446"/>
      <c r="I9" s="446"/>
      <c r="J9" s="446"/>
      <c r="K9" s="447"/>
      <c r="L9" s="446"/>
      <c r="M9" s="447"/>
      <c r="N9" s="447"/>
      <c r="O9" s="447"/>
      <c r="P9" s="447"/>
      <c r="Q9" s="447"/>
    </row>
    <row r="10" spans="1:17">
      <c r="A10" s="173" t="s">
        <v>639</v>
      </c>
      <c r="B10" s="203" t="s">
        <v>646</v>
      </c>
      <c r="C10" s="203"/>
      <c r="D10" s="203" t="s">
        <v>642</v>
      </c>
      <c r="E10" s="337"/>
      <c r="F10" s="337"/>
      <c r="G10" s="337">
        <v>1001413.55</v>
      </c>
      <c r="H10" s="337">
        <v>1470765.71</v>
      </c>
      <c r="I10" s="337">
        <v>1311378.71</v>
      </c>
      <c r="J10" s="337">
        <v>1180613.77</v>
      </c>
      <c r="K10" s="337"/>
      <c r="L10" s="337"/>
      <c r="M10" s="337"/>
      <c r="N10" s="337"/>
      <c r="O10" s="337"/>
      <c r="P10" s="337"/>
      <c r="Q10" s="445"/>
    </row>
    <row r="11" spans="1:17" s="173" customFormat="1">
      <c r="A11" s="173" t="s">
        <v>639</v>
      </c>
      <c r="B11" s="173" t="s">
        <v>646</v>
      </c>
      <c r="D11" s="173" t="s">
        <v>643</v>
      </c>
      <c r="E11" s="338"/>
      <c r="F11" s="338"/>
      <c r="G11" s="338">
        <v>1315057.49</v>
      </c>
      <c r="H11" s="338">
        <v>1497931.47</v>
      </c>
      <c r="I11" s="338">
        <v>1411650.7</v>
      </c>
      <c r="J11" s="338">
        <v>1495604.69</v>
      </c>
      <c r="K11" s="339"/>
      <c r="L11" s="338"/>
      <c r="M11" s="339"/>
      <c r="N11" s="339"/>
      <c r="O11" s="339"/>
      <c r="P11" s="339"/>
      <c r="Q11" s="447"/>
    </row>
    <row r="12" spans="1:17" s="173" customFormat="1">
      <c r="A12" s="173" t="s">
        <v>639</v>
      </c>
      <c r="B12" s="173" t="s">
        <v>646</v>
      </c>
      <c r="D12" s="203" t="s">
        <v>647</v>
      </c>
      <c r="E12" s="338"/>
      <c r="F12" s="338"/>
      <c r="G12" s="338">
        <v>2481.8000000000002</v>
      </c>
      <c r="H12" s="338">
        <v>32451.85</v>
      </c>
      <c r="I12" s="338">
        <v>0</v>
      </c>
      <c r="J12" s="338">
        <v>11972.8</v>
      </c>
      <c r="K12" s="339"/>
      <c r="L12" s="338"/>
      <c r="M12" s="339"/>
      <c r="N12" s="339"/>
      <c r="O12" s="339"/>
      <c r="P12" s="339"/>
      <c r="Q12" s="447"/>
    </row>
    <row r="13" spans="1:17" s="173" customFormat="1">
      <c r="A13" s="173" t="s">
        <v>639</v>
      </c>
      <c r="B13" s="203" t="s">
        <v>648</v>
      </c>
      <c r="D13" s="203" t="s">
        <v>642</v>
      </c>
      <c r="E13" s="338"/>
      <c r="F13" s="338"/>
      <c r="G13" s="223">
        <v>-27988.17</v>
      </c>
      <c r="H13" s="223">
        <v>-95472.84</v>
      </c>
      <c r="I13" s="223">
        <f>-(47779.67+51299.47)</f>
        <v>-99079.14</v>
      </c>
      <c r="J13" s="223">
        <v>-98996.95</v>
      </c>
      <c r="K13" s="337"/>
      <c r="L13" s="337"/>
      <c r="M13" s="337"/>
      <c r="N13" s="337"/>
      <c r="O13" s="337"/>
      <c r="P13" s="337"/>
      <c r="Q13" s="448"/>
    </row>
    <row r="14" spans="1:17" s="173" customFormat="1">
      <c r="A14" s="173" t="s">
        <v>639</v>
      </c>
      <c r="B14" s="173" t="s">
        <v>648</v>
      </c>
      <c r="D14" s="173" t="s">
        <v>643</v>
      </c>
      <c r="E14" s="338"/>
      <c r="F14" s="338"/>
      <c r="G14" s="223">
        <v>-7596.09</v>
      </c>
      <c r="H14" s="223">
        <v>-27430.01</v>
      </c>
      <c r="I14" s="223">
        <f>-(10368.88+11788.28)</f>
        <v>-22157.16</v>
      </c>
      <c r="J14" s="223">
        <v>-25113.08</v>
      </c>
      <c r="K14" s="338"/>
      <c r="L14" s="338"/>
      <c r="M14" s="338"/>
      <c r="N14" s="338"/>
      <c r="O14" s="338"/>
      <c r="P14" s="338"/>
      <c r="Q14" s="449"/>
    </row>
    <row r="15" spans="1:17" s="173" customFormat="1">
      <c r="A15" s="173" t="s">
        <v>639</v>
      </c>
      <c r="B15" s="203" t="s">
        <v>649</v>
      </c>
      <c r="D15" s="203" t="s">
        <v>642</v>
      </c>
      <c r="E15" s="338"/>
      <c r="F15" s="338"/>
      <c r="G15" s="224">
        <v>133313.26999999999</v>
      </c>
      <c r="H15" s="338">
        <v>170319.23</v>
      </c>
      <c r="I15" s="173">
        <v>157026.42000000001</v>
      </c>
      <c r="J15" s="224">
        <v>95806.33</v>
      </c>
      <c r="K15" s="337"/>
      <c r="L15" s="337"/>
      <c r="M15" s="337"/>
      <c r="N15" s="337"/>
      <c r="O15" s="337"/>
      <c r="P15" s="337"/>
      <c r="Q15" s="448"/>
    </row>
    <row r="16" spans="1:17" s="173" customFormat="1">
      <c r="A16" s="173" t="s">
        <v>639</v>
      </c>
      <c r="B16" s="173" t="s">
        <v>649</v>
      </c>
      <c r="D16" s="173" t="s">
        <v>643</v>
      </c>
      <c r="E16" s="338"/>
      <c r="F16" s="338"/>
      <c r="G16" s="338"/>
      <c r="H16" s="338">
        <v>12823.04</v>
      </c>
      <c r="I16" s="173">
        <v>6414.77</v>
      </c>
      <c r="J16" s="224">
        <v>6283.39</v>
      </c>
      <c r="K16" s="338"/>
      <c r="L16" s="338"/>
      <c r="M16" s="338"/>
      <c r="N16" s="338"/>
      <c r="O16" s="338"/>
      <c r="P16" s="338"/>
      <c r="Q16" s="449"/>
    </row>
    <row r="17" spans="1:17" s="173" customFormat="1" ht="30.75" customHeight="1">
      <c r="A17" s="173" t="s">
        <v>639</v>
      </c>
      <c r="B17" s="204" t="s">
        <v>650</v>
      </c>
      <c r="D17" s="203" t="s">
        <v>642</v>
      </c>
      <c r="E17" s="450" t="str">
        <f t="shared" ref="E17:P17" si="0">IFERROR(E13/(E6+E8),"-")</f>
        <v>-</v>
      </c>
      <c r="F17" s="450" t="str">
        <f t="shared" si="0"/>
        <v>-</v>
      </c>
      <c r="G17" s="450">
        <f t="shared" si="0"/>
        <v>-2.4283696473962398E-2</v>
      </c>
      <c r="H17" s="450">
        <f t="shared" si="0"/>
        <v>-3.6415435682031476E-2</v>
      </c>
      <c r="I17" s="450">
        <f t="shared" si="0"/>
        <v>-3.1400487759533281E-2</v>
      </c>
      <c r="J17" s="450">
        <f t="shared" si="0"/>
        <v>-3.3608225287396605E-2</v>
      </c>
      <c r="K17" s="450" t="str">
        <f t="shared" si="0"/>
        <v>-</v>
      </c>
      <c r="L17" s="450" t="str">
        <f t="shared" si="0"/>
        <v>-</v>
      </c>
      <c r="M17" s="450" t="str">
        <f t="shared" si="0"/>
        <v>-</v>
      </c>
      <c r="N17" s="450" t="str">
        <f t="shared" si="0"/>
        <v>-</v>
      </c>
      <c r="O17" s="450" t="str">
        <f t="shared" si="0"/>
        <v>-</v>
      </c>
      <c r="P17" s="450" t="str">
        <f t="shared" si="0"/>
        <v>-</v>
      </c>
      <c r="Q17" s="448"/>
    </row>
    <row r="18" spans="1:17" s="173" customFormat="1" ht="30.75" customHeight="1">
      <c r="A18" s="173" t="s">
        <v>639</v>
      </c>
      <c r="B18" s="205" t="s">
        <v>650</v>
      </c>
      <c r="D18" s="173" t="s">
        <v>643</v>
      </c>
      <c r="E18" s="450" t="str">
        <f t="shared" ref="E18:P18" si="1">IFERROR(E14/(E7+E9),"-")</f>
        <v>-</v>
      </c>
      <c r="F18" s="450" t="str">
        <f t="shared" si="1"/>
        <v>-</v>
      </c>
      <c r="G18" s="450">
        <f t="shared" si="1"/>
        <v>-1.6738964429659269E-2</v>
      </c>
      <c r="H18" s="450">
        <f t="shared" si="1"/>
        <v>-2.5969302685944447E-2</v>
      </c>
      <c r="I18" s="450">
        <f t="shared" si="1"/>
        <v>-1.8649568857773038E-2</v>
      </c>
      <c r="J18" s="450">
        <f t="shared" si="1"/>
        <v>-2.4737855222471346E-2</v>
      </c>
      <c r="K18" s="450" t="str">
        <f t="shared" si="1"/>
        <v>-</v>
      </c>
      <c r="L18" s="450" t="str">
        <f t="shared" si="1"/>
        <v>-</v>
      </c>
      <c r="M18" s="450" t="str">
        <f t="shared" si="1"/>
        <v>-</v>
      </c>
      <c r="N18" s="450" t="str">
        <f t="shared" si="1"/>
        <v>-</v>
      </c>
      <c r="O18" s="450" t="str">
        <f t="shared" si="1"/>
        <v>-</v>
      </c>
      <c r="P18" s="450" t="str">
        <f t="shared" si="1"/>
        <v>-</v>
      </c>
      <c r="Q18" s="449"/>
    </row>
    <row r="19" spans="1:17" s="173" customFormat="1" ht="29.25" customHeight="1">
      <c r="A19" s="173" t="s">
        <v>639</v>
      </c>
      <c r="B19" s="204" t="s">
        <v>651</v>
      </c>
      <c r="D19" s="203" t="s">
        <v>642</v>
      </c>
      <c r="E19" s="450" t="str">
        <f t="shared" ref="E19:P19" si="2">IFERROR(E15/(E6+E8),"-")</f>
        <v>-</v>
      </c>
      <c r="F19" s="450" t="str">
        <f t="shared" si="2"/>
        <v>-</v>
      </c>
      <c r="G19" s="450">
        <f t="shared" si="2"/>
        <v>0.11566811923149663</v>
      </c>
      <c r="H19" s="450">
        <f t="shared" si="2"/>
        <v>6.4963490826062426E-2</v>
      </c>
      <c r="I19" s="450">
        <f t="shared" si="2"/>
        <v>4.9765330816691919E-2</v>
      </c>
      <c r="J19" s="450">
        <f t="shared" si="2"/>
        <v>3.2525049737377409E-2</v>
      </c>
      <c r="K19" s="450" t="str">
        <f t="shared" si="2"/>
        <v>-</v>
      </c>
      <c r="L19" s="450" t="str">
        <f t="shared" si="2"/>
        <v>-</v>
      </c>
      <c r="M19" s="450" t="str">
        <f t="shared" si="2"/>
        <v>-</v>
      </c>
      <c r="N19" s="450" t="str">
        <f t="shared" si="2"/>
        <v>-</v>
      </c>
      <c r="O19" s="450" t="str">
        <f t="shared" si="2"/>
        <v>-</v>
      </c>
      <c r="P19" s="450" t="str">
        <f t="shared" si="2"/>
        <v>-</v>
      </c>
      <c r="Q19" s="448"/>
    </row>
    <row r="20" spans="1:17" s="173" customFormat="1" ht="29.25" customHeight="1">
      <c r="A20" s="173" t="s">
        <v>639</v>
      </c>
      <c r="B20" s="205" t="s">
        <v>651</v>
      </c>
      <c r="D20" s="173" t="s">
        <v>643</v>
      </c>
      <c r="E20" s="450" t="str">
        <f t="shared" ref="E20:P20" si="3">IFERROR(E16/(E7+E9),"-")</f>
        <v>-</v>
      </c>
      <c r="F20" s="450" t="str">
        <f t="shared" si="3"/>
        <v>-</v>
      </c>
      <c r="G20" s="450">
        <f t="shared" si="3"/>
        <v>0</v>
      </c>
      <c r="H20" s="450">
        <f t="shared" si="3"/>
        <v>1.2140185406931063E-2</v>
      </c>
      <c r="I20" s="450">
        <f t="shared" si="3"/>
        <v>5.399279276846706E-3</v>
      </c>
      <c r="J20" s="450">
        <f t="shared" si="3"/>
        <v>6.1895073056082422E-3</v>
      </c>
      <c r="K20" s="450" t="str">
        <f t="shared" si="3"/>
        <v>-</v>
      </c>
      <c r="L20" s="450" t="str">
        <f t="shared" si="3"/>
        <v>-</v>
      </c>
      <c r="M20" s="450" t="str">
        <f t="shared" si="3"/>
        <v>-</v>
      </c>
      <c r="N20" s="450" t="str">
        <f t="shared" si="3"/>
        <v>-</v>
      </c>
      <c r="O20" s="450" t="str">
        <f t="shared" si="3"/>
        <v>-</v>
      </c>
      <c r="P20" s="450" t="str">
        <f t="shared" si="3"/>
        <v>-</v>
      </c>
      <c r="Q20" s="449"/>
    </row>
    <row r="21" spans="1:17" s="173" customFormat="1">
      <c r="A21" s="173" t="s">
        <v>639</v>
      </c>
      <c r="B21" s="203" t="s">
        <v>652</v>
      </c>
      <c r="C21" s="203"/>
      <c r="D21" s="203" t="s">
        <v>642</v>
      </c>
      <c r="E21" s="23" t="str">
        <f t="shared" ref="E21:P21" si="4">IFERROR((E8+E6)/(E4+E2),"-")</f>
        <v>-</v>
      </c>
      <c r="F21" s="23" t="str">
        <f t="shared" si="4"/>
        <v>-</v>
      </c>
      <c r="G21" s="23">
        <f t="shared" si="4"/>
        <v>0.2925286018422541</v>
      </c>
      <c r="H21" s="23">
        <f t="shared" si="4"/>
        <v>0.28996822510334624</v>
      </c>
      <c r="I21" s="23">
        <f t="shared" si="4"/>
        <v>0.29825287038853981</v>
      </c>
      <c r="J21" s="23">
        <f t="shared" si="4"/>
        <v>0.29997699367931607</v>
      </c>
      <c r="K21" s="23" t="str">
        <f t="shared" si="4"/>
        <v>-</v>
      </c>
      <c r="L21" s="23" t="str">
        <f t="shared" si="4"/>
        <v>-</v>
      </c>
      <c r="M21" s="23" t="str">
        <f t="shared" si="4"/>
        <v>-</v>
      </c>
      <c r="N21" s="23" t="str">
        <f t="shared" si="4"/>
        <v>-</v>
      </c>
      <c r="O21" s="23" t="str">
        <f t="shared" si="4"/>
        <v>-</v>
      </c>
      <c r="P21" s="23" t="str">
        <f t="shared" si="4"/>
        <v>-</v>
      </c>
      <c r="Q21" s="448"/>
    </row>
    <row r="22" spans="1:17" s="173" customFormat="1">
      <c r="A22" s="173" t="s">
        <v>639</v>
      </c>
      <c r="B22" s="173" t="s">
        <v>652</v>
      </c>
      <c r="D22" s="173" t="s">
        <v>643</v>
      </c>
      <c r="E22" s="19" t="str">
        <f t="shared" ref="E22:P22" si="5">IFERROR((E9+E7)/(E5+E3),"-")</f>
        <v>-</v>
      </c>
      <c r="F22" s="19" t="str">
        <f t="shared" si="5"/>
        <v>-</v>
      </c>
      <c r="G22" s="19">
        <f t="shared" si="5"/>
        <v>0.23008634888539437</v>
      </c>
      <c r="H22" s="19">
        <f t="shared" si="5"/>
        <v>0.23122236420920939</v>
      </c>
      <c r="I22" s="19">
        <f t="shared" si="5"/>
        <v>0.23319215611766353</v>
      </c>
      <c r="J22" s="19">
        <f t="shared" si="5"/>
        <v>0.22979989033002768</v>
      </c>
      <c r="K22" s="19" t="str">
        <f t="shared" si="5"/>
        <v>-</v>
      </c>
      <c r="L22" s="19" t="str">
        <f t="shared" si="5"/>
        <v>-</v>
      </c>
      <c r="M22" s="19" t="str">
        <f t="shared" si="5"/>
        <v>-</v>
      </c>
      <c r="N22" s="19" t="str">
        <f t="shared" si="5"/>
        <v>-</v>
      </c>
      <c r="O22" s="19" t="str">
        <f t="shared" si="5"/>
        <v>-</v>
      </c>
      <c r="P22" s="19" t="str">
        <f t="shared" si="5"/>
        <v>-</v>
      </c>
      <c r="Q22" s="448"/>
    </row>
    <row r="23" spans="1:17" s="173" customFormat="1">
      <c r="D23" s="203"/>
      <c r="E23" s="340"/>
      <c r="F23" s="340"/>
      <c r="G23" s="340"/>
      <c r="H23" s="340"/>
      <c r="I23" s="340"/>
      <c r="J23" s="340"/>
      <c r="K23" s="341"/>
      <c r="L23" s="340"/>
      <c r="M23" s="341"/>
      <c r="N23" s="341"/>
      <c r="O23" s="341"/>
      <c r="P23" s="341"/>
      <c r="Q23" s="448"/>
    </row>
    <row r="24" spans="1:17">
      <c r="A24" s="203"/>
      <c r="B24" s="206" t="s">
        <v>653</v>
      </c>
      <c r="C24" s="207"/>
      <c r="D24" s="207"/>
      <c r="E24" s="451">
        <f>SUM(E2:E5)-'Отчет о фин.рез.'!B2*1000</f>
        <v>0</v>
      </c>
      <c r="F24" s="451">
        <f>SUM(F2:F5)-'Отчет о фин.рез.'!C2*1000</f>
        <v>0</v>
      </c>
      <c r="G24" s="451">
        <f>SUM(G2:G5)-'Отчет о фин.рез.'!D2*1000</f>
        <v>-17654.5</v>
      </c>
      <c r="H24" s="451">
        <f>SUM(H2:H5)-'Отчет о фин.рез.'!E2*1000</f>
        <v>-103526</v>
      </c>
      <c r="I24" s="451">
        <f>SUM(I2:I5)-'Отчет о фин.рез.'!F2*1000</f>
        <v>-38336.5</v>
      </c>
      <c r="J24" s="451">
        <f>SUM(J2:J5)-'Отчет о фин.рез.'!G2*1000</f>
        <v>-16258</v>
      </c>
      <c r="K24" s="451">
        <f>SUM(K2:K5)-'Отчет о фин.рез.'!H2*1000</f>
        <v>0</v>
      </c>
      <c r="L24" s="451">
        <f>SUM(L2:L5)-'Отчет о фин.рез.'!I2*1000</f>
        <v>0</v>
      </c>
      <c r="M24" s="451">
        <f>SUM(M2:M5)-'Отчет о фин.рез.'!J2*1000</f>
        <v>0</v>
      </c>
      <c r="N24" s="451">
        <f>SUM(N2:N5)-'Отчет о фин.рез.'!K2*1000</f>
        <v>0</v>
      </c>
      <c r="O24" s="451">
        <f>SUM(O2:O5)-'Отчет о фин.рез.'!L2*1000</f>
        <v>0</v>
      </c>
      <c r="P24" s="451">
        <f>SUM(P2:P5)-'Отчет о фин.рез.'!M2*1000</f>
        <v>0</v>
      </c>
      <c r="Q24" s="208"/>
    </row>
    <row r="25" spans="1:17">
      <c r="B25" s="206" t="s">
        <v>654</v>
      </c>
      <c r="C25" s="206"/>
      <c r="D25" s="206"/>
      <c r="E25" s="452">
        <f>SUM(E6:E9)-'Отчет о фин.рез.'!B15*1000</f>
        <v>0</v>
      </c>
      <c r="F25" s="452">
        <f>SUM(F6:F9)-'Отчет о фин.рез.'!C15*1000</f>
        <v>0</v>
      </c>
      <c r="G25" s="452">
        <f>SUM(G6:G9)-'Отчет о фин.рез.'!D15*1000</f>
        <v>5785.7100000001956</v>
      </c>
      <c r="H25" s="452">
        <f>SUM(H6:H9)-'Отчет о фин.рез.'!E15*1000</f>
        <v>-68301.100000000093</v>
      </c>
      <c r="I25" s="452">
        <f>SUM(I6:I9)-'Отчет о фин.рез.'!F15*1000</f>
        <v>146.54999999981374</v>
      </c>
      <c r="J25" s="452">
        <f>SUM(J6:J9)-'Отчет о фин.рез.'!G15*1000</f>
        <v>0.75</v>
      </c>
      <c r="K25" s="452">
        <f>SUM(K6:K9)-'Отчет о фин.рез.'!H15*1000</f>
        <v>0</v>
      </c>
      <c r="L25" s="452">
        <f>SUM(L6:L9)-'Отчет о фин.рез.'!I15*1000</f>
        <v>0</v>
      </c>
      <c r="M25" s="452">
        <f>SUM(M6:M9)-'Отчет о фин.рез.'!J15*1000</f>
        <v>0</v>
      </c>
      <c r="N25" s="452">
        <f>SUM(N6:N9)-'Отчет о фин.рез.'!K15*1000</f>
        <v>0</v>
      </c>
      <c r="O25" s="452">
        <f>SUM(O6:O9)-'Отчет о фин.рез.'!L15*1000</f>
        <v>0</v>
      </c>
      <c r="P25" s="452">
        <f>SUM(P6:P9)-'Отчет о фин.рез.'!M15*1000</f>
        <v>0</v>
      </c>
    </row>
    <row r="26" spans="1:17">
      <c r="B26" s="206" t="s">
        <v>655</v>
      </c>
      <c r="C26" s="206"/>
      <c r="D26" s="206"/>
      <c r="E26" s="451">
        <f>SUM(E10:E12)-баланс!C9</f>
        <v>0</v>
      </c>
      <c r="F26" s="451">
        <f>SUM(F10:F12)-баланс!D9</f>
        <v>-474058.45</v>
      </c>
      <c r="G26" s="451">
        <f>SUM(G10:G12)-баланс!E9</f>
        <v>0</v>
      </c>
      <c r="H26" s="451">
        <f>SUM(H10:H12)-баланс!F9</f>
        <v>9.9999997764825821E-3</v>
      </c>
      <c r="I26" s="451">
        <f>SUM(I10:I12)-баланс!G9</f>
        <v>338.87000000011176</v>
      </c>
      <c r="J26" s="451">
        <f>SUM(J10:J12)-баланс!H9</f>
        <v>339.03999999957159</v>
      </c>
      <c r="K26" s="451">
        <f>SUM(K10:K12)-баланс!I9</f>
        <v>0</v>
      </c>
      <c r="L26" s="451">
        <f>SUM(L10:L12)-баланс!J9</f>
        <v>0</v>
      </c>
      <c r="M26" s="451">
        <f>SUM(M10:M12)-баланс!K9</f>
        <v>0</v>
      </c>
      <c r="N26" s="451">
        <f>SUM(N10:N12)-баланс!L9</f>
        <v>0</v>
      </c>
      <c r="O26" s="451">
        <f>SUM(O10:O12)-баланс!M9</f>
        <v>0</v>
      </c>
      <c r="P26" s="451">
        <f>SUM(P10:P12)-баланс!N9</f>
        <v>0</v>
      </c>
    </row>
    <row r="27" spans="1:17">
      <c r="B27" s="209" t="s">
        <v>656</v>
      </c>
      <c r="D27" s="173" t="s">
        <v>642</v>
      </c>
      <c r="E27" s="405">
        <f t="shared" ref="E27:P27" si="6">E6+E8</f>
        <v>0</v>
      </c>
      <c r="F27" s="405">
        <f t="shared" si="6"/>
        <v>0</v>
      </c>
      <c r="G27" s="405">
        <f t="shared" si="6"/>
        <v>1152549.82</v>
      </c>
      <c r="H27" s="405">
        <f t="shared" si="6"/>
        <v>2621768.44</v>
      </c>
      <c r="I27" s="405">
        <f t="shared" si="6"/>
        <v>3155337.61</v>
      </c>
      <c r="J27" s="405">
        <f t="shared" si="6"/>
        <v>2945616.71</v>
      </c>
      <c r="K27" s="405">
        <f t="shared" si="6"/>
        <v>0</v>
      </c>
      <c r="L27" s="405">
        <f t="shared" si="6"/>
        <v>0</v>
      </c>
      <c r="M27" s="405">
        <f t="shared" si="6"/>
        <v>0</v>
      </c>
      <c r="N27" s="405">
        <f t="shared" si="6"/>
        <v>0</v>
      </c>
      <c r="O27" s="405">
        <f t="shared" si="6"/>
        <v>0</v>
      </c>
      <c r="P27" s="405">
        <f t="shared" si="6"/>
        <v>0</v>
      </c>
    </row>
    <row r="28" spans="1:17">
      <c r="B28" s="209" t="s">
        <v>657</v>
      </c>
      <c r="D28" s="173" t="s">
        <v>642</v>
      </c>
      <c r="E28" s="20" t="str">
        <f t="shared" ref="E28:P28" si="7">IFERROR((E2+E4)/(E6+E8)-1,"-")</f>
        <v>-</v>
      </c>
      <c r="F28" s="20" t="str">
        <f t="shared" si="7"/>
        <v>-</v>
      </c>
      <c r="G28" s="20">
        <f t="shared" si="7"/>
        <v>2.4184691469562676</v>
      </c>
      <c r="H28" s="20">
        <f t="shared" si="7"/>
        <v>2.4486537262611949</v>
      </c>
      <c r="I28" s="20">
        <f t="shared" si="7"/>
        <v>2.3528596009730953</v>
      </c>
      <c r="J28" s="20">
        <f t="shared" si="7"/>
        <v>2.3335889787235762</v>
      </c>
      <c r="K28" s="20" t="str">
        <f t="shared" si="7"/>
        <v>-</v>
      </c>
      <c r="L28" s="20" t="str">
        <f t="shared" si="7"/>
        <v>-</v>
      </c>
      <c r="M28" s="20" t="str">
        <f t="shared" si="7"/>
        <v>-</v>
      </c>
      <c r="N28" s="20" t="str">
        <f t="shared" si="7"/>
        <v>-</v>
      </c>
      <c r="O28" s="20" t="str">
        <f t="shared" si="7"/>
        <v>-</v>
      </c>
      <c r="P28" s="20" t="str">
        <f t="shared" si="7"/>
        <v>-</v>
      </c>
    </row>
    <row r="29" spans="1:17">
      <c r="B29" s="209" t="s">
        <v>658</v>
      </c>
      <c r="D29" s="173" t="s">
        <v>642</v>
      </c>
      <c r="E29" s="342">
        <f t="shared" ref="E29:P29" si="8">E10</f>
        <v>0</v>
      </c>
      <c r="F29" s="342">
        <f t="shared" si="8"/>
        <v>0</v>
      </c>
      <c r="G29" s="342">
        <f t="shared" si="8"/>
        <v>1001413.55</v>
      </c>
      <c r="H29" s="342">
        <f t="shared" si="8"/>
        <v>1470765.71</v>
      </c>
      <c r="I29" s="342">
        <f t="shared" si="8"/>
        <v>1311378.71</v>
      </c>
      <c r="J29" s="342">
        <f t="shared" si="8"/>
        <v>1180613.77</v>
      </c>
      <c r="K29" s="342">
        <f t="shared" si="8"/>
        <v>0</v>
      </c>
      <c r="L29" s="342">
        <f t="shared" si="8"/>
        <v>0</v>
      </c>
      <c r="M29" s="342">
        <f t="shared" si="8"/>
        <v>0</v>
      </c>
      <c r="N29" s="342">
        <f t="shared" si="8"/>
        <v>0</v>
      </c>
      <c r="O29" s="342">
        <f t="shared" si="8"/>
        <v>0</v>
      </c>
      <c r="P29" s="342">
        <f t="shared" si="8"/>
        <v>0</v>
      </c>
    </row>
    <row r="30" spans="1:17">
      <c r="B30" s="209" t="s">
        <v>659</v>
      </c>
      <c r="D30" s="173" t="s">
        <v>642</v>
      </c>
      <c r="E30" s="395" t="str">
        <f t="shared" ref="E30:P30" si="9">IFERROR(E29/(E27/(F1-E1)),"-")</f>
        <v>-</v>
      </c>
      <c r="F30" s="395" t="str">
        <f t="shared" si="9"/>
        <v>-</v>
      </c>
      <c r="G30" s="395">
        <f t="shared" si="9"/>
        <v>26.934905121932172</v>
      </c>
      <c r="H30" s="395">
        <f t="shared" si="9"/>
        <v>16.829469234132667</v>
      </c>
      <c r="I30" s="395">
        <f t="shared" si="9"/>
        <v>12.883800415258893</v>
      </c>
      <c r="J30" s="395">
        <f t="shared" si="9"/>
        <v>12.024107881978983</v>
      </c>
      <c r="K30" s="395" t="str">
        <f t="shared" si="9"/>
        <v>-</v>
      </c>
      <c r="L30" s="395" t="str">
        <f t="shared" si="9"/>
        <v>-</v>
      </c>
      <c r="M30" s="395" t="str">
        <f t="shared" si="9"/>
        <v>-</v>
      </c>
      <c r="N30" s="395" t="str">
        <f t="shared" si="9"/>
        <v>-</v>
      </c>
      <c r="O30" s="395" t="str">
        <f t="shared" si="9"/>
        <v>-</v>
      </c>
      <c r="P30" s="395" t="str">
        <f t="shared" si="9"/>
        <v>-</v>
      </c>
      <c r="Q30" s="173"/>
    </row>
    <row r="31" spans="1:17">
      <c r="B31" s="209"/>
      <c r="E31" s="173"/>
      <c r="F31" s="173"/>
      <c r="G31" s="453">
        <f>IFERROR(SUM(E29:G29)/SUM(E27:G27)*(H1-E1)/3,"-")</f>
        <v>26.066037214773065</v>
      </c>
      <c r="H31" s="173"/>
      <c r="I31" s="173"/>
      <c r="J31" s="453">
        <f>IFERROR(SUM(H29:J29)/SUM(H27:J27)*(K1-H1)/3,"-")</f>
        <v>13.780521106080259</v>
      </c>
      <c r="M31" s="453" t="str">
        <f>IFERROR(SUM(K29:M29)/SUM(K27:M27)*(N1-K1)/3,"-")</f>
        <v>-</v>
      </c>
      <c r="N31" s="453"/>
      <c r="O31" s="453"/>
      <c r="P31" s="453" t="str">
        <f>IFERROR(SUM(N29:P29)/SUM(N27:P27)*(Q1-N1)/3,"-")</f>
        <v>-</v>
      </c>
      <c r="Q31" s="173"/>
    </row>
    <row r="32" spans="1:17">
      <c r="B32" s="209"/>
      <c r="E32" s="173"/>
      <c r="F32" s="173"/>
      <c r="G32" s="173"/>
      <c r="H32" s="173"/>
      <c r="I32" s="173"/>
      <c r="J32" s="173"/>
      <c r="Q32" s="173"/>
    </row>
    <row r="33" spans="2:17">
      <c r="B33" s="209" t="s">
        <v>656</v>
      </c>
      <c r="D33" s="173" t="s">
        <v>643</v>
      </c>
      <c r="E33" s="405">
        <f t="shared" ref="E33:P33" si="10">E9+E7</f>
        <v>0</v>
      </c>
      <c r="F33" s="405">
        <f t="shared" si="10"/>
        <v>0</v>
      </c>
      <c r="G33" s="405">
        <f t="shared" si="10"/>
        <v>453796.89</v>
      </c>
      <c r="H33" s="405">
        <f t="shared" si="10"/>
        <v>1056247.46</v>
      </c>
      <c r="I33" s="405">
        <f t="shared" si="10"/>
        <v>1188078.94</v>
      </c>
      <c r="J33" s="405">
        <f t="shared" si="10"/>
        <v>1015168.04</v>
      </c>
      <c r="K33" s="405">
        <f t="shared" si="10"/>
        <v>0</v>
      </c>
      <c r="L33" s="405">
        <f t="shared" si="10"/>
        <v>0</v>
      </c>
      <c r="M33" s="405">
        <f t="shared" si="10"/>
        <v>0</v>
      </c>
      <c r="N33" s="405">
        <f t="shared" si="10"/>
        <v>0</v>
      </c>
      <c r="O33" s="405">
        <f t="shared" si="10"/>
        <v>0</v>
      </c>
      <c r="P33" s="454">
        <f t="shared" si="10"/>
        <v>0</v>
      </c>
      <c r="Q33" s="173"/>
    </row>
    <row r="34" spans="2:17">
      <c r="B34" s="209" t="s">
        <v>657</v>
      </c>
      <c r="D34" s="173" t="s">
        <v>643</v>
      </c>
      <c r="E34" s="20" t="str">
        <f t="shared" ref="E34:P34" si="11">IFERROR((E3+E5)/(E7+E9)-1,"-")</f>
        <v>-</v>
      </c>
      <c r="F34" s="20" t="str">
        <f t="shared" si="11"/>
        <v>-</v>
      </c>
      <c r="G34" s="20">
        <f t="shared" si="11"/>
        <v>3.3461943954706257</v>
      </c>
      <c r="H34" s="20">
        <f t="shared" si="11"/>
        <v>3.3248411693221964</v>
      </c>
      <c r="I34" s="20">
        <f t="shared" si="11"/>
        <v>3.2883089064772077</v>
      </c>
      <c r="J34" s="20">
        <f t="shared" si="11"/>
        <v>3.3516121725029873</v>
      </c>
      <c r="K34" s="20" t="str">
        <f t="shared" si="11"/>
        <v>-</v>
      </c>
      <c r="L34" s="20" t="str">
        <f t="shared" si="11"/>
        <v>-</v>
      </c>
      <c r="M34" s="20" t="str">
        <f t="shared" si="11"/>
        <v>-</v>
      </c>
      <c r="N34" s="20" t="str">
        <f t="shared" si="11"/>
        <v>-</v>
      </c>
      <c r="O34" s="20" t="str">
        <f t="shared" si="11"/>
        <v>-</v>
      </c>
      <c r="P34" s="20" t="str">
        <f t="shared" si="11"/>
        <v>-</v>
      </c>
    </row>
    <row r="35" spans="2:17">
      <c r="B35" s="209" t="s">
        <v>658</v>
      </c>
      <c r="D35" s="173" t="s">
        <v>643</v>
      </c>
      <c r="E35" s="405">
        <f t="shared" ref="E35:P35" si="12">E11</f>
        <v>0</v>
      </c>
      <c r="F35" s="405">
        <f t="shared" si="12"/>
        <v>0</v>
      </c>
      <c r="G35" s="405">
        <f t="shared" si="12"/>
        <v>1315057.49</v>
      </c>
      <c r="H35" s="405">
        <f t="shared" si="12"/>
        <v>1497931.47</v>
      </c>
      <c r="I35" s="405">
        <f t="shared" si="12"/>
        <v>1411650.7</v>
      </c>
      <c r="J35" s="405">
        <f t="shared" si="12"/>
        <v>1495604.69</v>
      </c>
      <c r="K35" s="405">
        <f t="shared" si="12"/>
        <v>0</v>
      </c>
      <c r="L35" s="405">
        <f t="shared" si="12"/>
        <v>0</v>
      </c>
      <c r="M35" s="405">
        <f t="shared" si="12"/>
        <v>0</v>
      </c>
      <c r="N35" s="405">
        <f t="shared" si="12"/>
        <v>0</v>
      </c>
      <c r="O35" s="405">
        <f t="shared" si="12"/>
        <v>0</v>
      </c>
      <c r="P35" s="405">
        <f t="shared" si="12"/>
        <v>0</v>
      </c>
      <c r="Q35" s="173"/>
    </row>
    <row r="36" spans="2:17">
      <c r="B36" s="209" t="s">
        <v>659</v>
      </c>
      <c r="D36" s="173" t="s">
        <v>643</v>
      </c>
      <c r="E36" s="395" t="str">
        <f t="shared" ref="E36:P36" si="13">IFERROR(E35/(E33/(F1-E1)),"-")</f>
        <v>-</v>
      </c>
      <c r="F36" s="395" t="str">
        <f t="shared" si="13"/>
        <v>-</v>
      </c>
      <c r="G36" s="395">
        <f t="shared" si="13"/>
        <v>89.834864646163609</v>
      </c>
      <c r="H36" s="395">
        <f t="shared" si="13"/>
        <v>42.544901457088471</v>
      </c>
      <c r="I36" s="395">
        <f t="shared" si="13"/>
        <v>36.833555605320299</v>
      </c>
      <c r="J36" s="395">
        <f t="shared" si="13"/>
        <v>44.197747498039831</v>
      </c>
      <c r="K36" s="395" t="str">
        <f t="shared" si="13"/>
        <v>-</v>
      </c>
      <c r="L36" s="395" t="str">
        <f t="shared" si="13"/>
        <v>-</v>
      </c>
      <c r="M36" s="395" t="str">
        <f t="shared" si="13"/>
        <v>-</v>
      </c>
      <c r="N36" s="395" t="str">
        <f t="shared" si="13"/>
        <v>-</v>
      </c>
      <c r="O36" s="395" t="str">
        <f t="shared" si="13"/>
        <v>-</v>
      </c>
      <c r="P36" s="395" t="str">
        <f t="shared" si="13"/>
        <v>-</v>
      </c>
      <c r="Q36" s="173"/>
    </row>
    <row r="37" spans="2:17">
      <c r="G37" s="453">
        <f>IFERROR(SUM(E35:G35)/SUM(E33:G33)*(H1-E1)/3,"-")</f>
        <v>86.936965786609946</v>
      </c>
      <c r="J37" s="453">
        <f>IFERROR(SUM(H35:J35)/SUM(H33:J33)*(K1-H1)/3,"-")</f>
        <v>40.995315034192842</v>
      </c>
      <c r="M37" s="453" t="str">
        <f>IFERROR(SUM(K35:M35)/SUM(K33:M33)*(N1-K1)/3,"-")</f>
        <v>-</v>
      </c>
      <c r="N37" s="453"/>
      <c r="O37" s="453"/>
      <c r="P37" s="453" t="str">
        <f>IFERROR(SUM(N35:P35)/SUM(N33:P33)*(Q1-N1)/3,"-")</f>
        <v>-</v>
      </c>
    </row>
    <row r="39" spans="2:17">
      <c r="E39" s="9">
        <f t="shared" ref="E39:P39" si="14">E1</f>
        <v>46023</v>
      </c>
      <c r="F39" s="9">
        <f t="shared" si="14"/>
        <v>46054</v>
      </c>
      <c r="G39" s="9">
        <f t="shared" si="14"/>
        <v>46082</v>
      </c>
      <c r="H39" s="9">
        <f t="shared" si="14"/>
        <v>46113</v>
      </c>
      <c r="I39" s="9">
        <f t="shared" si="14"/>
        <v>46143</v>
      </c>
      <c r="J39" s="9">
        <f t="shared" si="14"/>
        <v>46174</v>
      </c>
      <c r="K39" s="9">
        <f t="shared" si="14"/>
        <v>46204</v>
      </c>
      <c r="L39" s="9">
        <f t="shared" si="14"/>
        <v>46235</v>
      </c>
      <c r="M39" s="9">
        <f t="shared" si="14"/>
        <v>46266</v>
      </c>
      <c r="N39" s="9">
        <f t="shared" si="14"/>
        <v>46296</v>
      </c>
      <c r="O39" s="9">
        <f t="shared" si="14"/>
        <v>46327</v>
      </c>
      <c r="P39" s="9">
        <f t="shared" si="14"/>
        <v>46357</v>
      </c>
      <c r="Q39" s="8" t="s">
        <v>660</v>
      </c>
    </row>
    <row r="40" spans="2:17">
      <c r="B40" s="173" t="s">
        <v>661</v>
      </c>
      <c r="D40" s="173" t="s">
        <v>643</v>
      </c>
      <c r="E40" s="455" t="str">
        <f t="shared" ref="E40:Q40" si="15">IFERROR(E3/SUM(E2:E3),"-")</f>
        <v>-</v>
      </c>
      <c r="F40" s="455" t="str">
        <f t="shared" si="15"/>
        <v>-</v>
      </c>
      <c r="G40" s="455">
        <f t="shared" si="15"/>
        <v>0.33359397880213193</v>
      </c>
      <c r="H40" s="455">
        <f t="shared" si="15"/>
        <v>0.33565113315719391</v>
      </c>
      <c r="I40" s="455">
        <f t="shared" si="15"/>
        <v>0.32504575098265448</v>
      </c>
      <c r="J40" s="455">
        <f t="shared" si="15"/>
        <v>0.3102892985246356</v>
      </c>
      <c r="K40" s="455" t="str">
        <f t="shared" si="15"/>
        <v>-</v>
      </c>
      <c r="L40" s="455" t="str">
        <f t="shared" si="15"/>
        <v>-</v>
      </c>
      <c r="M40" s="455" t="str">
        <f t="shared" si="15"/>
        <v>-</v>
      </c>
      <c r="N40" s="455" t="str">
        <f t="shared" si="15"/>
        <v>-</v>
      </c>
      <c r="O40" s="455" t="str">
        <f t="shared" si="15"/>
        <v>-</v>
      </c>
      <c r="P40" s="455" t="str">
        <f t="shared" si="15"/>
        <v>-</v>
      </c>
      <c r="Q40" s="456">
        <f t="shared" si="15"/>
        <v>0.32473798312253938</v>
      </c>
    </row>
    <row r="41" spans="2:17">
      <c r="K41" s="457"/>
      <c r="L41" s="405"/>
      <c r="M41" s="405"/>
      <c r="N41" s="405"/>
      <c r="O41" s="405"/>
      <c r="P41" s="405"/>
      <c r="Q41" s="173"/>
    </row>
    <row r="42" spans="2:17">
      <c r="K42" s="342"/>
      <c r="L42" s="342"/>
      <c r="M42" s="342"/>
      <c r="N42" s="342"/>
      <c r="O42" s="342"/>
      <c r="P42" s="342"/>
      <c r="Q42" s="173"/>
    </row>
    <row r="46" spans="2:17">
      <c r="N46" s="202" t="s">
        <v>662</v>
      </c>
    </row>
  </sheetData>
  <pageMargins left="0.7" right="0.7" top="0.75" bottom="0.75" header="0.3" footer="0.3"/>
  <pageSetup paperSize="9" scale="71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B232"/>
  <sheetViews>
    <sheetView zoomScale="90" zoomScaleNormal="90" workbookViewId="0">
      <pane xSplit="2" ySplit="1" topLeftCell="Z58" activePane="bottomRight" state="frozen"/>
      <selection pane="topRight" activeCell="B1" sqref="B1"/>
      <selection pane="bottomLeft" activeCell="A3" sqref="A3"/>
      <selection pane="bottomRight" activeCell="AC76" sqref="AC76"/>
    </sheetView>
  </sheetViews>
  <sheetFormatPr defaultColWidth="9.140625" defaultRowHeight="15.75" outlineLevelRow="2"/>
  <cols>
    <col min="1" max="1" width="2.85546875" style="81" customWidth="1"/>
    <col min="2" max="2" width="42.7109375" style="81" customWidth="1"/>
    <col min="3" max="3" width="12.5703125" style="81" customWidth="1"/>
    <col min="4" max="4" width="10.7109375" style="81" customWidth="1"/>
    <col min="5" max="5" width="12.28515625" style="81" customWidth="1"/>
    <col min="6" max="6" width="10.28515625" style="81" customWidth="1"/>
    <col min="7" max="7" width="14" style="81" customWidth="1"/>
    <col min="8" max="8" width="10.28515625" style="81" customWidth="1"/>
    <col min="9" max="9" width="11.28515625" style="81" customWidth="1"/>
    <col min="10" max="10" width="12.85546875" style="81" customWidth="1"/>
    <col min="11" max="11" width="12.5703125" style="81" customWidth="1"/>
    <col min="12" max="12" width="10.7109375" style="81" customWidth="1"/>
    <col min="13" max="13" width="12.28515625" style="81" customWidth="1"/>
    <col min="14" max="14" width="10.28515625" style="81" customWidth="1"/>
    <col min="15" max="15" width="14" style="81" customWidth="1"/>
    <col min="16" max="16" width="10.28515625" style="81" customWidth="1"/>
    <col min="17" max="17" width="11.28515625" style="81" customWidth="1"/>
    <col min="18" max="18" width="12.85546875" style="81" customWidth="1"/>
    <col min="19" max="19" width="12.5703125" style="81" customWidth="1"/>
    <col min="20" max="20" width="10.7109375" style="81" customWidth="1"/>
    <col min="21" max="21" width="12.28515625" style="81" customWidth="1"/>
    <col min="22" max="22" width="10.28515625" style="81" customWidth="1"/>
    <col min="23" max="23" width="14" style="81" customWidth="1"/>
    <col min="24" max="24" width="10.28515625" style="81" customWidth="1"/>
    <col min="25" max="25" width="11.28515625" style="81" customWidth="1"/>
    <col min="26" max="26" width="12.85546875" style="81" customWidth="1"/>
    <col min="27" max="27" width="12.5703125" style="81" customWidth="1"/>
    <col min="28" max="28" width="10.7109375" style="81" customWidth="1"/>
    <col min="29" max="29" width="12.28515625" style="81" customWidth="1"/>
    <col min="30" max="30" width="10.28515625" style="81" customWidth="1"/>
    <col min="31" max="31" width="14" style="81" customWidth="1"/>
    <col min="32" max="32" width="10.28515625" style="81" customWidth="1"/>
    <col min="33" max="33" width="11.28515625" style="81" customWidth="1"/>
    <col min="34" max="34" width="12.85546875" style="81" customWidth="1"/>
    <col min="35" max="35" width="12.5703125" style="81" customWidth="1"/>
    <col min="36" max="36" width="10.7109375" style="81" customWidth="1"/>
    <col min="37" max="37" width="12.28515625" style="81" customWidth="1"/>
    <col min="38" max="38" width="10.28515625" style="81" customWidth="1"/>
    <col min="39" max="39" width="14" style="81" customWidth="1"/>
    <col min="40" max="40" width="10.28515625" style="81" customWidth="1"/>
    <col min="41" max="41" width="11.28515625" style="81" customWidth="1"/>
    <col min="42" max="42" width="12.85546875" style="81" customWidth="1"/>
    <col min="43" max="43" width="12.5703125" style="81" customWidth="1"/>
    <col min="44" max="44" width="10.7109375" style="81" customWidth="1"/>
    <col min="45" max="45" width="12.28515625" style="81" customWidth="1"/>
    <col min="46" max="46" width="10.28515625" style="81" customWidth="1"/>
    <col min="47" max="47" width="14" style="81" customWidth="1"/>
    <col min="48" max="48" width="10.28515625" style="81" customWidth="1"/>
    <col min="49" max="49" width="11.28515625" style="81" customWidth="1"/>
    <col min="50" max="50" width="12.85546875" style="81" customWidth="1"/>
    <col min="51" max="51" width="12.5703125" style="81" customWidth="1"/>
    <col min="52" max="52" width="10.7109375" style="81" customWidth="1"/>
    <col min="53" max="53" width="14" style="81" customWidth="1"/>
    <col min="54" max="54" width="10.28515625" style="81" customWidth="1"/>
    <col min="55" max="55" width="11.28515625" style="81" customWidth="1"/>
    <col min="56" max="56" width="12.85546875" style="81" customWidth="1"/>
    <col min="57" max="57" width="12.28515625" style="81" customWidth="1"/>
    <col min="58" max="58" width="10.28515625" style="81" customWidth="1"/>
    <col min="59" max="59" width="12.5703125" style="81" customWidth="1"/>
    <col min="60" max="60" width="10.7109375" style="81" customWidth="1"/>
    <col min="61" max="61" width="11.28515625" style="81" customWidth="1"/>
    <col min="62" max="62" width="12.85546875" style="81" customWidth="1"/>
    <col min="63" max="63" width="12.28515625" style="81" customWidth="1"/>
    <col min="64" max="64" width="10.28515625" style="81" customWidth="1"/>
    <col min="65" max="65" width="14" style="81" customWidth="1"/>
    <col min="66" max="66" width="10.28515625" style="81" customWidth="1"/>
    <col min="67" max="67" width="12.5703125" style="81" customWidth="1"/>
    <col min="68" max="68" width="10.7109375" style="81" customWidth="1"/>
    <col min="69" max="69" width="12.28515625" style="81" customWidth="1"/>
    <col min="70" max="70" width="10.28515625" style="81" customWidth="1"/>
    <col min="71" max="71" width="14" style="81" customWidth="1"/>
    <col min="72" max="72" width="10.28515625" style="81" customWidth="1"/>
    <col min="73" max="73" width="11.28515625" style="81" customWidth="1"/>
    <col min="74" max="74" width="12.85546875" style="81" customWidth="1"/>
    <col min="75" max="75" width="12.5703125" style="81" customWidth="1"/>
    <col min="76" max="76" width="10.7109375" style="81" customWidth="1"/>
    <col min="77" max="77" width="14" style="81" customWidth="1"/>
    <col min="78" max="78" width="10.28515625" style="81" customWidth="1"/>
    <col min="79" max="79" width="11.28515625" style="81" customWidth="1"/>
    <col min="80" max="80" width="12.85546875" style="81" customWidth="1"/>
    <col min="81" max="81" width="12.28515625" style="81" customWidth="1"/>
    <col min="82" max="82" width="10.28515625" style="81" customWidth="1"/>
    <col min="83" max="83" width="12.5703125" style="81" customWidth="1"/>
    <col min="84" max="84" width="10.7109375" style="81" customWidth="1"/>
    <col min="85" max="85" width="11.28515625" style="81" customWidth="1"/>
    <col min="86" max="86" width="12.85546875" style="81" customWidth="1"/>
    <col min="87" max="87" width="12.28515625" style="81" customWidth="1"/>
    <col min="88" max="88" width="10.28515625" style="81" customWidth="1"/>
    <col min="89" max="89" width="14" style="81" customWidth="1"/>
    <col min="90" max="90" width="10.28515625" style="81" customWidth="1"/>
    <col min="91" max="91" width="12.5703125" style="81" customWidth="1"/>
    <col min="92" max="92" width="10.7109375" style="81" customWidth="1"/>
    <col min="93" max="98" width="9.140625" style="81" customWidth="1"/>
    <col min="99" max="99" width="12.5703125" style="82" customWidth="1"/>
    <col min="100" max="100" width="10.7109375" style="82" customWidth="1"/>
    <col min="101" max="110" width="9.140625" style="81" customWidth="1"/>
    <col min="111" max="16384" width="9.140625" style="81"/>
  </cols>
  <sheetData>
    <row r="1" spans="2:106" ht="22.9" customHeight="1">
      <c r="B1" s="21" t="s">
        <v>0</v>
      </c>
      <c r="C1" s="526" t="s">
        <v>1</v>
      </c>
      <c r="D1" s="524"/>
      <c r="E1" s="524"/>
      <c r="F1" s="524"/>
      <c r="G1" s="524"/>
      <c r="H1" s="524"/>
      <c r="I1" s="524"/>
      <c r="J1" s="525"/>
      <c r="K1" s="526" t="s">
        <v>2</v>
      </c>
      <c r="L1" s="524"/>
      <c r="M1" s="524"/>
      <c r="N1" s="524"/>
      <c r="O1" s="524"/>
      <c r="P1" s="524"/>
      <c r="Q1" s="524"/>
      <c r="R1" s="525"/>
      <c r="S1" s="526" t="s">
        <v>3</v>
      </c>
      <c r="T1" s="524"/>
      <c r="U1" s="524"/>
      <c r="V1" s="524"/>
      <c r="W1" s="524"/>
      <c r="X1" s="524"/>
      <c r="Y1" s="524"/>
      <c r="Z1" s="525"/>
      <c r="AA1" s="526" t="s">
        <v>4</v>
      </c>
      <c r="AB1" s="524"/>
      <c r="AC1" s="524"/>
      <c r="AD1" s="524"/>
      <c r="AE1" s="524"/>
      <c r="AF1" s="524"/>
      <c r="AG1" s="524"/>
      <c r="AH1" s="525"/>
      <c r="AI1" s="526" t="s">
        <v>5</v>
      </c>
      <c r="AJ1" s="524"/>
      <c r="AK1" s="524"/>
      <c r="AL1" s="524"/>
      <c r="AM1" s="524"/>
      <c r="AN1" s="524"/>
      <c r="AO1" s="524"/>
      <c r="AP1" s="525"/>
      <c r="AQ1" s="523" t="s">
        <v>6</v>
      </c>
      <c r="AR1" s="524"/>
      <c r="AS1" s="524"/>
      <c r="AT1" s="524"/>
      <c r="AU1" s="524"/>
      <c r="AV1" s="524"/>
      <c r="AW1" s="524"/>
      <c r="AX1" s="525"/>
      <c r="AY1" s="523" t="s">
        <v>7</v>
      </c>
      <c r="AZ1" s="524"/>
      <c r="BA1" s="524"/>
      <c r="BB1" s="524"/>
      <c r="BC1" s="524"/>
      <c r="BD1" s="524"/>
      <c r="BE1" s="524"/>
      <c r="BF1" s="525"/>
      <c r="BG1" s="523" t="s">
        <v>8</v>
      </c>
      <c r="BH1" s="524"/>
      <c r="BI1" s="524"/>
      <c r="BJ1" s="524"/>
      <c r="BK1" s="524"/>
      <c r="BL1" s="524"/>
      <c r="BM1" s="524"/>
      <c r="BN1" s="525"/>
      <c r="BO1" s="523" t="s">
        <v>9</v>
      </c>
      <c r="BP1" s="524"/>
      <c r="BQ1" s="524"/>
      <c r="BR1" s="524"/>
      <c r="BS1" s="524"/>
      <c r="BT1" s="524"/>
      <c r="BU1" s="524"/>
      <c r="BV1" s="525"/>
      <c r="BW1" s="523" t="s">
        <v>10</v>
      </c>
      <c r="BX1" s="524"/>
      <c r="BY1" s="524"/>
      <c r="BZ1" s="524"/>
      <c r="CA1" s="524"/>
      <c r="CB1" s="524"/>
      <c r="CC1" s="524"/>
      <c r="CD1" s="525"/>
      <c r="CE1" s="523" t="s">
        <v>11</v>
      </c>
      <c r="CF1" s="524"/>
      <c r="CG1" s="524"/>
      <c r="CH1" s="524"/>
      <c r="CI1" s="524"/>
      <c r="CJ1" s="524"/>
      <c r="CK1" s="524"/>
      <c r="CL1" s="525"/>
      <c r="CM1" s="523" t="s">
        <v>12</v>
      </c>
      <c r="CN1" s="524"/>
      <c r="CO1" s="524"/>
      <c r="CP1" s="524"/>
      <c r="CQ1" s="524"/>
      <c r="CR1" s="524"/>
      <c r="CS1" s="524"/>
      <c r="CT1" s="525"/>
      <c r="CU1" s="523" t="s">
        <v>663</v>
      </c>
      <c r="CV1" s="524"/>
      <c r="CW1" s="524"/>
      <c r="CX1" s="524"/>
      <c r="CY1" s="524"/>
      <c r="CZ1" s="524"/>
      <c r="DA1" s="524"/>
      <c r="DB1" s="525"/>
    </row>
    <row r="2" spans="2:106">
      <c r="B2" s="32"/>
      <c r="C2" s="83">
        <v>2025</v>
      </c>
      <c r="D2" s="84"/>
      <c r="E2" s="83">
        <v>2026</v>
      </c>
      <c r="F2" s="84"/>
      <c r="G2" s="83">
        <v>2026</v>
      </c>
      <c r="H2" s="84"/>
      <c r="I2" s="32"/>
      <c r="J2" s="32"/>
      <c r="K2" s="83">
        <v>2025</v>
      </c>
      <c r="L2" s="84"/>
      <c r="M2" s="83">
        <v>2026</v>
      </c>
      <c r="N2" s="84"/>
      <c r="O2" s="83">
        <v>2026</v>
      </c>
      <c r="P2" s="84"/>
      <c r="Q2" s="32"/>
      <c r="R2" s="32"/>
      <c r="S2" s="83">
        <v>2025</v>
      </c>
      <c r="T2" s="84"/>
      <c r="U2" s="83">
        <v>2026</v>
      </c>
      <c r="V2" s="84"/>
      <c r="W2" s="83">
        <v>2026</v>
      </c>
      <c r="X2" s="84"/>
      <c r="Y2" s="32"/>
      <c r="Z2" s="32"/>
      <c r="AA2" s="83">
        <v>2025</v>
      </c>
      <c r="AB2" s="84"/>
      <c r="AC2" s="83">
        <v>2026</v>
      </c>
      <c r="AD2" s="84"/>
      <c r="AE2" s="83">
        <v>2026</v>
      </c>
      <c r="AF2" s="84"/>
      <c r="AG2" s="32"/>
      <c r="AH2" s="32"/>
      <c r="AI2" s="83">
        <v>2025</v>
      </c>
      <c r="AJ2" s="84"/>
      <c r="AK2" s="83">
        <v>2026</v>
      </c>
      <c r="AL2" s="84"/>
      <c r="AM2" s="83">
        <v>2026</v>
      </c>
      <c r="AN2" s="84"/>
      <c r="AO2" s="32"/>
      <c r="AP2" s="32"/>
      <c r="AQ2" s="226">
        <v>2025</v>
      </c>
      <c r="AR2" s="227"/>
      <c r="AS2" s="83">
        <v>2026</v>
      </c>
      <c r="AT2" s="84"/>
      <c r="AU2" s="83">
        <v>2026</v>
      </c>
      <c r="AV2" s="84"/>
      <c r="AW2" s="32"/>
      <c r="AX2" s="32"/>
      <c r="AY2" s="226">
        <v>2025</v>
      </c>
      <c r="AZ2" s="227"/>
      <c r="BA2" s="83">
        <v>2026</v>
      </c>
      <c r="BB2" s="84"/>
      <c r="BC2" s="83">
        <v>2026</v>
      </c>
      <c r="BD2" s="84"/>
      <c r="BE2" s="32"/>
      <c r="BF2" s="32"/>
      <c r="BG2" s="226">
        <v>2025</v>
      </c>
      <c r="BH2" s="227"/>
      <c r="BI2" s="83">
        <v>2026</v>
      </c>
      <c r="BJ2" s="84"/>
      <c r="BK2" s="83">
        <v>2026</v>
      </c>
      <c r="BL2" s="84"/>
      <c r="BM2" s="32"/>
      <c r="BN2" s="32"/>
      <c r="BO2" s="226">
        <v>2025</v>
      </c>
      <c r="BP2" s="227"/>
      <c r="BQ2" s="83">
        <v>2026</v>
      </c>
      <c r="BR2" s="84"/>
      <c r="BS2" s="83">
        <v>2026</v>
      </c>
      <c r="BT2" s="84"/>
      <c r="BU2" s="32"/>
      <c r="BV2" s="32"/>
      <c r="BW2" s="226">
        <v>2025</v>
      </c>
      <c r="BX2" s="227"/>
      <c r="BY2" s="83">
        <v>2026</v>
      </c>
      <c r="BZ2" s="84"/>
      <c r="CA2" s="83">
        <v>2026</v>
      </c>
      <c r="CB2" s="84"/>
      <c r="CC2" s="32"/>
      <c r="CD2" s="32"/>
      <c r="CE2" s="226">
        <v>2025</v>
      </c>
      <c r="CF2" s="227"/>
      <c r="CG2" s="83">
        <v>2026</v>
      </c>
      <c r="CH2" s="84"/>
      <c r="CI2" s="83">
        <v>2026</v>
      </c>
      <c r="CJ2" s="84"/>
      <c r="CK2" s="32"/>
      <c r="CL2" s="32"/>
      <c r="CM2" s="226">
        <v>2025</v>
      </c>
      <c r="CN2" s="227"/>
      <c r="CO2" s="83">
        <v>2026</v>
      </c>
      <c r="CP2" s="84"/>
      <c r="CQ2" s="83">
        <v>2026</v>
      </c>
      <c r="CR2" s="84"/>
      <c r="CS2" s="32"/>
      <c r="CT2" s="32"/>
      <c r="CU2" s="226">
        <v>2025</v>
      </c>
      <c r="CV2" s="227"/>
      <c r="CW2" s="83">
        <v>2026</v>
      </c>
      <c r="CX2" s="84"/>
      <c r="CY2" s="83">
        <v>2026</v>
      </c>
      <c r="CZ2" s="84"/>
      <c r="DA2" s="32"/>
      <c r="DB2" s="32"/>
    </row>
    <row r="3" spans="2:106" s="85" customFormat="1" ht="27.6" customHeight="1">
      <c r="B3" s="33"/>
      <c r="C3" s="86" t="s">
        <v>664</v>
      </c>
      <c r="D3" s="87" t="s">
        <v>665</v>
      </c>
      <c r="E3" s="88" t="s">
        <v>666</v>
      </c>
      <c r="F3" s="87" t="s">
        <v>665</v>
      </c>
      <c r="G3" s="33" t="s">
        <v>664</v>
      </c>
      <c r="H3" s="33" t="s">
        <v>667</v>
      </c>
      <c r="I3" s="33" t="s">
        <v>668</v>
      </c>
      <c r="J3" s="33" t="s">
        <v>669</v>
      </c>
      <c r="K3" s="86" t="s">
        <v>664</v>
      </c>
      <c r="L3" s="87" t="s">
        <v>665</v>
      </c>
      <c r="M3" s="88" t="s">
        <v>666</v>
      </c>
      <c r="N3" s="87" t="s">
        <v>665</v>
      </c>
      <c r="O3" s="33" t="s">
        <v>664</v>
      </c>
      <c r="P3" s="33" t="s">
        <v>667</v>
      </c>
      <c r="Q3" s="33" t="s">
        <v>668</v>
      </c>
      <c r="R3" s="33" t="s">
        <v>669</v>
      </c>
      <c r="S3" s="86" t="s">
        <v>664</v>
      </c>
      <c r="T3" s="87" t="s">
        <v>665</v>
      </c>
      <c r="U3" s="88" t="s">
        <v>666</v>
      </c>
      <c r="V3" s="87" t="s">
        <v>665</v>
      </c>
      <c r="W3" s="33" t="s">
        <v>664</v>
      </c>
      <c r="X3" s="33" t="s">
        <v>667</v>
      </c>
      <c r="Y3" s="33" t="s">
        <v>668</v>
      </c>
      <c r="Z3" s="33" t="s">
        <v>669</v>
      </c>
      <c r="AA3" s="86" t="s">
        <v>664</v>
      </c>
      <c r="AB3" s="87" t="s">
        <v>665</v>
      </c>
      <c r="AC3" s="88" t="s">
        <v>666</v>
      </c>
      <c r="AD3" s="87" t="s">
        <v>665</v>
      </c>
      <c r="AE3" s="33" t="s">
        <v>664</v>
      </c>
      <c r="AF3" s="33" t="s">
        <v>667</v>
      </c>
      <c r="AG3" s="33" t="s">
        <v>668</v>
      </c>
      <c r="AH3" s="33" t="s">
        <v>669</v>
      </c>
      <c r="AI3" s="86" t="s">
        <v>664</v>
      </c>
      <c r="AJ3" s="87" t="s">
        <v>665</v>
      </c>
      <c r="AK3" s="88" t="s">
        <v>666</v>
      </c>
      <c r="AL3" s="87" t="s">
        <v>665</v>
      </c>
      <c r="AM3" s="33" t="s">
        <v>664</v>
      </c>
      <c r="AN3" s="33" t="s">
        <v>667</v>
      </c>
      <c r="AO3" s="33" t="s">
        <v>668</v>
      </c>
      <c r="AP3" s="33" t="s">
        <v>669</v>
      </c>
      <c r="AQ3" s="228" t="s">
        <v>664</v>
      </c>
      <c r="AR3" s="229" t="s">
        <v>665</v>
      </c>
      <c r="AS3" s="88" t="s">
        <v>666</v>
      </c>
      <c r="AT3" s="87" t="s">
        <v>665</v>
      </c>
      <c r="AU3" s="33" t="s">
        <v>664</v>
      </c>
      <c r="AV3" s="33" t="s">
        <v>667</v>
      </c>
      <c r="AW3" s="33" t="s">
        <v>668</v>
      </c>
      <c r="AX3" s="33" t="s">
        <v>669</v>
      </c>
      <c r="AY3" s="228" t="s">
        <v>664</v>
      </c>
      <c r="AZ3" s="229" t="s">
        <v>665</v>
      </c>
      <c r="BA3" s="88" t="s">
        <v>666</v>
      </c>
      <c r="BB3" s="87" t="s">
        <v>665</v>
      </c>
      <c r="BC3" s="33" t="s">
        <v>664</v>
      </c>
      <c r="BD3" s="33" t="s">
        <v>667</v>
      </c>
      <c r="BE3" s="33" t="s">
        <v>668</v>
      </c>
      <c r="BF3" s="33" t="s">
        <v>669</v>
      </c>
      <c r="BG3" s="228" t="s">
        <v>664</v>
      </c>
      <c r="BH3" s="229" t="s">
        <v>665</v>
      </c>
      <c r="BI3" s="88" t="s">
        <v>666</v>
      </c>
      <c r="BJ3" s="87" t="s">
        <v>665</v>
      </c>
      <c r="BK3" s="33" t="s">
        <v>664</v>
      </c>
      <c r="BL3" s="33" t="s">
        <v>667</v>
      </c>
      <c r="BM3" s="33" t="s">
        <v>668</v>
      </c>
      <c r="BN3" s="33" t="s">
        <v>669</v>
      </c>
      <c r="BO3" s="228" t="s">
        <v>664</v>
      </c>
      <c r="BP3" s="229" t="s">
        <v>665</v>
      </c>
      <c r="BQ3" s="88" t="s">
        <v>666</v>
      </c>
      <c r="BR3" s="87" t="s">
        <v>665</v>
      </c>
      <c r="BS3" s="33" t="s">
        <v>664</v>
      </c>
      <c r="BT3" s="33" t="s">
        <v>667</v>
      </c>
      <c r="BU3" s="33" t="s">
        <v>668</v>
      </c>
      <c r="BV3" s="33" t="s">
        <v>669</v>
      </c>
      <c r="BW3" s="228" t="s">
        <v>664</v>
      </c>
      <c r="BX3" s="229" t="s">
        <v>665</v>
      </c>
      <c r="BY3" s="88" t="s">
        <v>666</v>
      </c>
      <c r="BZ3" s="87" t="s">
        <v>665</v>
      </c>
      <c r="CA3" s="33" t="s">
        <v>664</v>
      </c>
      <c r="CB3" s="33" t="s">
        <v>667</v>
      </c>
      <c r="CC3" s="33" t="s">
        <v>668</v>
      </c>
      <c r="CD3" s="33" t="s">
        <v>669</v>
      </c>
      <c r="CE3" s="228" t="s">
        <v>664</v>
      </c>
      <c r="CF3" s="229" t="s">
        <v>665</v>
      </c>
      <c r="CG3" s="88" t="s">
        <v>666</v>
      </c>
      <c r="CH3" s="87" t="s">
        <v>665</v>
      </c>
      <c r="CI3" s="33" t="s">
        <v>664</v>
      </c>
      <c r="CJ3" s="33" t="s">
        <v>667</v>
      </c>
      <c r="CK3" s="33" t="s">
        <v>668</v>
      </c>
      <c r="CL3" s="33" t="s">
        <v>669</v>
      </c>
      <c r="CM3" s="228" t="s">
        <v>664</v>
      </c>
      <c r="CN3" s="229" t="s">
        <v>665</v>
      </c>
      <c r="CO3" s="88" t="s">
        <v>666</v>
      </c>
      <c r="CP3" s="87" t="s">
        <v>665</v>
      </c>
      <c r="CQ3" s="33" t="s">
        <v>664</v>
      </c>
      <c r="CR3" s="33" t="s">
        <v>667</v>
      </c>
      <c r="CS3" s="33" t="s">
        <v>668</v>
      </c>
      <c r="CT3" s="33" t="s">
        <v>669</v>
      </c>
      <c r="CU3" s="228" t="s">
        <v>664</v>
      </c>
      <c r="CV3" s="229" t="s">
        <v>665</v>
      </c>
      <c r="CW3" s="88" t="s">
        <v>666</v>
      </c>
      <c r="CX3" s="87" t="s">
        <v>665</v>
      </c>
      <c r="CY3" s="33" t="s">
        <v>664</v>
      </c>
      <c r="CZ3" s="33" t="s">
        <v>667</v>
      </c>
      <c r="DA3" s="33" t="s">
        <v>668</v>
      </c>
      <c r="DB3" s="33" t="s">
        <v>669</v>
      </c>
    </row>
    <row r="4" spans="2:106" s="89" customFormat="1" ht="17.45" customHeight="1">
      <c r="B4" s="90" t="s">
        <v>15</v>
      </c>
      <c r="C4" s="343">
        <f>SUM(C5:C7)</f>
        <v>0</v>
      </c>
      <c r="D4" s="91"/>
      <c r="E4" s="343">
        <f>SUM(E5:E7)</f>
        <v>0</v>
      </c>
      <c r="F4" s="91"/>
      <c r="G4" s="343">
        <f>SUM(G5:G7)</f>
        <v>0</v>
      </c>
      <c r="H4" s="91"/>
      <c r="I4" s="458" t="str">
        <f t="shared" ref="I4:I15" si="0">IF(IFERROR(G4/E4-1,"")=0,"",IFERROR(+G4/E4-1,""))</f>
        <v/>
      </c>
      <c r="J4" s="458" t="str">
        <f t="shared" ref="J4:J15" si="1">IF(IFERROR(G4/C4-1,"")=0,"",IFERROR(+G4/C4-1,""))</f>
        <v/>
      </c>
      <c r="K4" s="343">
        <f>SUM(K5:K7)</f>
        <v>0</v>
      </c>
      <c r="L4" s="91"/>
      <c r="M4" s="343">
        <f>SUM(M5:M7)</f>
        <v>0</v>
      </c>
      <c r="N4" s="91"/>
      <c r="O4" s="343">
        <f>SUM(O5:O7)</f>
        <v>0</v>
      </c>
      <c r="P4" s="91"/>
      <c r="Q4" s="458" t="str">
        <f t="shared" ref="Q4:Q15" si="2">IF(IFERROR(O4/M4-1,"")=0,"",IFERROR(+O4/M4-1,""))</f>
        <v/>
      </c>
      <c r="R4" s="458" t="str">
        <f t="shared" ref="R4:R15" si="3">IF(IFERROR(O4/K4-1,"")=0,"",IFERROR(+O4/K4-1,""))</f>
        <v/>
      </c>
      <c r="S4" s="343">
        <f>SUM(S5:S7)</f>
        <v>0</v>
      </c>
      <c r="T4" s="91"/>
      <c r="U4" s="343">
        <f>SUM(U5:U7)</f>
        <v>0</v>
      </c>
      <c r="V4" s="91"/>
      <c r="W4" s="343">
        <f>SUM(W5:W7)</f>
        <v>5929.9</v>
      </c>
      <c r="X4" s="91"/>
      <c r="Y4" s="458" t="str">
        <f t="shared" ref="Y4:Y15" si="4">IF(IFERROR(W4/U4-1,"")=0,"",IFERROR(+W4/U4-1,""))</f>
        <v/>
      </c>
      <c r="Z4" s="458" t="str">
        <f t="shared" ref="Z4:Z15" si="5">IF(IFERROR(W4/S4-1,"")=0,"",IFERROR(+W4/S4-1,""))</f>
        <v/>
      </c>
      <c r="AA4" s="343">
        <f>SUM(AA5:AA7)</f>
        <v>0</v>
      </c>
      <c r="AB4" s="91"/>
      <c r="AC4" s="343">
        <f>SUM(AC5:AC7)</f>
        <v>13671.84</v>
      </c>
      <c r="AD4" s="91"/>
      <c r="AE4" s="343">
        <f>SUM(AE5:AE7)</f>
        <v>13713.2</v>
      </c>
      <c r="AF4" s="91"/>
      <c r="AG4" s="458">
        <f t="shared" ref="AG4:AG15" si="6">IF(IFERROR(AE4/AC4-1,"")=0,"",IFERROR(+AE4/AC4-1,""))</f>
        <v>3.0251963159311224E-3</v>
      </c>
      <c r="AH4" s="458" t="str">
        <f t="shared" ref="AH4:AH15" si="7">IF(IFERROR(AE4/AA4-1,"")=0,"",IFERROR(+AE4/AA4-1,""))</f>
        <v/>
      </c>
      <c r="AI4" s="343">
        <f>SUM(AI5:AI7)</f>
        <v>0</v>
      </c>
      <c r="AJ4" s="91"/>
      <c r="AK4" s="343">
        <f>SUM(AK5:AK7)</f>
        <v>13972</v>
      </c>
      <c r="AL4" s="91"/>
      <c r="AM4" s="343">
        <f>SUM(AM5:AM7)</f>
        <v>15712.59</v>
      </c>
      <c r="AN4" s="91"/>
      <c r="AO4" s="458">
        <f t="shared" ref="AO4:AO15" si="8">IF(IFERROR(AM4/AK4-1,"")=0,"",IFERROR(+AM4/AK4-1,""))</f>
        <v>0.1245770111651876</v>
      </c>
      <c r="AP4" s="458" t="str">
        <f t="shared" ref="AP4:AP15" si="9">IF(IFERROR(AM4/AI4-1,"")=0,"",IFERROR(+AM4/AI4-1,""))</f>
        <v/>
      </c>
      <c r="AQ4" s="343">
        <f>SUM(AQ5:AQ7)</f>
        <v>0</v>
      </c>
      <c r="AR4" s="91"/>
      <c r="AS4" s="343">
        <f>SUM(AS5:AS7)</f>
        <v>15080</v>
      </c>
      <c r="AT4" s="91"/>
      <c r="AU4" s="343">
        <f>SUM(AU5:AU7)</f>
        <v>14253.351000000001</v>
      </c>
      <c r="AV4" s="91"/>
      <c r="AW4" s="458">
        <f t="shared" ref="AW4:AW15" si="10">IF(IFERROR(AU4/AS4-1,"")=0,"",IFERROR(+AU4/AS4-1,""))</f>
        <v>-5.4817572944297011E-2</v>
      </c>
      <c r="AX4" s="458" t="str">
        <f t="shared" ref="AX4:AX15" si="11">IF(IFERROR(AU4/AQ4-1,"")=0,"",IFERROR(+AU4/AQ4-1,""))</f>
        <v/>
      </c>
      <c r="AY4" s="343">
        <f>SUM(AY5:AY7)</f>
        <v>0</v>
      </c>
      <c r="AZ4" s="91"/>
      <c r="BA4" s="343">
        <f>SUM(BA5:BA7)</f>
        <v>15667.5</v>
      </c>
      <c r="BB4" s="91"/>
      <c r="BC4" s="343">
        <f>SUM(BC5:BC7)</f>
        <v>0</v>
      </c>
      <c r="BD4" s="91"/>
      <c r="BE4" s="458">
        <f t="shared" ref="BE4:BE15" si="12">IF(IFERROR(BC4/BA4-1,"")=0,"",IFERROR(+BC4/BA4-1,""))</f>
        <v>-1</v>
      </c>
      <c r="BF4" s="458" t="str">
        <f t="shared" ref="BF4:BF15" si="13">IF(IFERROR(BC4/AY4-1,"")=0,"",IFERROR(+BC4/AY4-1,""))</f>
        <v/>
      </c>
      <c r="BG4" s="343">
        <f>SUM(BG5:BG7)</f>
        <v>0</v>
      </c>
      <c r="BH4" s="91"/>
      <c r="BI4" s="343">
        <f>SUM(BI5:BI7)</f>
        <v>15667.5</v>
      </c>
      <c r="BJ4" s="91"/>
      <c r="BK4" s="343">
        <f>SUM(BK5:BK7)</f>
        <v>0</v>
      </c>
      <c r="BL4" s="91"/>
      <c r="BM4" s="458">
        <f t="shared" ref="BM4:BM15" si="14">IF(IFERROR(BK4/BI4-1,"")=0,"",IFERROR(+BK4/BI4-1,""))</f>
        <v>-1</v>
      </c>
      <c r="BN4" s="458" t="str">
        <f t="shared" ref="BN4:BN15" si="15">IF(IFERROR(BK4/BG4-1,"")=0,"",IFERROR(+BK4/BG4-1,""))</f>
        <v/>
      </c>
      <c r="BO4" s="343">
        <f>SUM(BO5:BO7)</f>
        <v>0</v>
      </c>
      <c r="BP4" s="91"/>
      <c r="BQ4" s="343">
        <f>SUM(BQ5:BQ7)</f>
        <v>14480</v>
      </c>
      <c r="BR4" s="91"/>
      <c r="BS4" s="343">
        <f>SUM(BS5:BS7)</f>
        <v>0</v>
      </c>
      <c r="BT4" s="91"/>
      <c r="BU4" s="458">
        <f t="shared" ref="BU4:BU15" si="16">IF(IFERROR(BS4/BQ4-1,"")=0,"",IFERROR(+BS4/BQ4-1,""))</f>
        <v>-1</v>
      </c>
      <c r="BV4" s="458" t="str">
        <f t="shared" ref="BV4:BV15" si="17">IF(IFERROR(BS4/BO4-1,"")=0,"",IFERROR(+BS4/BO4-1,""))</f>
        <v/>
      </c>
      <c r="BW4" s="343">
        <f>SUM(BW5:BW7)</f>
        <v>0</v>
      </c>
      <c r="BX4" s="91"/>
      <c r="BY4" s="343">
        <f>SUM(BY5:BY7)</f>
        <v>14084.0307031188</v>
      </c>
      <c r="BZ4" s="91"/>
      <c r="CA4" s="343">
        <f>SUM(CA5:CA7)</f>
        <v>0</v>
      </c>
      <c r="CB4" s="91"/>
      <c r="CC4" s="458">
        <f t="shared" ref="CC4:CC15" si="18">IF(IFERROR(CA4/BY4-1,"")=0,"",IFERROR(+CA4/BY4-1,""))</f>
        <v>-1</v>
      </c>
      <c r="CD4" s="458" t="str">
        <f t="shared" ref="CD4:CD15" si="19">IF(IFERROR(CA4/BW4-1,"")=0,"",IFERROR(+CA4/BW4-1,""))</f>
        <v/>
      </c>
      <c r="CE4" s="343">
        <f>SUM(CE5:CE7)</f>
        <v>0</v>
      </c>
      <c r="CF4" s="91"/>
      <c r="CG4" s="343">
        <f>SUM(CG5:CG7)</f>
        <v>14541.024428233881</v>
      </c>
      <c r="CH4" s="91"/>
      <c r="CI4" s="343">
        <f>SUM(CI5:CI7)</f>
        <v>0</v>
      </c>
      <c r="CJ4" s="91"/>
      <c r="CK4" s="458">
        <f t="shared" ref="CK4:CK15" si="20">IF(IFERROR(CI4/CG4-1,"")=0,"",IFERROR(+CI4/CG4-1,""))</f>
        <v>-1</v>
      </c>
      <c r="CL4" s="458" t="str">
        <f t="shared" ref="CL4:CL15" si="21">IF(IFERROR(CI4/CE4-1,"")=0,"",IFERROR(+CI4/CE4-1,""))</f>
        <v/>
      </c>
      <c r="CM4" s="343">
        <f>SUM(CM5:CM7)</f>
        <v>0</v>
      </c>
      <c r="CN4" s="91"/>
      <c r="CO4" s="343">
        <f>SUM(CO5:CO7)</f>
        <v>15446.080358096271</v>
      </c>
      <c r="CP4" s="91"/>
      <c r="CQ4" s="343">
        <f>SUM(CQ5:CQ7)</f>
        <v>0</v>
      </c>
      <c r="CR4" s="91"/>
      <c r="CS4" s="458">
        <f t="shared" ref="CS4:CS15" si="22">IF(IFERROR(CQ4/CO4-1,"")=0,"",IFERROR(+CQ4/CO4-1,""))</f>
        <v>-1</v>
      </c>
      <c r="CT4" s="458" t="str">
        <f t="shared" ref="CT4:CT15" si="23">IF(IFERROR(CQ4/CM4-1,"")=0,"",IFERROR(+CQ4/CM4-1,""))</f>
        <v/>
      </c>
      <c r="CU4" s="343">
        <f t="shared" ref="CU4:CU67" si="24">SUM(C4,K4,S4,AA4,AI4,AQ4,AY4,BG4,BO4,BW4,CE4,CM4)</f>
        <v>0</v>
      </c>
      <c r="CV4" s="91" t="str">
        <f t="shared" ref="CV4:CV49" si="25">IFERROR(CU4/CU$4,"")</f>
        <v/>
      </c>
      <c r="CW4" s="343">
        <f t="shared" ref="CW4:CW67" si="26">SUM(E4,M4,U4,AC4,AK4,AS4,BA4,BI4,BQ4,BY4,CG4,CO4)</f>
        <v>132609.97548944896</v>
      </c>
      <c r="CX4" s="91">
        <f t="shared" ref="CX4:CX49" si="27">IFERROR(CW4/CW$4,"")</f>
        <v>1</v>
      </c>
      <c r="CY4" s="343">
        <f t="shared" ref="CY4:CY49" si="28">SUM(G4,O4,W4,AE4,AM4,AU4,BC4,BK4,BS4,CA4,CI4,CQ4)</f>
        <v>49609.041000000005</v>
      </c>
      <c r="CZ4" s="91">
        <f t="shared" ref="CZ4:CZ49" si="29">IFERROR(CY4/CY$4,"")</f>
        <v>1</v>
      </c>
      <c r="DA4" s="458">
        <f t="shared" ref="DA4:DA49" si="30">IF(IFERROR(CY4/CW4-1,"")=0,"",IFERROR(+CY4/CW4-1,""))</f>
        <v>-0.62590264558229158</v>
      </c>
      <c r="DB4" s="458" t="str">
        <f t="shared" ref="DB4:DB49" si="31">IF(IFERROR(CY4/CU4-1,"")=0,"",IFERROR(+CY4/CU4-1,""))</f>
        <v/>
      </c>
    </row>
    <row r="5" spans="2:106" s="92" customFormat="1" ht="13.15" customHeight="1">
      <c r="B5" s="93" t="s">
        <v>16</v>
      </c>
      <c r="C5" s="238"/>
      <c r="D5" s="34" t="str">
        <f>IFERROR(C5/C$4,".")</f>
        <v>.</v>
      </c>
      <c r="E5" s="238"/>
      <c r="F5" s="34" t="str">
        <f>IFERROR(E5/E$4,"")</f>
        <v/>
      </c>
      <c r="G5" s="36">
        <f>+'Отчет о фин.рез.'!B3</f>
        <v>0</v>
      </c>
      <c r="H5" s="34" t="str">
        <f>IFERROR(G5/G$4,"")</f>
        <v/>
      </c>
      <c r="I5" s="459" t="str">
        <f t="shared" si="0"/>
        <v/>
      </c>
      <c r="J5" s="459" t="str">
        <f t="shared" si="1"/>
        <v/>
      </c>
      <c r="K5" s="238"/>
      <c r="L5" s="34" t="str">
        <f>IFERROR(K5/K$4,".")</f>
        <v>.</v>
      </c>
      <c r="M5" s="238"/>
      <c r="N5" s="34" t="str">
        <f>IFERROR(M5/M$4,"")</f>
        <v/>
      </c>
      <c r="O5" s="36">
        <f>+'Отчет о фин.рез.'!C3</f>
        <v>0</v>
      </c>
      <c r="P5" s="34" t="str">
        <f>IFERROR(O5/O$4,"")</f>
        <v/>
      </c>
      <c r="Q5" s="459" t="str">
        <f t="shared" si="2"/>
        <v/>
      </c>
      <c r="R5" s="459" t="str">
        <f t="shared" si="3"/>
        <v/>
      </c>
      <c r="S5" s="238"/>
      <c r="T5" s="34" t="str">
        <f>IFERROR(S5/S$4,".")</f>
        <v>.</v>
      </c>
      <c r="U5" s="238">
        <v>0</v>
      </c>
      <c r="V5" s="34" t="str">
        <f>IFERROR(U5/U$4,"")</f>
        <v/>
      </c>
      <c r="W5" s="36">
        <f>+'Отчет о фин.рез.'!D3</f>
        <v>5929.9</v>
      </c>
      <c r="X5" s="34">
        <f>IFERROR(W5/W$4,"")</f>
        <v>1</v>
      </c>
      <c r="Y5" s="459" t="str">
        <f t="shared" si="4"/>
        <v/>
      </c>
      <c r="Z5" s="459" t="str">
        <f t="shared" si="5"/>
        <v/>
      </c>
      <c r="AA5" s="238"/>
      <c r="AB5" s="34" t="str">
        <f>IFERROR(AA5/AA$4,".")</f>
        <v>.</v>
      </c>
      <c r="AC5" s="238">
        <v>13671.84</v>
      </c>
      <c r="AD5" s="34">
        <f>IFERROR(AC5/AC$4,"")</f>
        <v>1</v>
      </c>
      <c r="AE5" s="36">
        <f>+'Отчет о фин.рез.'!E3</f>
        <v>13713.2</v>
      </c>
      <c r="AF5" s="34">
        <f>IFERROR(AE5/AE$4,"")</f>
        <v>1</v>
      </c>
      <c r="AG5" s="459">
        <f t="shared" si="6"/>
        <v>3.0251963159311224E-3</v>
      </c>
      <c r="AH5" s="459" t="str">
        <f t="shared" si="7"/>
        <v/>
      </c>
      <c r="AI5" s="238"/>
      <c r="AJ5" s="34" t="str">
        <f>IFERROR(AI5/AI$4,".")</f>
        <v>.</v>
      </c>
      <c r="AK5" s="238">
        <v>13672</v>
      </c>
      <c r="AL5" s="34">
        <f>IFERROR(AK5/AK$4,"")</f>
        <v>0.97852848554251359</v>
      </c>
      <c r="AM5" s="36">
        <f>+'Отчет о фин.рез.'!F3</f>
        <v>15712.59</v>
      </c>
      <c r="AN5" s="34">
        <f>IFERROR(AM5/AM$4,"")</f>
        <v>1</v>
      </c>
      <c r="AO5" s="459">
        <f t="shared" si="8"/>
        <v>0.14925321825629023</v>
      </c>
      <c r="AP5" s="459" t="str">
        <f t="shared" si="9"/>
        <v/>
      </c>
      <c r="AQ5" s="344"/>
      <c r="AR5" s="38" t="str">
        <f>IFERROR(AQ5/AQ$4,".")</f>
        <v>.</v>
      </c>
      <c r="AS5" s="238">
        <v>14960</v>
      </c>
      <c r="AT5" s="34">
        <f>IFERROR(AS5/AS$4,"")</f>
        <v>0.99204244031830235</v>
      </c>
      <c r="AU5" s="36">
        <f>+'Отчет о фин.рез.'!G3</f>
        <v>14253.351000000001</v>
      </c>
      <c r="AV5" s="34">
        <f>IFERROR(AU5/AU$4,"")</f>
        <v>1</v>
      </c>
      <c r="AW5" s="459">
        <f t="shared" si="10"/>
        <v>-4.7235895721925103E-2</v>
      </c>
      <c r="AX5" s="459" t="str">
        <f t="shared" si="11"/>
        <v/>
      </c>
      <c r="AY5" s="344"/>
      <c r="AZ5" s="38" t="str">
        <f>IFERROR(AY5/AY$4,".")</f>
        <v>.</v>
      </c>
      <c r="BA5" s="238">
        <v>15487.5</v>
      </c>
      <c r="BB5" s="34">
        <f>IFERROR(BA5/BA$4,"")</f>
        <v>0.9885112494016276</v>
      </c>
      <c r="BC5" s="36">
        <f>+'Отчет о фин.рез.'!H3</f>
        <v>0</v>
      </c>
      <c r="BD5" s="34" t="str">
        <f>IFERROR(BC5/BC$4,"")</f>
        <v/>
      </c>
      <c r="BE5" s="459">
        <f t="shared" si="12"/>
        <v>-1</v>
      </c>
      <c r="BF5" s="459" t="str">
        <f t="shared" si="13"/>
        <v/>
      </c>
      <c r="BG5" s="344"/>
      <c r="BH5" s="38" t="str">
        <f>IFERROR(BG5/BG$4,".")</f>
        <v>.</v>
      </c>
      <c r="BI5" s="238">
        <v>15487.5</v>
      </c>
      <c r="BJ5" s="34">
        <f>IFERROR(BI5/BI$4,"")</f>
        <v>0.9885112494016276</v>
      </c>
      <c r="BK5" s="36">
        <f>+'Отчет о фин.рез.'!I3</f>
        <v>0</v>
      </c>
      <c r="BL5" s="34" t="str">
        <f>IFERROR(BK5/BK$4,"")</f>
        <v/>
      </c>
      <c r="BM5" s="459">
        <f t="shared" si="14"/>
        <v>-1</v>
      </c>
      <c r="BN5" s="459" t="str">
        <f t="shared" si="15"/>
        <v/>
      </c>
      <c r="BO5" s="344"/>
      <c r="BP5" s="38" t="str">
        <f>IFERROR(BO5/BO$4,".")</f>
        <v>.</v>
      </c>
      <c r="BQ5" s="238">
        <v>14280</v>
      </c>
      <c r="BR5" s="34">
        <f>IFERROR(BQ5/BQ$4,"")</f>
        <v>0.98618784530386738</v>
      </c>
      <c r="BS5" s="36">
        <f>+'Отчет о фин.рез.'!J3</f>
        <v>0</v>
      </c>
      <c r="BT5" s="34" t="str">
        <f>IFERROR(BS5/BS$4,"")</f>
        <v/>
      </c>
      <c r="BU5" s="459">
        <f t="shared" si="16"/>
        <v>-1</v>
      </c>
      <c r="BV5" s="459" t="str">
        <f t="shared" si="17"/>
        <v/>
      </c>
      <c r="BW5" s="344"/>
      <c r="BX5" s="38" t="str">
        <f>IFERROR(BW5/BW$4,".")</f>
        <v>.</v>
      </c>
      <c r="BY5" s="238">
        <v>10385.956875542921</v>
      </c>
      <c r="BZ5" s="34">
        <f>IFERROR(BY5/BY$4,"")</f>
        <v>0.73742787803231857</v>
      </c>
      <c r="CA5" s="36">
        <f>+'Отчет о фин.рез.'!K3</f>
        <v>0</v>
      </c>
      <c r="CB5" s="34" t="str">
        <f>IFERROR(CA5/CA$4,"")</f>
        <v/>
      </c>
      <c r="CC5" s="459">
        <f t="shared" si="18"/>
        <v>-1</v>
      </c>
      <c r="CD5" s="459" t="str">
        <f t="shared" si="19"/>
        <v/>
      </c>
      <c r="CE5" s="344"/>
      <c r="CF5" s="38" t="str">
        <f>IFERROR(CE5/CE$4,".")</f>
        <v>.</v>
      </c>
      <c r="CG5" s="238">
        <v>11111.832598233879</v>
      </c>
      <c r="CH5" s="34">
        <f>IFERROR(CG5/CG$4,"")</f>
        <v>0.76417123518879182</v>
      </c>
      <c r="CI5" s="36">
        <f>+'Отчет о фин.рез.'!L3</f>
        <v>0</v>
      </c>
      <c r="CJ5" s="34" t="str">
        <f>IFERROR(CI5/CI$4,"")</f>
        <v/>
      </c>
      <c r="CK5" s="459">
        <f t="shared" si="20"/>
        <v>-1</v>
      </c>
      <c r="CL5" s="459" t="str">
        <f t="shared" si="21"/>
        <v/>
      </c>
      <c r="CM5" s="344"/>
      <c r="CN5" s="38" t="str">
        <f>IFERROR(CM5/CM$4,".")</f>
        <v>.</v>
      </c>
      <c r="CO5" s="238">
        <v>11288.099264346271</v>
      </c>
      <c r="CP5" s="34">
        <f>IFERROR(CO5/CO$4,"")</f>
        <v>0.73080671617958148</v>
      </c>
      <c r="CQ5" s="36">
        <f>+'Отчет о фин.рез.'!M3</f>
        <v>0</v>
      </c>
      <c r="CR5" s="34" t="str">
        <f>IFERROR(CQ5/CQ$4,"")</f>
        <v/>
      </c>
      <c r="CS5" s="459">
        <f t="shared" si="22"/>
        <v>-1</v>
      </c>
      <c r="CT5" s="459" t="str">
        <f t="shared" si="23"/>
        <v/>
      </c>
      <c r="CU5" s="344">
        <f t="shared" si="24"/>
        <v>0</v>
      </c>
      <c r="CV5" s="38" t="str">
        <f t="shared" si="25"/>
        <v/>
      </c>
      <c r="CW5" s="238">
        <f t="shared" si="26"/>
        <v>120344.72873812306</v>
      </c>
      <c r="CX5" s="34">
        <f t="shared" si="27"/>
        <v>0.90750886797123509</v>
      </c>
      <c r="CY5" s="36">
        <f t="shared" si="28"/>
        <v>49609.041000000005</v>
      </c>
      <c r="CZ5" s="34">
        <f t="shared" si="29"/>
        <v>1</v>
      </c>
      <c r="DA5" s="459">
        <f t="shared" si="30"/>
        <v>-0.58777553848700692</v>
      </c>
      <c r="DB5" s="459" t="str">
        <f t="shared" si="31"/>
        <v/>
      </c>
    </row>
    <row r="6" spans="2:106" s="92" customFormat="1" ht="13.15" customHeight="1">
      <c r="B6" s="93" t="s">
        <v>17</v>
      </c>
      <c r="C6" s="238"/>
      <c r="D6" s="34" t="str">
        <f>IFERROR(C6/C$4,"")</f>
        <v/>
      </c>
      <c r="E6" s="238"/>
      <c r="F6" s="34" t="str">
        <f>IFERROR(E6/E$4,"")</f>
        <v/>
      </c>
      <c r="G6" s="36">
        <f>+'Отчет о фин.рез.'!B4</f>
        <v>0</v>
      </c>
      <c r="H6" s="34" t="str">
        <f>IFERROR(G6/G$4,"")</f>
        <v/>
      </c>
      <c r="I6" s="459" t="str">
        <f t="shared" si="0"/>
        <v/>
      </c>
      <c r="J6" s="459" t="str">
        <f t="shared" si="1"/>
        <v/>
      </c>
      <c r="K6" s="238"/>
      <c r="L6" s="34" t="str">
        <f>IFERROR(K6/K$4,"")</f>
        <v/>
      </c>
      <c r="M6" s="238"/>
      <c r="N6" s="34" t="str">
        <f>IFERROR(M6/M$4,"")</f>
        <v/>
      </c>
      <c r="O6" s="36">
        <f>+'Отчет о фин.рез.'!C4</f>
        <v>0</v>
      </c>
      <c r="P6" s="34" t="str">
        <f>IFERROR(O6/O$4,"")</f>
        <v/>
      </c>
      <c r="Q6" s="459" t="str">
        <f t="shared" si="2"/>
        <v/>
      </c>
      <c r="R6" s="459" t="str">
        <f t="shared" si="3"/>
        <v/>
      </c>
      <c r="S6" s="238"/>
      <c r="T6" s="34" t="str">
        <f>IFERROR(S6/S$4,"")</f>
        <v/>
      </c>
      <c r="U6" s="238">
        <v>0</v>
      </c>
      <c r="V6" s="34" t="str">
        <f>IFERROR(U6/U$4,"")</f>
        <v/>
      </c>
      <c r="W6" s="36">
        <f>+'Отчет о фин.рез.'!D4</f>
        <v>0</v>
      </c>
      <c r="X6" s="34">
        <f>IFERROR(W6/W$4,"")</f>
        <v>0</v>
      </c>
      <c r="Y6" s="459" t="str">
        <f t="shared" si="4"/>
        <v/>
      </c>
      <c r="Z6" s="459" t="str">
        <f t="shared" si="5"/>
        <v/>
      </c>
      <c r="AA6" s="238"/>
      <c r="AB6" s="34" t="str">
        <f>IFERROR(AA6/AA$4,"")</f>
        <v/>
      </c>
      <c r="AC6" s="238">
        <v>0</v>
      </c>
      <c r="AD6" s="34">
        <f>IFERROR(AC6/AC$4,"")</f>
        <v>0</v>
      </c>
      <c r="AE6" s="36">
        <f>+'Отчет о фин.рез.'!E4</f>
        <v>0</v>
      </c>
      <c r="AF6" s="34">
        <f>IFERROR(AE6/AE$4,"")</f>
        <v>0</v>
      </c>
      <c r="AG6" s="459" t="str">
        <f t="shared" si="6"/>
        <v/>
      </c>
      <c r="AH6" s="459" t="str">
        <f t="shared" si="7"/>
        <v/>
      </c>
      <c r="AI6" s="238"/>
      <c r="AJ6" s="34" t="str">
        <f>IFERROR(AI6/AI$4,"")</f>
        <v/>
      </c>
      <c r="AK6" s="238">
        <v>300</v>
      </c>
      <c r="AL6" s="34">
        <f>IFERROR(AK6/AK$4,"")</f>
        <v>2.14715144574864E-2</v>
      </c>
      <c r="AM6" s="36">
        <f>+'Отчет о фин.рез.'!F4</f>
        <v>0</v>
      </c>
      <c r="AN6" s="34">
        <f>IFERROR(AM6/AM$4,"")</f>
        <v>0</v>
      </c>
      <c r="AO6" s="459">
        <f t="shared" si="8"/>
        <v>-1</v>
      </c>
      <c r="AP6" s="459" t="str">
        <f t="shared" si="9"/>
        <v/>
      </c>
      <c r="AQ6" s="344"/>
      <c r="AR6" s="38" t="str">
        <f>IFERROR(AQ6/AQ$4,"")</f>
        <v/>
      </c>
      <c r="AS6" s="238">
        <v>120</v>
      </c>
      <c r="AT6" s="34">
        <f>IFERROR(AS6/AS$4,"")</f>
        <v>7.9575596816976128E-3</v>
      </c>
      <c r="AU6" s="36">
        <f>+'Отчет о фин.рез.'!G4</f>
        <v>0</v>
      </c>
      <c r="AV6" s="34">
        <f>IFERROR(AU6/AU$4,"")</f>
        <v>0</v>
      </c>
      <c r="AW6" s="459">
        <f t="shared" si="10"/>
        <v>-1</v>
      </c>
      <c r="AX6" s="459" t="str">
        <f t="shared" si="11"/>
        <v/>
      </c>
      <c r="AY6" s="344"/>
      <c r="AZ6" s="38" t="str">
        <f>IFERROR(AY6/AY$4,"")</f>
        <v/>
      </c>
      <c r="BA6" s="238">
        <v>180</v>
      </c>
      <c r="BB6" s="34">
        <f>IFERROR(BA6/BA$4,"")</f>
        <v>1.1488750598372427E-2</v>
      </c>
      <c r="BC6" s="36">
        <f>+'Отчет о фин.рез.'!H4</f>
        <v>0</v>
      </c>
      <c r="BD6" s="34" t="str">
        <f>IFERROR(BC6/BC$4,"")</f>
        <v/>
      </c>
      <c r="BE6" s="459">
        <f t="shared" si="12"/>
        <v>-1</v>
      </c>
      <c r="BF6" s="459" t="str">
        <f t="shared" si="13"/>
        <v/>
      </c>
      <c r="BG6" s="344"/>
      <c r="BH6" s="38" t="str">
        <f>IFERROR(BG6/BG$4,"")</f>
        <v/>
      </c>
      <c r="BI6" s="238">
        <v>180</v>
      </c>
      <c r="BJ6" s="34">
        <f>IFERROR(BI6/BI$4,"")</f>
        <v>1.1488750598372427E-2</v>
      </c>
      <c r="BK6" s="36">
        <f>+'Отчет о фин.рез.'!I4</f>
        <v>0</v>
      </c>
      <c r="BL6" s="34" t="str">
        <f>IFERROR(BK6/BK$4,"")</f>
        <v/>
      </c>
      <c r="BM6" s="459">
        <f t="shared" si="14"/>
        <v>-1</v>
      </c>
      <c r="BN6" s="459" t="str">
        <f t="shared" si="15"/>
        <v/>
      </c>
      <c r="BO6" s="344"/>
      <c r="BP6" s="38" t="str">
        <f>IFERROR(BO6/BO$4,"")</f>
        <v/>
      </c>
      <c r="BQ6" s="238">
        <v>200</v>
      </c>
      <c r="BR6" s="34">
        <f>IFERROR(BQ6/BQ$4,"")</f>
        <v>1.3812154696132596E-2</v>
      </c>
      <c r="BS6" s="36">
        <f>+'Отчет о фин.рез.'!J4</f>
        <v>0</v>
      </c>
      <c r="BT6" s="34" t="str">
        <f>IFERROR(BS6/BS$4,"")</f>
        <v/>
      </c>
      <c r="BU6" s="459">
        <f t="shared" si="16"/>
        <v>-1</v>
      </c>
      <c r="BV6" s="459" t="str">
        <f t="shared" si="17"/>
        <v/>
      </c>
      <c r="BW6" s="344"/>
      <c r="BX6" s="38" t="str">
        <f>IFERROR(BW6/BW$4,"")</f>
        <v/>
      </c>
      <c r="BY6" s="238">
        <v>3698.073827575879</v>
      </c>
      <c r="BZ6" s="34">
        <f>IFERROR(BY6/BY$4,"")</f>
        <v>0.26257212196768137</v>
      </c>
      <c r="CA6" s="36">
        <f>+'Отчет о фин.рез.'!K4</f>
        <v>0</v>
      </c>
      <c r="CB6" s="34" t="str">
        <f>IFERROR(CA6/CA$4,"")</f>
        <v/>
      </c>
      <c r="CC6" s="459">
        <f t="shared" si="18"/>
        <v>-1</v>
      </c>
      <c r="CD6" s="459" t="str">
        <f t="shared" si="19"/>
        <v/>
      </c>
      <c r="CE6" s="344"/>
      <c r="CF6" s="38" t="str">
        <f>IFERROR(CE6/CE$4,"")</f>
        <v/>
      </c>
      <c r="CG6" s="238">
        <v>3429.1918300000011</v>
      </c>
      <c r="CH6" s="34">
        <f>IFERROR(CG6/CG$4,"")</f>
        <v>0.23582876481120821</v>
      </c>
      <c r="CI6" s="36">
        <f>+'Отчет о фин.рез.'!L4</f>
        <v>0</v>
      </c>
      <c r="CJ6" s="34" t="str">
        <f>IFERROR(CI6/CI$4,"")</f>
        <v/>
      </c>
      <c r="CK6" s="459">
        <f t="shared" si="20"/>
        <v>-1</v>
      </c>
      <c r="CL6" s="459" t="str">
        <f t="shared" si="21"/>
        <v/>
      </c>
      <c r="CM6" s="344"/>
      <c r="CN6" s="38" t="str">
        <f>IFERROR(CM6/CM$4,"")</f>
        <v/>
      </c>
      <c r="CO6" s="238">
        <v>4157.9810937500006</v>
      </c>
      <c r="CP6" s="34">
        <f>IFERROR(CO6/CO$4,"")</f>
        <v>0.26919328382041846</v>
      </c>
      <c r="CQ6" s="36">
        <f>+'Отчет о фин.рез.'!M4</f>
        <v>0</v>
      </c>
      <c r="CR6" s="34" t="str">
        <f>IFERROR(CQ6/CQ$4,"")</f>
        <v/>
      </c>
      <c r="CS6" s="459">
        <f t="shared" si="22"/>
        <v>-1</v>
      </c>
      <c r="CT6" s="459" t="str">
        <f t="shared" si="23"/>
        <v/>
      </c>
      <c r="CU6" s="344">
        <f t="shared" si="24"/>
        <v>0</v>
      </c>
      <c r="CV6" s="38" t="str">
        <f t="shared" si="25"/>
        <v/>
      </c>
      <c r="CW6" s="238">
        <f t="shared" si="26"/>
        <v>12265.246751325882</v>
      </c>
      <c r="CX6" s="34">
        <f t="shared" si="27"/>
        <v>9.2491132028764758E-2</v>
      </c>
      <c r="CY6" s="36">
        <f t="shared" si="28"/>
        <v>0</v>
      </c>
      <c r="CZ6" s="34">
        <f t="shared" si="29"/>
        <v>0</v>
      </c>
      <c r="DA6" s="459">
        <f t="shared" si="30"/>
        <v>-1</v>
      </c>
      <c r="DB6" s="459" t="str">
        <f t="shared" si="31"/>
        <v/>
      </c>
    </row>
    <row r="7" spans="2:106" s="92" customFormat="1" ht="15.6" customHeight="1">
      <c r="B7" s="93" t="s">
        <v>18</v>
      </c>
      <c r="C7" s="238"/>
      <c r="D7" s="34" t="str">
        <f>IFERROR(C7/C$4,"")</f>
        <v/>
      </c>
      <c r="E7" s="238"/>
      <c r="F7" s="34" t="str">
        <f>IFERROR(E7/E$4,"")</f>
        <v/>
      </c>
      <c r="G7" s="36">
        <f>+'Отчет о фин.рез.'!B5</f>
        <v>0</v>
      </c>
      <c r="H7" s="34" t="str">
        <f>IFERROR(G7/G$4,"")</f>
        <v/>
      </c>
      <c r="I7" s="459" t="str">
        <f t="shared" si="0"/>
        <v/>
      </c>
      <c r="J7" s="459" t="str">
        <f t="shared" si="1"/>
        <v/>
      </c>
      <c r="K7" s="238"/>
      <c r="L7" s="34" t="str">
        <f>IFERROR(K7/K$4,"")</f>
        <v/>
      </c>
      <c r="M7" s="238"/>
      <c r="N7" s="34" t="str">
        <f>IFERROR(M7/M$4,"")</f>
        <v/>
      </c>
      <c r="O7" s="36">
        <f>+'Отчет о фин.рез.'!C5</f>
        <v>0</v>
      </c>
      <c r="P7" s="34" t="str">
        <f>IFERROR(O7/O$4,"")</f>
        <v/>
      </c>
      <c r="Q7" s="459" t="str">
        <f t="shared" si="2"/>
        <v/>
      </c>
      <c r="R7" s="459" t="str">
        <f t="shared" si="3"/>
        <v/>
      </c>
      <c r="S7" s="238"/>
      <c r="T7" s="34" t="str">
        <f>IFERROR(S7/S$4,"")</f>
        <v/>
      </c>
      <c r="U7" s="238">
        <v>0</v>
      </c>
      <c r="V7" s="34" t="str">
        <f>IFERROR(U7/U$4,"")</f>
        <v/>
      </c>
      <c r="W7" s="36">
        <f>+'Отчет о фин.рез.'!D5</f>
        <v>0</v>
      </c>
      <c r="X7" s="34">
        <f>IFERROR(W7/W$4,"")</f>
        <v>0</v>
      </c>
      <c r="Y7" s="459" t="str">
        <f t="shared" si="4"/>
        <v/>
      </c>
      <c r="Z7" s="459" t="str">
        <f t="shared" si="5"/>
        <v/>
      </c>
      <c r="AA7" s="238"/>
      <c r="AB7" s="34" t="str">
        <f>IFERROR(AA7/AA$4,"")</f>
        <v/>
      </c>
      <c r="AC7" s="238">
        <v>0</v>
      </c>
      <c r="AD7" s="34">
        <f>IFERROR(AC7/AC$4,"")</f>
        <v>0</v>
      </c>
      <c r="AE7" s="36">
        <f>+'Отчет о фин.рез.'!E5</f>
        <v>0</v>
      </c>
      <c r="AF7" s="34">
        <f>IFERROR(AE7/AE$4,"")</f>
        <v>0</v>
      </c>
      <c r="AG7" s="459" t="str">
        <f t="shared" si="6"/>
        <v/>
      </c>
      <c r="AH7" s="459" t="str">
        <f t="shared" si="7"/>
        <v/>
      </c>
      <c r="AI7" s="238"/>
      <c r="AJ7" s="34" t="str">
        <f>IFERROR(AI7/AI$4,"")</f>
        <v/>
      </c>
      <c r="AK7" s="238">
        <v>0</v>
      </c>
      <c r="AL7" s="34">
        <f>IFERROR(AK7/AK$4,"")</f>
        <v>0</v>
      </c>
      <c r="AM7" s="36">
        <f>+'Отчет о фин.рез.'!F5</f>
        <v>0</v>
      </c>
      <c r="AN7" s="34">
        <f>IFERROR(AM7/AM$4,"")</f>
        <v>0</v>
      </c>
      <c r="AO7" s="459" t="str">
        <f t="shared" si="8"/>
        <v/>
      </c>
      <c r="AP7" s="459" t="str">
        <f t="shared" si="9"/>
        <v/>
      </c>
      <c r="AQ7" s="344"/>
      <c r="AR7" s="38" t="str">
        <f>IFERROR(AQ7/AQ$4,"")</f>
        <v/>
      </c>
      <c r="AS7" s="238">
        <v>0</v>
      </c>
      <c r="AT7" s="34">
        <f>IFERROR(AS7/AS$4,"")</f>
        <v>0</v>
      </c>
      <c r="AU7" s="36">
        <f>+'Отчет о фин.рез.'!G5</f>
        <v>0</v>
      </c>
      <c r="AV7" s="34">
        <f>IFERROR(AU7/AU$4,"")</f>
        <v>0</v>
      </c>
      <c r="AW7" s="459" t="str">
        <f t="shared" si="10"/>
        <v/>
      </c>
      <c r="AX7" s="459" t="str">
        <f t="shared" si="11"/>
        <v/>
      </c>
      <c r="AY7" s="344"/>
      <c r="AZ7" s="38" t="str">
        <f>IFERROR(AY7/AY$4,"")</f>
        <v/>
      </c>
      <c r="BA7" s="238">
        <v>0</v>
      </c>
      <c r="BB7" s="34">
        <f>IFERROR(BA7/BA$4,"")</f>
        <v>0</v>
      </c>
      <c r="BC7" s="36">
        <f>+'Отчет о фин.рез.'!H5</f>
        <v>0</v>
      </c>
      <c r="BD7" s="34" t="str">
        <f>IFERROR(BC7/BC$4,"")</f>
        <v/>
      </c>
      <c r="BE7" s="459" t="str">
        <f t="shared" si="12"/>
        <v/>
      </c>
      <c r="BF7" s="459" t="str">
        <f t="shared" si="13"/>
        <v/>
      </c>
      <c r="BG7" s="344"/>
      <c r="BH7" s="38" t="str">
        <f>IFERROR(BG7/BG$4,"")</f>
        <v/>
      </c>
      <c r="BI7" s="238">
        <v>0</v>
      </c>
      <c r="BJ7" s="34">
        <f>IFERROR(BI7/BI$4,"")</f>
        <v>0</v>
      </c>
      <c r="BK7" s="36">
        <f>+'Отчет о фин.рез.'!I5</f>
        <v>0</v>
      </c>
      <c r="BL7" s="34" t="str">
        <f>IFERROR(BK7/BK$4,"")</f>
        <v/>
      </c>
      <c r="BM7" s="459" t="str">
        <f t="shared" si="14"/>
        <v/>
      </c>
      <c r="BN7" s="459" t="str">
        <f t="shared" si="15"/>
        <v/>
      </c>
      <c r="BO7" s="344"/>
      <c r="BP7" s="38" t="str">
        <f>IFERROR(BO7/BO$4,"")</f>
        <v/>
      </c>
      <c r="BQ7" s="238">
        <v>0</v>
      </c>
      <c r="BR7" s="34">
        <f>IFERROR(BQ7/BQ$4,"")</f>
        <v>0</v>
      </c>
      <c r="BS7" s="36">
        <f>+'Отчет о фин.рез.'!J5</f>
        <v>0</v>
      </c>
      <c r="BT7" s="34" t="str">
        <f>IFERROR(BS7/BS$4,"")</f>
        <v/>
      </c>
      <c r="BU7" s="459" t="str">
        <f t="shared" si="16"/>
        <v/>
      </c>
      <c r="BV7" s="459" t="str">
        <f t="shared" si="17"/>
        <v/>
      </c>
      <c r="BW7" s="344"/>
      <c r="BX7" s="38" t="str">
        <f>IFERROR(BW7/BW$4,"")</f>
        <v/>
      </c>
      <c r="BY7" s="238">
        <v>0</v>
      </c>
      <c r="BZ7" s="34">
        <f>IFERROR(BY7/BY$4,"")</f>
        <v>0</v>
      </c>
      <c r="CA7" s="36">
        <f>+'Отчет о фин.рез.'!K5</f>
        <v>0</v>
      </c>
      <c r="CB7" s="34" t="str">
        <f>IFERROR(CA7/CA$4,"")</f>
        <v/>
      </c>
      <c r="CC7" s="459" t="str">
        <f t="shared" si="18"/>
        <v/>
      </c>
      <c r="CD7" s="459" t="str">
        <f t="shared" si="19"/>
        <v/>
      </c>
      <c r="CE7" s="344"/>
      <c r="CF7" s="38" t="str">
        <f>IFERROR(CE7/CE$4,"")</f>
        <v/>
      </c>
      <c r="CG7" s="238">
        <v>0</v>
      </c>
      <c r="CH7" s="34">
        <f>IFERROR(CG7/CG$4,"")</f>
        <v>0</v>
      </c>
      <c r="CI7" s="36">
        <f>+'Отчет о фин.рез.'!L5</f>
        <v>0</v>
      </c>
      <c r="CJ7" s="34" t="str">
        <f>IFERROR(CI7/CI$4,"")</f>
        <v/>
      </c>
      <c r="CK7" s="459" t="str">
        <f t="shared" si="20"/>
        <v/>
      </c>
      <c r="CL7" s="459" t="str">
        <f t="shared" si="21"/>
        <v/>
      </c>
      <c r="CM7" s="344"/>
      <c r="CN7" s="38" t="str">
        <f>IFERROR(CM7/CM$4,"")</f>
        <v/>
      </c>
      <c r="CO7" s="238">
        <v>0</v>
      </c>
      <c r="CP7" s="34">
        <f>IFERROR(CO7/CO$4,"")</f>
        <v>0</v>
      </c>
      <c r="CQ7" s="36">
        <f>+'Отчет о фин.рез.'!M5</f>
        <v>0</v>
      </c>
      <c r="CR7" s="34" t="str">
        <f>IFERROR(CQ7/CQ$4,"")</f>
        <v/>
      </c>
      <c r="CS7" s="459" t="str">
        <f t="shared" si="22"/>
        <v/>
      </c>
      <c r="CT7" s="459" t="str">
        <f t="shared" si="23"/>
        <v/>
      </c>
      <c r="CU7" s="344">
        <f t="shared" si="24"/>
        <v>0</v>
      </c>
      <c r="CV7" s="38" t="str">
        <f t="shared" si="25"/>
        <v/>
      </c>
      <c r="CW7" s="238">
        <f t="shared" si="26"/>
        <v>0</v>
      </c>
      <c r="CX7" s="34">
        <f t="shared" si="27"/>
        <v>0</v>
      </c>
      <c r="CY7" s="36">
        <f t="shared" si="28"/>
        <v>0</v>
      </c>
      <c r="CZ7" s="34">
        <f t="shared" si="29"/>
        <v>0</v>
      </c>
      <c r="DA7" s="459" t="str">
        <f t="shared" si="30"/>
        <v/>
      </c>
      <c r="DB7" s="459" t="str">
        <f t="shared" si="31"/>
        <v/>
      </c>
    </row>
    <row r="8" spans="2:106" s="94" customFormat="1">
      <c r="B8" s="95" t="s">
        <v>19</v>
      </c>
      <c r="C8" s="368">
        <f>+SUM(C9:C11)</f>
        <v>0</v>
      </c>
      <c r="D8" s="368"/>
      <c r="E8" s="368"/>
      <c r="F8" s="368"/>
      <c r="G8" s="368">
        <f>+SUM(G9:G11)</f>
        <v>0</v>
      </c>
      <c r="H8" s="96"/>
      <c r="I8" s="460" t="str">
        <f t="shared" si="0"/>
        <v/>
      </c>
      <c r="J8" s="460" t="str">
        <f t="shared" si="1"/>
        <v/>
      </c>
      <c r="K8" s="368">
        <f>+SUM(K9:K11)</f>
        <v>0</v>
      </c>
      <c r="L8" s="368"/>
      <c r="M8" s="368"/>
      <c r="N8" s="368"/>
      <c r="O8" s="368">
        <f>+SUM(O9:O11)</f>
        <v>0</v>
      </c>
      <c r="P8" s="96"/>
      <c r="Q8" s="460" t="str">
        <f t="shared" si="2"/>
        <v/>
      </c>
      <c r="R8" s="460" t="str">
        <f t="shared" si="3"/>
        <v/>
      </c>
      <c r="S8" s="368">
        <f>+SUM(S9:S11)</f>
        <v>0</v>
      </c>
      <c r="T8" s="368"/>
      <c r="U8" s="368">
        <f>SUM(U9:U11)</f>
        <v>0</v>
      </c>
      <c r="V8" s="368"/>
      <c r="W8" s="368">
        <f>+SUM(W9:W11)</f>
        <v>3807</v>
      </c>
      <c r="X8" s="96"/>
      <c r="Y8" s="460" t="str">
        <f t="shared" si="4"/>
        <v/>
      </c>
      <c r="Z8" s="460" t="str">
        <f t="shared" si="5"/>
        <v/>
      </c>
      <c r="AA8" s="368">
        <f>+SUM(AA9:AA11)</f>
        <v>0</v>
      </c>
      <c r="AB8" s="368"/>
      <c r="AC8" s="368">
        <f>SUM(AC9:AC11)</f>
        <v>8138</v>
      </c>
      <c r="AD8" s="368"/>
      <c r="AE8" s="368">
        <f>+SUM(AE9:AE11)</f>
        <v>8253</v>
      </c>
      <c r="AF8" s="96"/>
      <c r="AG8" s="460">
        <f t="shared" si="6"/>
        <v>1.4131236175964679E-2</v>
      </c>
      <c r="AH8" s="460" t="str">
        <f t="shared" si="7"/>
        <v/>
      </c>
      <c r="AI8" s="368">
        <f>+SUM(AI9:AI11)</f>
        <v>0</v>
      </c>
      <c r="AJ8" s="368"/>
      <c r="AK8" s="368">
        <f>SUM(AK9:AK11)</f>
        <v>8695</v>
      </c>
      <c r="AL8" s="368"/>
      <c r="AM8" s="368">
        <f>+SUM(AM9:AM11)</f>
        <v>9177</v>
      </c>
      <c r="AN8" s="96"/>
      <c r="AO8" s="460">
        <f t="shared" si="8"/>
        <v>5.5434157561817132E-2</v>
      </c>
      <c r="AP8" s="460" t="str">
        <f t="shared" si="9"/>
        <v/>
      </c>
      <c r="AQ8" s="368">
        <f>+SUM(AQ9:AQ11)</f>
        <v>0</v>
      </c>
      <c r="AR8" s="368"/>
      <c r="AS8" s="368">
        <f>SUM(AS9:AS11)</f>
        <v>8860</v>
      </c>
      <c r="AT8" s="368"/>
      <c r="AU8" s="368">
        <f>+SUM(AU9:AU11)</f>
        <v>9166</v>
      </c>
      <c r="AV8" s="96"/>
      <c r="AW8" s="460">
        <f t="shared" si="10"/>
        <v>3.4537246049661352E-2</v>
      </c>
      <c r="AX8" s="460" t="str">
        <f t="shared" si="11"/>
        <v/>
      </c>
      <c r="AY8" s="368">
        <f>+SUM(AY9:AY11)</f>
        <v>0</v>
      </c>
      <c r="AZ8" s="368"/>
      <c r="BA8" s="368">
        <f>SUM(BA9:BA11)</f>
        <v>8940</v>
      </c>
      <c r="BB8" s="368"/>
      <c r="BC8" s="368">
        <f>+SUM(BC9:BC11)</f>
        <v>0</v>
      </c>
      <c r="BD8" s="96"/>
      <c r="BE8" s="460">
        <f t="shared" si="12"/>
        <v>-1</v>
      </c>
      <c r="BF8" s="460" t="str">
        <f t="shared" si="13"/>
        <v/>
      </c>
      <c r="BG8" s="368">
        <f>+SUM(BG9:BG11)</f>
        <v>0</v>
      </c>
      <c r="BH8" s="368"/>
      <c r="BI8" s="368">
        <f>SUM(BI9:BI11)</f>
        <v>8940</v>
      </c>
      <c r="BJ8" s="368"/>
      <c r="BK8" s="368">
        <f>+SUM(BK9:BK11)</f>
        <v>0</v>
      </c>
      <c r="BL8" s="96"/>
      <c r="BM8" s="460">
        <f t="shared" si="14"/>
        <v>-1</v>
      </c>
      <c r="BN8" s="460" t="str">
        <f t="shared" si="15"/>
        <v/>
      </c>
      <c r="BO8" s="368">
        <f>+SUM(BO9:BO11)</f>
        <v>0</v>
      </c>
      <c r="BP8" s="368"/>
      <c r="BQ8" s="368">
        <f>SUM(BQ9:BQ11)</f>
        <v>8500</v>
      </c>
      <c r="BR8" s="368"/>
      <c r="BS8" s="368">
        <f>+SUM(BS9:BS11)</f>
        <v>0</v>
      </c>
      <c r="BT8" s="96"/>
      <c r="BU8" s="460">
        <f t="shared" si="16"/>
        <v>-1</v>
      </c>
      <c r="BV8" s="460" t="str">
        <f t="shared" si="17"/>
        <v/>
      </c>
      <c r="BW8" s="368">
        <f>+SUM(BW9:BW11)</f>
        <v>0</v>
      </c>
      <c r="BX8" s="368"/>
      <c r="BY8" s="368">
        <f>SUM(BY9:BY11)</f>
        <v>10351.425000000001</v>
      </c>
      <c r="BZ8" s="368"/>
      <c r="CA8" s="368">
        <f>+SUM(CA9:CA11)</f>
        <v>0</v>
      </c>
      <c r="CB8" s="96"/>
      <c r="CC8" s="460">
        <f t="shared" si="18"/>
        <v>-1</v>
      </c>
      <c r="CD8" s="460" t="str">
        <f t="shared" si="19"/>
        <v/>
      </c>
      <c r="CE8" s="368">
        <f>+SUM(CE9:CE11)</f>
        <v>0</v>
      </c>
      <c r="CF8" s="368"/>
      <c r="CG8" s="368">
        <f>SUM(CG9:CG11)</f>
        <v>10219.125</v>
      </c>
      <c r="CH8" s="368"/>
      <c r="CI8" s="368">
        <f>+SUM(CI9:CI11)</f>
        <v>0</v>
      </c>
      <c r="CJ8" s="96"/>
      <c r="CK8" s="460">
        <f t="shared" si="20"/>
        <v>-1</v>
      </c>
      <c r="CL8" s="460" t="str">
        <f t="shared" si="21"/>
        <v/>
      </c>
      <c r="CM8" s="368">
        <f>+SUM(CM9:CM11)</f>
        <v>0</v>
      </c>
      <c r="CN8" s="368"/>
      <c r="CO8" s="368">
        <f>SUM(CO9:CO11)</f>
        <v>10117.275</v>
      </c>
      <c r="CP8" s="368"/>
      <c r="CQ8" s="368">
        <f>+SUM(CQ9:CQ11)</f>
        <v>0</v>
      </c>
      <c r="CR8" s="96"/>
      <c r="CS8" s="460">
        <f t="shared" si="22"/>
        <v>-1</v>
      </c>
      <c r="CT8" s="460" t="str">
        <f t="shared" si="23"/>
        <v/>
      </c>
      <c r="CU8" s="368">
        <f t="shared" si="24"/>
        <v>0</v>
      </c>
      <c r="CV8" s="368" t="str">
        <f t="shared" si="25"/>
        <v/>
      </c>
      <c r="CW8" s="368">
        <f t="shared" si="26"/>
        <v>82760.824999999997</v>
      </c>
      <c r="CX8" s="368">
        <f t="shared" si="27"/>
        <v>0.62409200133352571</v>
      </c>
      <c r="CY8" s="368">
        <f t="shared" si="28"/>
        <v>30403</v>
      </c>
      <c r="CZ8" s="96">
        <f t="shared" si="29"/>
        <v>0.61285200010215879</v>
      </c>
      <c r="DA8" s="460">
        <f t="shared" si="30"/>
        <v>-0.63264020144796773</v>
      </c>
      <c r="DB8" s="460" t="str">
        <f t="shared" si="31"/>
        <v/>
      </c>
    </row>
    <row r="9" spans="2:106" s="92" customFormat="1" ht="13.15" customHeight="1">
      <c r="B9" s="93" t="s">
        <v>16</v>
      </c>
      <c r="C9" s="238"/>
      <c r="D9" s="367"/>
      <c r="E9" s="238"/>
      <c r="F9" s="367"/>
      <c r="G9" s="367">
        <f>+'Отчет о фин.рез.'!B7</f>
        <v>0</v>
      </c>
      <c r="H9" s="97"/>
      <c r="I9" s="459" t="str">
        <f t="shared" si="0"/>
        <v/>
      </c>
      <c r="J9" s="459" t="str">
        <f t="shared" si="1"/>
        <v/>
      </c>
      <c r="K9" s="238"/>
      <c r="L9" s="367"/>
      <c r="M9" s="238"/>
      <c r="N9" s="367"/>
      <c r="O9" s="367">
        <f>+'Отчет о фин.рез.'!C7</f>
        <v>0</v>
      </c>
      <c r="P9" s="97"/>
      <c r="Q9" s="459" t="str">
        <f t="shared" si="2"/>
        <v/>
      </c>
      <c r="R9" s="459" t="str">
        <f t="shared" si="3"/>
        <v/>
      </c>
      <c r="S9" s="238"/>
      <c r="T9" s="367"/>
      <c r="U9" s="238">
        <v>0</v>
      </c>
      <c r="V9" s="367"/>
      <c r="W9" s="367">
        <f>+'Отчет о фин.рез.'!D7</f>
        <v>3807</v>
      </c>
      <c r="X9" s="97"/>
      <c r="Y9" s="459" t="str">
        <f t="shared" si="4"/>
        <v/>
      </c>
      <c r="Z9" s="459" t="str">
        <f t="shared" si="5"/>
        <v/>
      </c>
      <c r="AA9" s="238"/>
      <c r="AB9" s="367"/>
      <c r="AC9" s="238">
        <v>8138</v>
      </c>
      <c r="AD9" s="367"/>
      <c r="AE9" s="367">
        <f>+'Отчет о фин.рез.'!E7</f>
        <v>8253</v>
      </c>
      <c r="AF9" s="97"/>
      <c r="AG9" s="459">
        <f t="shared" si="6"/>
        <v>1.4131236175964679E-2</v>
      </c>
      <c r="AH9" s="459" t="str">
        <f t="shared" si="7"/>
        <v/>
      </c>
      <c r="AI9" s="238"/>
      <c r="AJ9" s="367"/>
      <c r="AK9" s="238">
        <v>8545</v>
      </c>
      <c r="AL9" s="367"/>
      <c r="AM9" s="367">
        <f>+'Отчет о фин.рез.'!F7</f>
        <v>9177</v>
      </c>
      <c r="AN9" s="97"/>
      <c r="AO9" s="459">
        <f t="shared" si="8"/>
        <v>7.3961380924517206E-2</v>
      </c>
      <c r="AP9" s="459" t="str">
        <f t="shared" si="9"/>
        <v/>
      </c>
      <c r="AQ9" s="344"/>
      <c r="AR9" s="461"/>
      <c r="AS9" s="238">
        <v>8800</v>
      </c>
      <c r="AT9" s="367"/>
      <c r="AU9" s="367">
        <f>+'Отчет о фин.рез.'!G7</f>
        <v>9085</v>
      </c>
      <c r="AV9" s="97"/>
      <c r="AW9" s="459">
        <f t="shared" si="10"/>
        <v>3.2386363636363713E-2</v>
      </c>
      <c r="AX9" s="459" t="str">
        <f t="shared" si="11"/>
        <v/>
      </c>
      <c r="AY9" s="344"/>
      <c r="AZ9" s="461"/>
      <c r="BA9" s="238">
        <v>8850</v>
      </c>
      <c r="BB9" s="367"/>
      <c r="BC9" s="367">
        <f>+'Отчет о фин.рез.'!H7</f>
        <v>0</v>
      </c>
      <c r="BD9" s="97"/>
      <c r="BE9" s="459">
        <f t="shared" si="12"/>
        <v>-1</v>
      </c>
      <c r="BF9" s="459" t="str">
        <f t="shared" si="13"/>
        <v/>
      </c>
      <c r="BG9" s="344"/>
      <c r="BH9" s="461"/>
      <c r="BI9" s="238">
        <v>8850</v>
      </c>
      <c r="BJ9" s="367"/>
      <c r="BK9" s="367">
        <f>+'Отчет о фин.рез.'!I7</f>
        <v>0</v>
      </c>
      <c r="BL9" s="97"/>
      <c r="BM9" s="459">
        <f t="shared" si="14"/>
        <v>-1</v>
      </c>
      <c r="BN9" s="459" t="str">
        <f t="shared" si="15"/>
        <v/>
      </c>
      <c r="BO9" s="344"/>
      <c r="BP9" s="461"/>
      <c r="BQ9" s="238">
        <v>8400</v>
      </c>
      <c r="BR9" s="367"/>
      <c r="BS9" s="367">
        <f>+'Отчет о фин.рез.'!J7</f>
        <v>0</v>
      </c>
      <c r="BT9" s="97"/>
      <c r="BU9" s="459">
        <f t="shared" si="16"/>
        <v>-1</v>
      </c>
      <c r="BV9" s="459" t="str">
        <f t="shared" si="17"/>
        <v/>
      </c>
      <c r="BW9" s="344"/>
      <c r="BX9" s="461"/>
      <c r="BY9" s="238">
        <v>8760.6750000000011</v>
      </c>
      <c r="BZ9" s="367"/>
      <c r="CA9" s="367">
        <f>+'Отчет о фин.рез.'!K7</f>
        <v>0</v>
      </c>
      <c r="CB9" s="97"/>
      <c r="CC9" s="459">
        <f t="shared" si="18"/>
        <v>-1</v>
      </c>
      <c r="CD9" s="459" t="str">
        <f t="shared" si="19"/>
        <v/>
      </c>
      <c r="CE9" s="344"/>
      <c r="CF9" s="461"/>
      <c r="CG9" s="238">
        <v>8695.5750000000007</v>
      </c>
      <c r="CH9" s="367"/>
      <c r="CI9" s="367">
        <f>+'Отчет о фин.рез.'!L7</f>
        <v>0</v>
      </c>
      <c r="CJ9" s="97"/>
      <c r="CK9" s="459">
        <f t="shared" si="20"/>
        <v>-1</v>
      </c>
      <c r="CL9" s="459" t="str">
        <f t="shared" si="21"/>
        <v/>
      </c>
      <c r="CM9" s="344"/>
      <c r="CN9" s="461"/>
      <c r="CO9" s="238">
        <v>8387.4</v>
      </c>
      <c r="CP9" s="367"/>
      <c r="CQ9" s="367">
        <f>+'Отчет о фин.рез.'!M7</f>
        <v>0</v>
      </c>
      <c r="CR9" s="97"/>
      <c r="CS9" s="459">
        <f t="shared" si="22"/>
        <v>-1</v>
      </c>
      <c r="CT9" s="459" t="str">
        <f t="shared" si="23"/>
        <v/>
      </c>
      <c r="CU9" s="344">
        <f t="shared" si="24"/>
        <v>0</v>
      </c>
      <c r="CV9" s="461" t="str">
        <f t="shared" si="25"/>
        <v/>
      </c>
      <c r="CW9" s="238">
        <f t="shared" si="26"/>
        <v>77426.649999999994</v>
      </c>
      <c r="CX9" s="367">
        <f t="shared" si="27"/>
        <v>0.58386746332036232</v>
      </c>
      <c r="CY9" s="367">
        <f t="shared" si="28"/>
        <v>30322</v>
      </c>
      <c r="CZ9" s="97">
        <f t="shared" si="29"/>
        <v>0.61121923320388305</v>
      </c>
      <c r="DA9" s="459">
        <f t="shared" si="30"/>
        <v>-0.60837773557295838</v>
      </c>
      <c r="DB9" s="459" t="str">
        <f t="shared" si="31"/>
        <v/>
      </c>
    </row>
    <row r="10" spans="2:106" s="92" customFormat="1" ht="13.15" customHeight="1">
      <c r="B10" s="93" t="s">
        <v>17</v>
      </c>
      <c r="C10" s="238"/>
      <c r="D10" s="367"/>
      <c r="E10" s="238"/>
      <c r="F10" s="367"/>
      <c r="G10" s="367">
        <f>+'Отчет о фин.рез.'!B8</f>
        <v>0</v>
      </c>
      <c r="H10" s="97"/>
      <c r="I10" s="459" t="str">
        <f t="shared" si="0"/>
        <v/>
      </c>
      <c r="J10" s="459" t="str">
        <f t="shared" si="1"/>
        <v/>
      </c>
      <c r="K10" s="238"/>
      <c r="L10" s="367"/>
      <c r="M10" s="238"/>
      <c r="N10" s="367"/>
      <c r="O10" s="367">
        <f>+'Отчет о фин.рез.'!C8</f>
        <v>0</v>
      </c>
      <c r="P10" s="97"/>
      <c r="Q10" s="459" t="str">
        <f t="shared" si="2"/>
        <v/>
      </c>
      <c r="R10" s="459" t="str">
        <f t="shared" si="3"/>
        <v/>
      </c>
      <c r="S10" s="238"/>
      <c r="T10" s="367"/>
      <c r="U10" s="238">
        <v>0</v>
      </c>
      <c r="V10" s="367"/>
      <c r="W10" s="367">
        <f>+'Отчет о фин.рез.'!D8</f>
        <v>0</v>
      </c>
      <c r="X10" s="97"/>
      <c r="Y10" s="459" t="str">
        <f t="shared" si="4"/>
        <v/>
      </c>
      <c r="Z10" s="459" t="str">
        <f t="shared" si="5"/>
        <v/>
      </c>
      <c r="AA10" s="238"/>
      <c r="AB10" s="367"/>
      <c r="AC10" s="238">
        <v>0</v>
      </c>
      <c r="AD10" s="367"/>
      <c r="AE10" s="367">
        <f>+'Отчет о фин.рез.'!E8</f>
        <v>0</v>
      </c>
      <c r="AF10" s="97"/>
      <c r="AG10" s="459" t="str">
        <f t="shared" si="6"/>
        <v/>
      </c>
      <c r="AH10" s="459" t="str">
        <f t="shared" si="7"/>
        <v/>
      </c>
      <c r="AI10" s="238"/>
      <c r="AJ10" s="367"/>
      <c r="AK10" s="238">
        <v>150</v>
      </c>
      <c r="AL10" s="367"/>
      <c r="AM10" s="367">
        <f>+'Отчет о фин.рез.'!F8</f>
        <v>0</v>
      </c>
      <c r="AN10" s="97"/>
      <c r="AO10" s="459">
        <f t="shared" si="8"/>
        <v>-1</v>
      </c>
      <c r="AP10" s="459" t="str">
        <f t="shared" si="9"/>
        <v/>
      </c>
      <c r="AQ10" s="344"/>
      <c r="AR10" s="461"/>
      <c r="AS10" s="238">
        <v>60</v>
      </c>
      <c r="AT10" s="367"/>
      <c r="AU10" s="367">
        <f>+'Отчет о фин.рез.'!G8</f>
        <v>81</v>
      </c>
      <c r="AV10" s="97"/>
      <c r="AW10" s="459">
        <f t="shared" si="10"/>
        <v>0.35000000000000009</v>
      </c>
      <c r="AX10" s="459" t="str">
        <f t="shared" si="11"/>
        <v/>
      </c>
      <c r="AY10" s="344"/>
      <c r="AZ10" s="461"/>
      <c r="BA10" s="238">
        <v>90</v>
      </c>
      <c r="BB10" s="367"/>
      <c r="BC10" s="367">
        <f>+'Отчет о фин.рез.'!H8</f>
        <v>0</v>
      </c>
      <c r="BD10" s="97"/>
      <c r="BE10" s="459">
        <f t="shared" si="12"/>
        <v>-1</v>
      </c>
      <c r="BF10" s="459" t="str">
        <f t="shared" si="13"/>
        <v/>
      </c>
      <c r="BG10" s="344"/>
      <c r="BH10" s="461"/>
      <c r="BI10" s="238">
        <v>90</v>
      </c>
      <c r="BJ10" s="367"/>
      <c r="BK10" s="367">
        <f>+'Отчет о фин.рез.'!I8</f>
        <v>0</v>
      </c>
      <c r="BL10" s="97"/>
      <c r="BM10" s="459">
        <f t="shared" si="14"/>
        <v>-1</v>
      </c>
      <c r="BN10" s="459" t="str">
        <f t="shared" si="15"/>
        <v/>
      </c>
      <c r="BO10" s="344"/>
      <c r="BP10" s="461"/>
      <c r="BQ10" s="238">
        <v>100</v>
      </c>
      <c r="BR10" s="367"/>
      <c r="BS10" s="367">
        <f>+'Отчет о фин.рез.'!J8</f>
        <v>0</v>
      </c>
      <c r="BT10" s="97"/>
      <c r="BU10" s="459">
        <f t="shared" si="16"/>
        <v>-1</v>
      </c>
      <c r="BV10" s="459" t="str">
        <f t="shared" si="17"/>
        <v/>
      </c>
      <c r="BW10" s="344"/>
      <c r="BX10" s="461"/>
      <c r="BY10" s="238">
        <v>1590.75</v>
      </c>
      <c r="BZ10" s="367"/>
      <c r="CA10" s="367">
        <f>+'Отчет о фин.рез.'!K8</f>
        <v>0</v>
      </c>
      <c r="CB10" s="97"/>
      <c r="CC10" s="459">
        <f t="shared" si="18"/>
        <v>-1</v>
      </c>
      <c r="CD10" s="459" t="str">
        <f t="shared" si="19"/>
        <v/>
      </c>
      <c r="CE10" s="344"/>
      <c r="CF10" s="461"/>
      <c r="CG10" s="238">
        <v>1523.55</v>
      </c>
      <c r="CH10" s="367"/>
      <c r="CI10" s="367">
        <f>+'Отчет о фин.рез.'!L8</f>
        <v>0</v>
      </c>
      <c r="CJ10" s="97"/>
      <c r="CK10" s="459">
        <f t="shared" si="20"/>
        <v>-1</v>
      </c>
      <c r="CL10" s="459" t="str">
        <f t="shared" si="21"/>
        <v/>
      </c>
      <c r="CM10" s="344"/>
      <c r="CN10" s="461"/>
      <c r="CO10" s="238">
        <v>1729.875</v>
      </c>
      <c r="CP10" s="367"/>
      <c r="CQ10" s="367">
        <f>+'Отчет о фин.рез.'!M8</f>
        <v>0</v>
      </c>
      <c r="CR10" s="97"/>
      <c r="CS10" s="459">
        <f t="shared" si="22"/>
        <v>-1</v>
      </c>
      <c r="CT10" s="459" t="str">
        <f t="shared" si="23"/>
        <v/>
      </c>
      <c r="CU10" s="344">
        <f t="shared" si="24"/>
        <v>0</v>
      </c>
      <c r="CV10" s="461" t="str">
        <f t="shared" si="25"/>
        <v/>
      </c>
      <c r="CW10" s="238">
        <f t="shared" si="26"/>
        <v>5334.1750000000002</v>
      </c>
      <c r="CX10" s="367">
        <f t="shared" si="27"/>
        <v>4.022453801316335E-2</v>
      </c>
      <c r="CY10" s="367">
        <f t="shared" si="28"/>
        <v>81</v>
      </c>
      <c r="CZ10" s="97">
        <f t="shared" si="29"/>
        <v>1.6327668982756588E-3</v>
      </c>
      <c r="DA10" s="459">
        <f t="shared" si="30"/>
        <v>-0.98481489639916198</v>
      </c>
      <c r="DB10" s="459" t="str">
        <f t="shared" si="31"/>
        <v/>
      </c>
    </row>
    <row r="11" spans="2:106" s="92" customFormat="1" ht="17.45" customHeight="1">
      <c r="B11" s="93" t="s">
        <v>18</v>
      </c>
      <c r="C11" s="238"/>
      <c r="D11" s="97"/>
      <c r="E11" s="238"/>
      <c r="F11" s="97"/>
      <c r="G11" s="367">
        <f>+'Отчет о фин.рез.'!B9</f>
        <v>0</v>
      </c>
      <c r="H11" s="97"/>
      <c r="I11" s="459" t="str">
        <f t="shared" si="0"/>
        <v/>
      </c>
      <c r="J11" s="459" t="str">
        <f t="shared" si="1"/>
        <v/>
      </c>
      <c r="K11" s="238"/>
      <c r="L11" s="97"/>
      <c r="M11" s="238"/>
      <c r="N11" s="97"/>
      <c r="O11" s="367">
        <f>+'Отчет о фин.рез.'!C9</f>
        <v>0</v>
      </c>
      <c r="P11" s="97"/>
      <c r="Q11" s="459" t="str">
        <f t="shared" si="2"/>
        <v/>
      </c>
      <c r="R11" s="459" t="str">
        <f t="shared" si="3"/>
        <v/>
      </c>
      <c r="S11" s="238"/>
      <c r="T11" s="97"/>
      <c r="U11" s="238">
        <v>0</v>
      </c>
      <c r="V11" s="97"/>
      <c r="W11" s="367">
        <f>+'Отчет о фин.рез.'!D9</f>
        <v>0</v>
      </c>
      <c r="X11" s="97"/>
      <c r="Y11" s="459" t="str">
        <f t="shared" si="4"/>
        <v/>
      </c>
      <c r="Z11" s="459" t="str">
        <f t="shared" si="5"/>
        <v/>
      </c>
      <c r="AA11" s="238"/>
      <c r="AB11" s="97"/>
      <c r="AC11" s="238">
        <v>0</v>
      </c>
      <c r="AD11" s="97"/>
      <c r="AE11" s="367">
        <f>+'Отчет о фин.рез.'!E9</f>
        <v>0</v>
      </c>
      <c r="AF11" s="97"/>
      <c r="AG11" s="459" t="str">
        <f t="shared" si="6"/>
        <v/>
      </c>
      <c r="AH11" s="459" t="str">
        <f t="shared" si="7"/>
        <v/>
      </c>
      <c r="AI11" s="238"/>
      <c r="AJ11" s="97"/>
      <c r="AK11" s="238">
        <v>0</v>
      </c>
      <c r="AL11" s="97"/>
      <c r="AM11" s="367">
        <f>+'Отчет о фин.рез.'!F9</f>
        <v>0</v>
      </c>
      <c r="AN11" s="97"/>
      <c r="AO11" s="459" t="str">
        <f t="shared" si="8"/>
        <v/>
      </c>
      <c r="AP11" s="459" t="str">
        <f t="shared" si="9"/>
        <v/>
      </c>
      <c r="AQ11" s="344"/>
      <c r="AR11" s="230"/>
      <c r="AS11" s="238">
        <v>0</v>
      </c>
      <c r="AT11" s="97"/>
      <c r="AU11" s="367">
        <f>+'Отчет о фин.рез.'!G9</f>
        <v>0</v>
      </c>
      <c r="AV11" s="97"/>
      <c r="AW11" s="459" t="str">
        <f t="shared" si="10"/>
        <v/>
      </c>
      <c r="AX11" s="459" t="str">
        <f t="shared" si="11"/>
        <v/>
      </c>
      <c r="AY11" s="344"/>
      <c r="AZ11" s="230"/>
      <c r="BA11" s="238">
        <v>0</v>
      </c>
      <c r="BB11" s="97"/>
      <c r="BC11" s="367">
        <f>+'Отчет о фин.рез.'!H9</f>
        <v>0</v>
      </c>
      <c r="BD11" s="97"/>
      <c r="BE11" s="459" t="str">
        <f t="shared" si="12"/>
        <v/>
      </c>
      <c r="BF11" s="459" t="str">
        <f t="shared" si="13"/>
        <v/>
      </c>
      <c r="BG11" s="344"/>
      <c r="BH11" s="230"/>
      <c r="BI11" s="238">
        <v>0</v>
      </c>
      <c r="BJ11" s="97"/>
      <c r="BK11" s="367">
        <f>+'Отчет о фин.рез.'!I9</f>
        <v>0</v>
      </c>
      <c r="BL11" s="97"/>
      <c r="BM11" s="459" t="str">
        <f t="shared" si="14"/>
        <v/>
      </c>
      <c r="BN11" s="459" t="str">
        <f t="shared" si="15"/>
        <v/>
      </c>
      <c r="BO11" s="344"/>
      <c r="BP11" s="230"/>
      <c r="BQ11" s="238">
        <v>0</v>
      </c>
      <c r="BR11" s="97"/>
      <c r="BS11" s="367">
        <f>+'Отчет о фин.рез.'!J9</f>
        <v>0</v>
      </c>
      <c r="BT11" s="97"/>
      <c r="BU11" s="459" t="str">
        <f t="shared" si="16"/>
        <v/>
      </c>
      <c r="BV11" s="459" t="str">
        <f t="shared" si="17"/>
        <v/>
      </c>
      <c r="BW11" s="344"/>
      <c r="BX11" s="230"/>
      <c r="BY11" s="238">
        <v>0</v>
      </c>
      <c r="BZ11" s="97"/>
      <c r="CA11" s="367">
        <f>+'Отчет о фин.рез.'!K9</f>
        <v>0</v>
      </c>
      <c r="CB11" s="97"/>
      <c r="CC11" s="459" t="str">
        <f t="shared" si="18"/>
        <v/>
      </c>
      <c r="CD11" s="459" t="str">
        <f t="shared" si="19"/>
        <v/>
      </c>
      <c r="CE11" s="344"/>
      <c r="CF11" s="230"/>
      <c r="CG11" s="238">
        <v>0</v>
      </c>
      <c r="CH11" s="97"/>
      <c r="CI11" s="367">
        <f>+'Отчет о фин.рез.'!L9</f>
        <v>0</v>
      </c>
      <c r="CJ11" s="97"/>
      <c r="CK11" s="459" t="str">
        <f t="shared" si="20"/>
        <v/>
      </c>
      <c r="CL11" s="459" t="str">
        <f t="shared" si="21"/>
        <v/>
      </c>
      <c r="CM11" s="344"/>
      <c r="CN11" s="230"/>
      <c r="CO11" s="238">
        <v>0</v>
      </c>
      <c r="CP11" s="97"/>
      <c r="CQ11" s="367">
        <f>+'Отчет о фин.рез.'!M9</f>
        <v>0</v>
      </c>
      <c r="CR11" s="97"/>
      <c r="CS11" s="459" t="str">
        <f t="shared" si="22"/>
        <v/>
      </c>
      <c r="CT11" s="459" t="str">
        <f t="shared" si="23"/>
        <v/>
      </c>
      <c r="CU11" s="344">
        <f t="shared" si="24"/>
        <v>0</v>
      </c>
      <c r="CV11" s="230" t="str">
        <f t="shared" si="25"/>
        <v/>
      </c>
      <c r="CW11" s="238">
        <f t="shared" si="26"/>
        <v>0</v>
      </c>
      <c r="CX11" s="97">
        <f t="shared" si="27"/>
        <v>0</v>
      </c>
      <c r="CY11" s="367">
        <f t="shared" si="28"/>
        <v>0</v>
      </c>
      <c r="CZ11" s="97">
        <f t="shared" si="29"/>
        <v>0</v>
      </c>
      <c r="DA11" s="459" t="str">
        <f t="shared" si="30"/>
        <v/>
      </c>
      <c r="DB11" s="459" t="str">
        <f t="shared" si="31"/>
        <v/>
      </c>
    </row>
    <row r="12" spans="2:106" s="94" customFormat="1">
      <c r="B12" s="95" t="s">
        <v>20</v>
      </c>
      <c r="C12" s="368" t="str">
        <f>IFERROR(C4*1000/C8,"")</f>
        <v/>
      </c>
      <c r="D12" s="368"/>
      <c r="E12" s="368" t="str">
        <f>IFERROR(E4*1000/E8,"")</f>
        <v/>
      </c>
      <c r="F12" s="368"/>
      <c r="G12" s="368" t="str">
        <f>IFERROR(G4*1000/G8,"")</f>
        <v/>
      </c>
      <c r="H12" s="368"/>
      <c r="I12" s="460" t="str">
        <f t="shared" si="0"/>
        <v/>
      </c>
      <c r="J12" s="460" t="str">
        <f t="shared" si="1"/>
        <v/>
      </c>
      <c r="K12" s="368" t="str">
        <f>IFERROR(K4*1000/K8,"")</f>
        <v/>
      </c>
      <c r="L12" s="368"/>
      <c r="M12" s="368" t="str">
        <f>IFERROR(M4*1000/M8,"")</f>
        <v/>
      </c>
      <c r="N12" s="368"/>
      <c r="O12" s="368" t="str">
        <f>IFERROR(O4*1000/O8,"")</f>
        <v/>
      </c>
      <c r="P12" s="368"/>
      <c r="Q12" s="460" t="str">
        <f t="shared" si="2"/>
        <v/>
      </c>
      <c r="R12" s="460" t="str">
        <f t="shared" si="3"/>
        <v/>
      </c>
      <c r="S12" s="368" t="str">
        <f>IFERROR(S4*1000/S8,"")</f>
        <v/>
      </c>
      <c r="T12" s="368"/>
      <c r="U12" s="368" t="str">
        <f>IFERROR(U4*1000/U8,"")</f>
        <v/>
      </c>
      <c r="V12" s="368"/>
      <c r="W12" s="368">
        <f>IFERROR(W4*1000/W8,"")</f>
        <v>1557.6306803257157</v>
      </c>
      <c r="X12" s="368"/>
      <c r="Y12" s="460" t="str">
        <f t="shared" si="4"/>
        <v/>
      </c>
      <c r="Z12" s="460" t="str">
        <f t="shared" si="5"/>
        <v/>
      </c>
      <c r="AA12" s="368" t="str">
        <f>IFERROR(AA4*1000/AA8,"")</f>
        <v/>
      </c>
      <c r="AB12" s="368"/>
      <c r="AC12" s="368">
        <f>IFERROR(AC4*1000/AC8,"")</f>
        <v>1680</v>
      </c>
      <c r="AD12" s="368"/>
      <c r="AE12" s="368">
        <f>IFERROR(AE4*1000/AE8,"")</f>
        <v>1661.6018417545135</v>
      </c>
      <c r="AF12" s="368"/>
      <c r="AG12" s="460">
        <f t="shared" si="6"/>
        <v>-1.0951284669932448E-2</v>
      </c>
      <c r="AH12" s="460" t="str">
        <f t="shared" si="7"/>
        <v/>
      </c>
      <c r="AI12" s="368" t="str">
        <f>IFERROR(AI4*1000/AI8,"")</f>
        <v/>
      </c>
      <c r="AJ12" s="368"/>
      <c r="AK12" s="368">
        <f>IFERROR(AK4*1000/AK8,"")</f>
        <v>1606.9005175388154</v>
      </c>
      <c r="AL12" s="368"/>
      <c r="AM12" s="368">
        <f>IFERROR(AM4*1000/AM8,"")</f>
        <v>1712.1706440013077</v>
      </c>
      <c r="AN12" s="368"/>
      <c r="AO12" s="460">
        <f t="shared" si="8"/>
        <v>6.551129040877246E-2</v>
      </c>
      <c r="AP12" s="460" t="str">
        <f t="shared" si="9"/>
        <v/>
      </c>
      <c r="AQ12" s="368" t="str">
        <f>IFERROR(AQ4*1000/AQ8,"")</f>
        <v/>
      </c>
      <c r="AR12" s="368"/>
      <c r="AS12" s="368">
        <f>IFERROR(AS4*1000/AS8,"")</f>
        <v>1702.0316027088036</v>
      </c>
      <c r="AT12" s="368"/>
      <c r="AU12" s="368">
        <f>IFERROR(AU4*1000/AU8,"")</f>
        <v>1555.024110844425</v>
      </c>
      <c r="AV12" s="368"/>
      <c r="AW12" s="460">
        <f t="shared" si="10"/>
        <v>-8.637177572403143E-2</v>
      </c>
      <c r="AX12" s="460" t="str">
        <f t="shared" si="11"/>
        <v/>
      </c>
      <c r="AY12" s="368" t="str">
        <f>IFERROR(AY4*1000/AY8,"")</f>
        <v/>
      </c>
      <c r="AZ12" s="368"/>
      <c r="BA12" s="368">
        <f>IFERROR(BA4*1000/BA8,"")</f>
        <v>1752.5167785234898</v>
      </c>
      <c r="BB12" s="368"/>
      <c r="BC12" s="368" t="str">
        <f>IFERROR(BC4*1000/BC8,"")</f>
        <v/>
      </c>
      <c r="BD12" s="368"/>
      <c r="BE12" s="460" t="str">
        <f t="shared" si="12"/>
        <v/>
      </c>
      <c r="BF12" s="460" t="str">
        <f t="shared" si="13"/>
        <v/>
      </c>
      <c r="BG12" s="368" t="str">
        <f>IFERROR(BG4*1000/BG8,"")</f>
        <v/>
      </c>
      <c r="BH12" s="368"/>
      <c r="BI12" s="368">
        <f>IFERROR(BI4*1000/BI8,"")</f>
        <v>1752.5167785234898</v>
      </c>
      <c r="BJ12" s="368"/>
      <c r="BK12" s="368" t="str">
        <f>IFERROR(BK4*1000/BK8,"")</f>
        <v/>
      </c>
      <c r="BL12" s="368"/>
      <c r="BM12" s="460" t="str">
        <f t="shared" si="14"/>
        <v/>
      </c>
      <c r="BN12" s="460" t="str">
        <f t="shared" si="15"/>
        <v/>
      </c>
      <c r="BO12" s="368" t="str">
        <f>IFERROR(BO4*1000/BO8,"")</f>
        <v/>
      </c>
      <c r="BP12" s="368"/>
      <c r="BQ12" s="368">
        <f>IFERROR(BQ4*1000/BQ8,"")</f>
        <v>1703.5294117647059</v>
      </c>
      <c r="BR12" s="368"/>
      <c r="BS12" s="368" t="str">
        <f>IFERROR(BS4*1000/BS8,"")</f>
        <v/>
      </c>
      <c r="BT12" s="368"/>
      <c r="BU12" s="460" t="str">
        <f t="shared" si="16"/>
        <v/>
      </c>
      <c r="BV12" s="460" t="str">
        <f t="shared" si="17"/>
        <v/>
      </c>
      <c r="BW12" s="368" t="str">
        <f>IFERROR(BW4*1000/BW8,"")</f>
        <v/>
      </c>
      <c r="BX12" s="368"/>
      <c r="BY12" s="368">
        <f>IFERROR(BY4*1000/BY8,"")</f>
        <v>1360.5885859308066</v>
      </c>
      <c r="BZ12" s="368"/>
      <c r="CA12" s="368" t="str">
        <f>IFERROR(CA4*1000/CA8,"")</f>
        <v/>
      </c>
      <c r="CB12" s="368"/>
      <c r="CC12" s="460" t="str">
        <f t="shared" si="18"/>
        <v/>
      </c>
      <c r="CD12" s="460" t="str">
        <f t="shared" si="19"/>
        <v/>
      </c>
      <c r="CE12" s="368" t="str">
        <f>IFERROR(CE4*1000/CE8,"")</f>
        <v/>
      </c>
      <c r="CF12" s="368"/>
      <c r="CG12" s="368">
        <f>IFERROR(CG4*1000/CG8,"")</f>
        <v>1422.9226502497895</v>
      </c>
      <c r="CH12" s="368"/>
      <c r="CI12" s="368" t="str">
        <f>IFERROR(CI4*1000/CI8,"")</f>
        <v/>
      </c>
      <c r="CJ12" s="368"/>
      <c r="CK12" s="460" t="str">
        <f t="shared" si="20"/>
        <v/>
      </c>
      <c r="CL12" s="460" t="str">
        <f t="shared" si="21"/>
        <v/>
      </c>
      <c r="CM12" s="368" t="str">
        <f>IFERROR(CM4*1000/CM8,"")</f>
        <v/>
      </c>
      <c r="CN12" s="368"/>
      <c r="CO12" s="368">
        <f>IFERROR(CO4*1000/CO8,"")</f>
        <v>1526.7036191164391</v>
      </c>
      <c r="CP12" s="368"/>
      <c r="CQ12" s="368" t="str">
        <f>IFERROR(CQ4*1000/CQ8,"")</f>
        <v/>
      </c>
      <c r="CR12" s="368"/>
      <c r="CS12" s="460" t="str">
        <f t="shared" si="22"/>
        <v/>
      </c>
      <c r="CT12" s="460" t="str">
        <f t="shared" si="23"/>
        <v/>
      </c>
      <c r="CU12" s="368">
        <f t="shared" si="24"/>
        <v>0</v>
      </c>
      <c r="CV12" s="368" t="str">
        <f t="shared" si="25"/>
        <v/>
      </c>
      <c r="CW12" s="368">
        <f t="shared" si="26"/>
        <v>14507.709944356342</v>
      </c>
      <c r="CX12" s="368">
        <f t="shared" si="27"/>
        <v>0.10940134700130942</v>
      </c>
      <c r="CY12" s="368">
        <f t="shared" si="28"/>
        <v>6486.4272769259624</v>
      </c>
      <c r="CZ12" s="368">
        <f t="shared" si="29"/>
        <v>0.13075091044243251</v>
      </c>
      <c r="DA12" s="460">
        <f t="shared" si="30"/>
        <v>-0.55289792104995494</v>
      </c>
      <c r="DB12" s="460" t="str">
        <f t="shared" si="31"/>
        <v/>
      </c>
    </row>
    <row r="13" spans="2:106" s="92" customFormat="1" ht="13.15" customHeight="1">
      <c r="B13" s="93" t="s">
        <v>16</v>
      </c>
      <c r="C13" s="367" t="str">
        <f>IFERROR(C5*1000/C9,"-")</f>
        <v>-</v>
      </c>
      <c r="D13" s="367"/>
      <c r="E13" s="367" t="str">
        <f>IFERROR(E5*1000/E9,"-")</f>
        <v>-</v>
      </c>
      <c r="F13" s="367"/>
      <c r="G13" s="367" t="str">
        <f>IFERROR(G5*1000/G9,"")</f>
        <v/>
      </c>
      <c r="H13" s="367"/>
      <c r="I13" s="459" t="str">
        <f t="shared" si="0"/>
        <v/>
      </c>
      <c r="J13" s="459" t="str">
        <f t="shared" si="1"/>
        <v/>
      </c>
      <c r="K13" s="367" t="str">
        <f>IFERROR(K5*1000/K9,"-")</f>
        <v>-</v>
      </c>
      <c r="L13" s="367"/>
      <c r="M13" s="367" t="str">
        <f>IFERROR(M5*1000/M9,"-")</f>
        <v>-</v>
      </c>
      <c r="N13" s="367"/>
      <c r="O13" s="367" t="str">
        <f>IFERROR(O5*1000/O9,"")</f>
        <v/>
      </c>
      <c r="P13" s="367"/>
      <c r="Q13" s="459" t="str">
        <f t="shared" si="2"/>
        <v/>
      </c>
      <c r="R13" s="459" t="str">
        <f t="shared" si="3"/>
        <v/>
      </c>
      <c r="S13" s="367" t="str">
        <f>IFERROR(S5*1000/S9,"-")</f>
        <v>-</v>
      </c>
      <c r="T13" s="367"/>
      <c r="U13" s="367" t="str">
        <f>IFERROR(U5*1000/U9,"-")</f>
        <v>-</v>
      </c>
      <c r="V13" s="367"/>
      <c r="W13" s="367">
        <f>IFERROR(W5*1000/W9,"")</f>
        <v>1557.6306803257157</v>
      </c>
      <c r="X13" s="367"/>
      <c r="Y13" s="459" t="str">
        <f t="shared" si="4"/>
        <v/>
      </c>
      <c r="Z13" s="459" t="str">
        <f t="shared" si="5"/>
        <v/>
      </c>
      <c r="AA13" s="367" t="str">
        <f>IFERROR(AA5*1000/AA9,"-")</f>
        <v>-</v>
      </c>
      <c r="AB13" s="367"/>
      <c r="AC13" s="367">
        <f>IFERROR(AC5*1000/AC9,"-")</f>
        <v>1680</v>
      </c>
      <c r="AD13" s="367"/>
      <c r="AE13" s="367">
        <f>IFERROR(AE5*1000/AE9,"")</f>
        <v>1661.6018417545135</v>
      </c>
      <c r="AF13" s="367"/>
      <c r="AG13" s="459">
        <f t="shared" si="6"/>
        <v>-1.0951284669932448E-2</v>
      </c>
      <c r="AH13" s="459" t="str">
        <f t="shared" si="7"/>
        <v/>
      </c>
      <c r="AI13" s="367" t="str">
        <f>IFERROR(AI5*1000/AI9,"-")</f>
        <v>-</v>
      </c>
      <c r="AJ13" s="367"/>
      <c r="AK13" s="367">
        <f>IFERROR(AK5*1000/AK9,"-")</f>
        <v>1600</v>
      </c>
      <c r="AL13" s="367"/>
      <c r="AM13" s="367">
        <f>IFERROR(AM5*1000/AM9,"")</f>
        <v>1712.1706440013077</v>
      </c>
      <c r="AN13" s="367"/>
      <c r="AO13" s="459">
        <f t="shared" si="8"/>
        <v>7.0106652500817379E-2</v>
      </c>
      <c r="AP13" s="459" t="str">
        <f t="shared" si="9"/>
        <v/>
      </c>
      <c r="AQ13" s="461" t="str">
        <f>IFERROR(AQ5*1000/AQ9,"-")</f>
        <v>-</v>
      </c>
      <c r="AR13" s="461"/>
      <c r="AS13" s="367">
        <f>IFERROR(AS5*1000/AS9,"-")</f>
        <v>1700</v>
      </c>
      <c r="AT13" s="367"/>
      <c r="AU13" s="367">
        <f>IFERROR(AU5*1000/AU9,"")</f>
        <v>1568.8883874518438</v>
      </c>
      <c r="AV13" s="367"/>
      <c r="AW13" s="459">
        <f t="shared" si="10"/>
        <v>-7.7124477969503724E-2</v>
      </c>
      <c r="AX13" s="459" t="str">
        <f t="shared" si="11"/>
        <v/>
      </c>
      <c r="AY13" s="461" t="str">
        <f>IFERROR(AY5*1000/AY9,"-")</f>
        <v>-</v>
      </c>
      <c r="AZ13" s="461"/>
      <c r="BA13" s="367">
        <f>IFERROR(BA5*1000/BA9,"-")</f>
        <v>1750</v>
      </c>
      <c r="BB13" s="367"/>
      <c r="BC13" s="367" t="str">
        <f>IFERROR(BC5*1000/BC9,"")</f>
        <v/>
      </c>
      <c r="BD13" s="367"/>
      <c r="BE13" s="459" t="str">
        <f t="shared" si="12"/>
        <v/>
      </c>
      <c r="BF13" s="459" t="str">
        <f t="shared" si="13"/>
        <v/>
      </c>
      <c r="BG13" s="461" t="str">
        <f>IFERROR(BG5*1000/BG9,"-")</f>
        <v>-</v>
      </c>
      <c r="BH13" s="461"/>
      <c r="BI13" s="367">
        <f>IFERROR(BI5*1000/BI9,"-")</f>
        <v>1750</v>
      </c>
      <c r="BJ13" s="367"/>
      <c r="BK13" s="367" t="str">
        <f>IFERROR(BK5*1000/BK9,"")</f>
        <v/>
      </c>
      <c r="BL13" s="367"/>
      <c r="BM13" s="459" t="str">
        <f t="shared" si="14"/>
        <v/>
      </c>
      <c r="BN13" s="459" t="str">
        <f t="shared" si="15"/>
        <v/>
      </c>
      <c r="BO13" s="461" t="str">
        <f>IFERROR(BO5*1000/BO9,"-")</f>
        <v>-</v>
      </c>
      <c r="BP13" s="461"/>
      <c r="BQ13" s="367">
        <f>IFERROR(BQ5*1000/BQ9,"-")</f>
        <v>1700</v>
      </c>
      <c r="BR13" s="367"/>
      <c r="BS13" s="367" t="str">
        <f>IFERROR(BS5*1000/BS9,"")</f>
        <v/>
      </c>
      <c r="BT13" s="367"/>
      <c r="BU13" s="459" t="str">
        <f t="shared" si="16"/>
        <v/>
      </c>
      <c r="BV13" s="459" t="str">
        <f t="shared" si="17"/>
        <v/>
      </c>
      <c r="BW13" s="461" t="str">
        <f>IFERROR(BW5*1000/BW9,"-")</f>
        <v>-</v>
      </c>
      <c r="BX13" s="461"/>
      <c r="BY13" s="367">
        <f>IFERROR(BY5*1000/BY9,"-")</f>
        <v>1185.5201654601865</v>
      </c>
      <c r="BZ13" s="367"/>
      <c r="CA13" s="367" t="str">
        <f>IFERROR(CA5*1000/CA9,"")</f>
        <v/>
      </c>
      <c r="CB13" s="367"/>
      <c r="CC13" s="459" t="str">
        <f t="shared" si="18"/>
        <v/>
      </c>
      <c r="CD13" s="459" t="str">
        <f t="shared" si="19"/>
        <v/>
      </c>
      <c r="CE13" s="461" t="str">
        <f>IFERROR(CE5*1000/CE9,"-")</f>
        <v>-</v>
      </c>
      <c r="CF13" s="461"/>
      <c r="CG13" s="367">
        <f>IFERROR(CG5*1000/CG9,"-")</f>
        <v>1277.8720899116938</v>
      </c>
      <c r="CH13" s="367"/>
      <c r="CI13" s="367" t="str">
        <f>IFERROR(CI5*1000/CI9,"")</f>
        <v/>
      </c>
      <c r="CJ13" s="367"/>
      <c r="CK13" s="459" t="str">
        <f t="shared" si="20"/>
        <v/>
      </c>
      <c r="CL13" s="459" t="str">
        <f t="shared" si="21"/>
        <v/>
      </c>
      <c r="CM13" s="461" t="str">
        <f>IFERROR(CM5*1000/CM9,"-")</f>
        <v>-</v>
      </c>
      <c r="CN13" s="461"/>
      <c r="CO13" s="367">
        <f>IFERROR(CO5*1000/CO9,"-")</f>
        <v>1345.8401011453216</v>
      </c>
      <c r="CP13" s="367"/>
      <c r="CQ13" s="367" t="str">
        <f>IFERROR(CQ5*1000/CQ9,"")</f>
        <v/>
      </c>
      <c r="CR13" s="367"/>
      <c r="CS13" s="459" t="str">
        <f t="shared" si="22"/>
        <v/>
      </c>
      <c r="CT13" s="459" t="str">
        <f t="shared" si="23"/>
        <v/>
      </c>
      <c r="CU13" s="461">
        <f t="shared" si="24"/>
        <v>0</v>
      </c>
      <c r="CV13" s="461" t="str">
        <f t="shared" si="25"/>
        <v/>
      </c>
      <c r="CW13" s="367">
        <f t="shared" si="26"/>
        <v>13989.232356517201</v>
      </c>
      <c r="CX13" s="367">
        <f t="shared" si="27"/>
        <v>0.10549155374536848</v>
      </c>
      <c r="CY13" s="367">
        <f t="shared" si="28"/>
        <v>6500.2915535333814</v>
      </c>
      <c r="CZ13" s="367">
        <f t="shared" si="29"/>
        <v>0.13103038120679214</v>
      </c>
      <c r="DA13" s="459">
        <f t="shared" si="30"/>
        <v>-0.5353360793592743</v>
      </c>
      <c r="DB13" s="459" t="str">
        <f t="shared" si="31"/>
        <v/>
      </c>
    </row>
    <row r="14" spans="2:106" s="92" customFormat="1" ht="13.15" customHeight="1">
      <c r="B14" s="93" t="s">
        <v>17</v>
      </c>
      <c r="C14" s="367" t="str">
        <f>IFERROR(C6*1000/C10,"-")</f>
        <v>-</v>
      </c>
      <c r="D14" s="367"/>
      <c r="E14" s="367" t="str">
        <f>IFERROR(E6*1000/E10,"-")</f>
        <v>-</v>
      </c>
      <c r="F14" s="367"/>
      <c r="G14" s="367" t="str">
        <f>IFERROR(G6*1000/G10,"")</f>
        <v/>
      </c>
      <c r="H14" s="367"/>
      <c r="I14" s="459" t="str">
        <f t="shared" si="0"/>
        <v/>
      </c>
      <c r="J14" s="459" t="str">
        <f t="shared" si="1"/>
        <v/>
      </c>
      <c r="K14" s="367" t="str">
        <f>IFERROR(K6*1000/K10,"-")</f>
        <v>-</v>
      </c>
      <c r="L14" s="367"/>
      <c r="M14" s="367" t="str">
        <f>IFERROR(M6*1000/M10,"-")</f>
        <v>-</v>
      </c>
      <c r="N14" s="367"/>
      <c r="O14" s="367" t="str">
        <f>IFERROR(O6*1000/O10,"")</f>
        <v/>
      </c>
      <c r="P14" s="367"/>
      <c r="Q14" s="459" t="str">
        <f t="shared" si="2"/>
        <v/>
      </c>
      <c r="R14" s="459" t="str">
        <f t="shared" si="3"/>
        <v/>
      </c>
      <c r="S14" s="367" t="str">
        <f>IFERROR(S6*1000/S10,"-")</f>
        <v>-</v>
      </c>
      <c r="T14" s="367"/>
      <c r="U14" s="367" t="str">
        <f>IFERROR(U6*1000/U10,"-")</f>
        <v>-</v>
      </c>
      <c r="V14" s="367"/>
      <c r="W14" s="367" t="str">
        <f>IFERROR(W6*1000/W10,"")</f>
        <v/>
      </c>
      <c r="X14" s="367"/>
      <c r="Y14" s="459" t="str">
        <f t="shared" si="4"/>
        <v/>
      </c>
      <c r="Z14" s="459" t="str">
        <f t="shared" si="5"/>
        <v/>
      </c>
      <c r="AA14" s="367" t="str">
        <f>IFERROR(AA6*1000/AA10,"-")</f>
        <v>-</v>
      </c>
      <c r="AB14" s="367"/>
      <c r="AC14" s="367" t="str">
        <f>IFERROR(AC6*1000/AC10,"-")</f>
        <v>-</v>
      </c>
      <c r="AD14" s="367"/>
      <c r="AE14" s="367" t="str">
        <f>IFERROR(AE6*1000/AE10,"")</f>
        <v/>
      </c>
      <c r="AF14" s="367"/>
      <c r="AG14" s="459" t="str">
        <f t="shared" si="6"/>
        <v/>
      </c>
      <c r="AH14" s="459" t="str">
        <f t="shared" si="7"/>
        <v/>
      </c>
      <c r="AI14" s="367" t="str">
        <f>IFERROR(AI6*1000/AI10,"-")</f>
        <v>-</v>
      </c>
      <c r="AJ14" s="367"/>
      <c r="AK14" s="367">
        <f>IFERROR(AK6*1000/AK10,"-")</f>
        <v>2000</v>
      </c>
      <c r="AL14" s="367"/>
      <c r="AM14" s="367" t="str">
        <f>IFERROR(AM6*1000/AM10,"")</f>
        <v/>
      </c>
      <c r="AN14" s="367"/>
      <c r="AO14" s="459" t="str">
        <f t="shared" si="8"/>
        <v/>
      </c>
      <c r="AP14" s="459" t="str">
        <f t="shared" si="9"/>
        <v/>
      </c>
      <c r="AQ14" s="461" t="str">
        <f>IFERROR(AQ6*1000/AQ10,"-")</f>
        <v>-</v>
      </c>
      <c r="AR14" s="461"/>
      <c r="AS14" s="367">
        <f>IFERROR(AS6*1000/AS10,"-")</f>
        <v>2000</v>
      </c>
      <c r="AT14" s="367"/>
      <c r="AU14" s="367">
        <f>IFERROR(AU6*1000/AU10,"")</f>
        <v>0</v>
      </c>
      <c r="AV14" s="367"/>
      <c r="AW14" s="459">
        <f t="shared" si="10"/>
        <v>-1</v>
      </c>
      <c r="AX14" s="459" t="str">
        <f t="shared" si="11"/>
        <v/>
      </c>
      <c r="AY14" s="461" t="str">
        <f>IFERROR(AY6*1000/AY10,"-")</f>
        <v>-</v>
      </c>
      <c r="AZ14" s="461"/>
      <c r="BA14" s="367">
        <f>IFERROR(BA6*1000/BA10,"-")</f>
        <v>2000</v>
      </c>
      <c r="BB14" s="367"/>
      <c r="BC14" s="367" t="str">
        <f>IFERROR(BC6*1000/BC10,"")</f>
        <v/>
      </c>
      <c r="BD14" s="367"/>
      <c r="BE14" s="459" t="str">
        <f t="shared" si="12"/>
        <v/>
      </c>
      <c r="BF14" s="459" t="str">
        <f t="shared" si="13"/>
        <v/>
      </c>
      <c r="BG14" s="461" t="str">
        <f>IFERROR(BG6*1000/BG10,"-")</f>
        <v>-</v>
      </c>
      <c r="BH14" s="461"/>
      <c r="BI14" s="367">
        <f>IFERROR(BI6*1000/BI10,"-")</f>
        <v>2000</v>
      </c>
      <c r="BJ14" s="367"/>
      <c r="BK14" s="367" t="str">
        <f>IFERROR(BK6*1000/BK10,"")</f>
        <v/>
      </c>
      <c r="BL14" s="367"/>
      <c r="BM14" s="459" t="str">
        <f t="shared" si="14"/>
        <v/>
      </c>
      <c r="BN14" s="459" t="str">
        <f t="shared" si="15"/>
        <v/>
      </c>
      <c r="BO14" s="461" t="str">
        <f>IFERROR(BO6*1000/BO10,"-")</f>
        <v>-</v>
      </c>
      <c r="BP14" s="461"/>
      <c r="BQ14" s="367">
        <f>IFERROR(BQ6*1000/BQ10,"-")</f>
        <v>2000</v>
      </c>
      <c r="BR14" s="367"/>
      <c r="BS14" s="367" t="str">
        <f>IFERROR(BS6*1000/BS10,"")</f>
        <v/>
      </c>
      <c r="BT14" s="367"/>
      <c r="BU14" s="459" t="str">
        <f t="shared" si="16"/>
        <v/>
      </c>
      <c r="BV14" s="459" t="str">
        <f t="shared" si="17"/>
        <v/>
      </c>
      <c r="BW14" s="461" t="str">
        <f>IFERROR(BW6*1000/BW10,"-")</f>
        <v>-</v>
      </c>
      <c r="BX14" s="461"/>
      <c r="BY14" s="367">
        <f>IFERROR(BY6*1000/BY10,"-")</f>
        <v>2324.7360223642177</v>
      </c>
      <c r="BZ14" s="367"/>
      <c r="CA14" s="367" t="str">
        <f>IFERROR(CA6*1000/CA10,"")</f>
        <v/>
      </c>
      <c r="CB14" s="367"/>
      <c r="CC14" s="459" t="str">
        <f t="shared" si="18"/>
        <v/>
      </c>
      <c r="CD14" s="459" t="str">
        <f t="shared" si="19"/>
        <v/>
      </c>
      <c r="CE14" s="461" t="str">
        <f>IFERROR(CE6*1000/CE10,"-")</f>
        <v>-</v>
      </c>
      <c r="CF14" s="461"/>
      <c r="CG14" s="367">
        <f>IFERROR(CG6*1000/CG10,"-")</f>
        <v>2250.790476190477</v>
      </c>
      <c r="CH14" s="367"/>
      <c r="CI14" s="367" t="str">
        <f>IFERROR(CI6*1000/CI10,"")</f>
        <v/>
      </c>
      <c r="CJ14" s="367"/>
      <c r="CK14" s="459" t="str">
        <f t="shared" si="20"/>
        <v/>
      </c>
      <c r="CL14" s="459" t="str">
        <f t="shared" si="21"/>
        <v/>
      </c>
      <c r="CM14" s="461" t="str">
        <f>IFERROR(CM6*1000/CM10,"-")</f>
        <v>-</v>
      </c>
      <c r="CN14" s="461"/>
      <c r="CO14" s="367">
        <f>IFERROR(CO6*1000/CO10,"-")</f>
        <v>2403.6309523809527</v>
      </c>
      <c r="CP14" s="367"/>
      <c r="CQ14" s="367" t="str">
        <f>IFERROR(CQ6*1000/CQ10,"")</f>
        <v/>
      </c>
      <c r="CR14" s="367"/>
      <c r="CS14" s="459" t="str">
        <f t="shared" si="22"/>
        <v/>
      </c>
      <c r="CT14" s="459" t="str">
        <f t="shared" si="23"/>
        <v/>
      </c>
      <c r="CU14" s="461">
        <f t="shared" si="24"/>
        <v>0</v>
      </c>
      <c r="CV14" s="461" t="str">
        <f t="shared" si="25"/>
        <v/>
      </c>
      <c r="CW14" s="367">
        <f t="shared" si="26"/>
        <v>16979.157450935647</v>
      </c>
      <c r="CX14" s="367">
        <f t="shared" si="27"/>
        <v>0.12803831226321721</v>
      </c>
      <c r="CY14" s="367">
        <f t="shared" si="28"/>
        <v>0</v>
      </c>
      <c r="CZ14" s="367">
        <f t="shared" si="29"/>
        <v>0</v>
      </c>
      <c r="DA14" s="459">
        <f t="shared" si="30"/>
        <v>-1</v>
      </c>
      <c r="DB14" s="459" t="str">
        <f t="shared" si="31"/>
        <v/>
      </c>
    </row>
    <row r="15" spans="2:106" s="92" customFormat="1" ht="17.45" customHeight="1">
      <c r="B15" s="93" t="s">
        <v>18</v>
      </c>
      <c r="C15" s="367" t="str">
        <f>IFERROR(C7*1000/C11,"-")</f>
        <v>-</v>
      </c>
      <c r="D15" s="367"/>
      <c r="E15" s="367" t="str">
        <f>IFERROR(E7*1000/E11,"-")</f>
        <v>-</v>
      </c>
      <c r="F15" s="367"/>
      <c r="G15" s="367" t="str">
        <f>IFERROR(G7*1000/G11,"")</f>
        <v/>
      </c>
      <c r="H15" s="367"/>
      <c r="I15" s="459" t="str">
        <f t="shared" si="0"/>
        <v/>
      </c>
      <c r="J15" s="459" t="str">
        <f t="shared" si="1"/>
        <v/>
      </c>
      <c r="K15" s="367" t="str">
        <f>IFERROR(K7*1000/K11,"-")</f>
        <v>-</v>
      </c>
      <c r="L15" s="367"/>
      <c r="M15" s="367" t="str">
        <f>IFERROR(M7*1000/M11,"-")</f>
        <v>-</v>
      </c>
      <c r="N15" s="367"/>
      <c r="O15" s="367" t="str">
        <f>IFERROR(O7*1000/O11,"")</f>
        <v/>
      </c>
      <c r="P15" s="367"/>
      <c r="Q15" s="459" t="str">
        <f t="shared" si="2"/>
        <v/>
      </c>
      <c r="R15" s="459" t="str">
        <f t="shared" si="3"/>
        <v/>
      </c>
      <c r="S15" s="367" t="str">
        <f>IFERROR(S7*1000/S11,"-")</f>
        <v>-</v>
      </c>
      <c r="T15" s="367"/>
      <c r="U15" s="367" t="str">
        <f>IFERROR(U7*1000/U11,"-")</f>
        <v>-</v>
      </c>
      <c r="V15" s="367"/>
      <c r="W15" s="367" t="str">
        <f>IFERROR(W7*1000/W11,"")</f>
        <v/>
      </c>
      <c r="X15" s="367"/>
      <c r="Y15" s="459" t="str">
        <f t="shared" si="4"/>
        <v/>
      </c>
      <c r="Z15" s="459" t="str">
        <f t="shared" si="5"/>
        <v/>
      </c>
      <c r="AA15" s="367" t="str">
        <f>IFERROR(AA7*1000/AA11,"-")</f>
        <v>-</v>
      </c>
      <c r="AB15" s="367"/>
      <c r="AC15" s="367" t="str">
        <f>IFERROR(AC7*1000/AC11,"-")</f>
        <v>-</v>
      </c>
      <c r="AD15" s="367"/>
      <c r="AE15" s="367" t="str">
        <f>IFERROR(AE7*1000/AE11,"")</f>
        <v/>
      </c>
      <c r="AF15" s="367"/>
      <c r="AG15" s="459" t="str">
        <f t="shared" si="6"/>
        <v/>
      </c>
      <c r="AH15" s="459" t="str">
        <f t="shared" si="7"/>
        <v/>
      </c>
      <c r="AI15" s="367" t="str">
        <f>IFERROR(AI7*1000/AI11,"-")</f>
        <v>-</v>
      </c>
      <c r="AJ15" s="367"/>
      <c r="AK15" s="367" t="str">
        <f>IFERROR(AK7*1000/AK11,"-")</f>
        <v>-</v>
      </c>
      <c r="AL15" s="367"/>
      <c r="AM15" s="367" t="str">
        <f>IFERROR(AM7*1000/AM11,"")</f>
        <v/>
      </c>
      <c r="AN15" s="367"/>
      <c r="AO15" s="459" t="str">
        <f t="shared" si="8"/>
        <v/>
      </c>
      <c r="AP15" s="459" t="str">
        <f t="shared" si="9"/>
        <v/>
      </c>
      <c r="AQ15" s="461" t="str">
        <f>IFERROR(AQ7*1000/AQ11,"-")</f>
        <v>-</v>
      </c>
      <c r="AR15" s="461"/>
      <c r="AS15" s="367" t="str">
        <f>IFERROR(AS7*1000/AS11,"-")</f>
        <v>-</v>
      </c>
      <c r="AT15" s="367"/>
      <c r="AU15" s="367" t="str">
        <f>IFERROR(AU7*1000/AU11,"")</f>
        <v/>
      </c>
      <c r="AV15" s="367"/>
      <c r="AW15" s="459" t="str">
        <f t="shared" si="10"/>
        <v/>
      </c>
      <c r="AX15" s="459" t="str">
        <f t="shared" si="11"/>
        <v/>
      </c>
      <c r="AY15" s="461" t="str">
        <f>IFERROR(AY7*1000/AY11,"-")</f>
        <v>-</v>
      </c>
      <c r="AZ15" s="461"/>
      <c r="BA15" s="367" t="str">
        <f>IFERROR(BA7*1000/BA11,"-")</f>
        <v>-</v>
      </c>
      <c r="BB15" s="367"/>
      <c r="BC15" s="367" t="str">
        <f>IFERROR(BC7*1000/BC11,"")</f>
        <v/>
      </c>
      <c r="BD15" s="367"/>
      <c r="BE15" s="459" t="str">
        <f t="shared" si="12"/>
        <v/>
      </c>
      <c r="BF15" s="459" t="str">
        <f t="shared" si="13"/>
        <v/>
      </c>
      <c r="BG15" s="461" t="str">
        <f>IFERROR(BG7*1000/BG11,"-")</f>
        <v>-</v>
      </c>
      <c r="BH15" s="461"/>
      <c r="BI15" s="367" t="str">
        <f>IFERROR(BI7*1000/BI11,"-")</f>
        <v>-</v>
      </c>
      <c r="BJ15" s="367"/>
      <c r="BK15" s="367" t="str">
        <f>IFERROR(BK7*1000/BK11,"")</f>
        <v/>
      </c>
      <c r="BL15" s="367"/>
      <c r="BM15" s="459" t="str">
        <f t="shared" si="14"/>
        <v/>
      </c>
      <c r="BN15" s="459" t="str">
        <f t="shared" si="15"/>
        <v/>
      </c>
      <c r="BO15" s="461" t="str">
        <f>IFERROR(BO7*1000/BO11,"-")</f>
        <v>-</v>
      </c>
      <c r="BP15" s="461"/>
      <c r="BQ15" s="367" t="str">
        <f>IFERROR(BQ7*1000/BQ11,"-")</f>
        <v>-</v>
      </c>
      <c r="BR15" s="367"/>
      <c r="BS15" s="367" t="str">
        <f>IFERROR(BS7*1000/BS11,"")</f>
        <v/>
      </c>
      <c r="BT15" s="367"/>
      <c r="BU15" s="459" t="str">
        <f t="shared" si="16"/>
        <v/>
      </c>
      <c r="BV15" s="459" t="str">
        <f t="shared" si="17"/>
        <v/>
      </c>
      <c r="BW15" s="461" t="str">
        <f>IFERROR(BW7*1000/BW11,"-")</f>
        <v>-</v>
      </c>
      <c r="BX15" s="461"/>
      <c r="BY15" s="367" t="str">
        <f>IFERROR(BY7*1000/BY11,"-")</f>
        <v>-</v>
      </c>
      <c r="BZ15" s="367"/>
      <c r="CA15" s="367" t="str">
        <f>IFERROR(CA7*1000/CA11,"")</f>
        <v/>
      </c>
      <c r="CB15" s="367"/>
      <c r="CC15" s="459" t="str">
        <f t="shared" si="18"/>
        <v/>
      </c>
      <c r="CD15" s="459" t="str">
        <f t="shared" si="19"/>
        <v/>
      </c>
      <c r="CE15" s="461" t="str">
        <f>IFERROR(CE7*1000/CE11,"-")</f>
        <v>-</v>
      </c>
      <c r="CF15" s="461"/>
      <c r="CG15" s="367" t="str">
        <f>IFERROR(CG7*1000/CG11,"-")</f>
        <v>-</v>
      </c>
      <c r="CH15" s="367"/>
      <c r="CI15" s="367" t="str">
        <f>IFERROR(CI7*1000/CI11,"")</f>
        <v/>
      </c>
      <c r="CJ15" s="367"/>
      <c r="CK15" s="459" t="str">
        <f t="shared" si="20"/>
        <v/>
      </c>
      <c r="CL15" s="459" t="str">
        <f t="shared" si="21"/>
        <v/>
      </c>
      <c r="CM15" s="461" t="str">
        <f>IFERROR(CM7*1000/CM11,"-")</f>
        <v>-</v>
      </c>
      <c r="CN15" s="461"/>
      <c r="CO15" s="367" t="str">
        <f>IFERROR(CO7*1000/CO11,"-")</f>
        <v>-</v>
      </c>
      <c r="CP15" s="367"/>
      <c r="CQ15" s="367" t="str">
        <f>IFERROR(CQ7*1000/CQ11,"")</f>
        <v/>
      </c>
      <c r="CR15" s="367"/>
      <c r="CS15" s="459" t="str">
        <f t="shared" si="22"/>
        <v/>
      </c>
      <c r="CT15" s="459" t="str">
        <f t="shared" si="23"/>
        <v/>
      </c>
      <c r="CU15" s="461">
        <f t="shared" si="24"/>
        <v>0</v>
      </c>
      <c r="CV15" s="461" t="str">
        <f t="shared" si="25"/>
        <v/>
      </c>
      <c r="CW15" s="367">
        <f t="shared" si="26"/>
        <v>0</v>
      </c>
      <c r="CX15" s="367">
        <f t="shared" si="27"/>
        <v>0</v>
      </c>
      <c r="CY15" s="367">
        <f t="shared" si="28"/>
        <v>0</v>
      </c>
      <c r="CZ15" s="367">
        <f t="shared" si="29"/>
        <v>0</v>
      </c>
      <c r="DA15" s="459" t="str">
        <f t="shared" si="30"/>
        <v/>
      </c>
      <c r="DB15" s="459" t="str">
        <f t="shared" si="31"/>
        <v/>
      </c>
    </row>
    <row r="16" spans="2:106" s="94" customFormat="1">
      <c r="B16" s="98" t="s">
        <v>21</v>
      </c>
      <c r="C16" s="345">
        <f>+C17+C21</f>
        <v>0</v>
      </c>
      <c r="D16" s="70" t="str">
        <f>IFERROR(C16/C$4,"")</f>
        <v/>
      </c>
      <c r="E16" s="345">
        <f>+E17+E21</f>
        <v>0</v>
      </c>
      <c r="F16" s="70" t="str">
        <f>IFERROR(E16/E$4,"")</f>
        <v/>
      </c>
      <c r="G16" s="345">
        <f>+G17+G21</f>
        <v>0</v>
      </c>
      <c r="H16" s="70" t="str">
        <f>IFERROR(G16/G$4,"")</f>
        <v/>
      </c>
      <c r="I16" s="462" t="str">
        <f>+IFERROR(H16-F16,"")</f>
        <v/>
      </c>
      <c r="J16" s="462" t="str">
        <f>+IFERROR(H16-D16,"")</f>
        <v/>
      </c>
      <c r="K16" s="345">
        <f>+K17+K21</f>
        <v>0</v>
      </c>
      <c r="L16" s="70" t="str">
        <f>IFERROR(K16/K$4,"")</f>
        <v/>
      </c>
      <c r="M16" s="345">
        <f>+M17+M21</f>
        <v>0</v>
      </c>
      <c r="N16" s="70" t="str">
        <f>IFERROR(M16/M$4,"")</f>
        <v/>
      </c>
      <c r="O16" s="345">
        <f>+O17+O21</f>
        <v>0</v>
      </c>
      <c r="P16" s="70" t="str">
        <f>IFERROR(O16/O$4,"")</f>
        <v/>
      </c>
      <c r="Q16" s="462" t="str">
        <f>+IFERROR(P16-N16,"")</f>
        <v/>
      </c>
      <c r="R16" s="462" t="str">
        <f>+IFERROR(P16-L16,"")</f>
        <v/>
      </c>
      <c r="S16" s="345">
        <f>+S17+S21</f>
        <v>0</v>
      </c>
      <c r="T16" s="70" t="str">
        <f>IFERROR(S16/S$4,"")</f>
        <v/>
      </c>
      <c r="U16" s="345">
        <f>+U17+U21</f>
        <v>0</v>
      </c>
      <c r="V16" s="70" t="str">
        <f>IFERROR(U16/U$4,"")</f>
        <v/>
      </c>
      <c r="W16" s="345">
        <f>+W17+W21</f>
        <v>2056.6998199999998</v>
      </c>
      <c r="X16" s="70">
        <f>IFERROR(W16/W$4,"")</f>
        <v>0.34683549806910741</v>
      </c>
      <c r="Y16" s="462" t="str">
        <f>+IFERROR(X16-V16,"")</f>
        <v/>
      </c>
      <c r="Z16" s="462" t="str">
        <f>+IFERROR(X16-T16,"")</f>
        <v/>
      </c>
      <c r="AA16" s="345">
        <f>+AA17+AA21</f>
        <v>0</v>
      </c>
      <c r="AB16" s="70" t="str">
        <f>IFERROR(AA16/AA$4,"")</f>
        <v/>
      </c>
      <c r="AC16" s="345">
        <f>+AC17+AC21</f>
        <v>3417.96</v>
      </c>
      <c r="AD16" s="70">
        <f>IFERROR(AC16/AC$4,"")</f>
        <v>0.25</v>
      </c>
      <c r="AE16" s="345">
        <f>+AE17+AE21</f>
        <v>3982.4001499999999</v>
      </c>
      <c r="AF16" s="70">
        <f>IFERROR(AE16/AE$4,"")</f>
        <v>0.29040633477233613</v>
      </c>
      <c r="AG16" s="462">
        <f>+IFERROR(AF16-AD16,"")</f>
        <v>4.0406334772336128E-2</v>
      </c>
      <c r="AH16" s="462" t="str">
        <f>+IFERROR(AF16-AB16,"")</f>
        <v/>
      </c>
      <c r="AI16" s="345">
        <f>+AI17+AI21</f>
        <v>0</v>
      </c>
      <c r="AJ16" s="70" t="str">
        <f>IFERROR(AI16/AI$4,"")</f>
        <v/>
      </c>
      <c r="AK16" s="345">
        <f>+AK17+AK21</f>
        <v>3493</v>
      </c>
      <c r="AL16" s="70">
        <f>IFERROR(AK16/AK$4,"")</f>
        <v>0.25</v>
      </c>
      <c r="AM16" s="345">
        <f>+AM17+AM21</f>
        <v>4620.2512800000004</v>
      </c>
      <c r="AN16" s="70">
        <f>IFERROR(AM16/AM$4,"")</f>
        <v>0.29404772096770809</v>
      </c>
      <c r="AO16" s="462">
        <f>+IFERROR(AN16-AL16,"")</f>
        <v>4.4047720967708093E-2</v>
      </c>
      <c r="AP16" s="462" t="str">
        <f>+IFERROR(AN16-AJ16,"")</f>
        <v/>
      </c>
      <c r="AQ16" s="345">
        <f>+AQ17+AQ21</f>
        <v>0</v>
      </c>
      <c r="AR16" s="70" t="str">
        <f>IFERROR(AQ16/AQ$4,"")</f>
        <v/>
      </c>
      <c r="AS16" s="345">
        <f>+AS17+AS21</f>
        <v>4221.2</v>
      </c>
      <c r="AT16" s="70">
        <f>IFERROR(AS16/AS$4,"")</f>
        <v>0.27992042440318299</v>
      </c>
      <c r="AU16" s="345">
        <f>+AU17+AU21</f>
        <v>4111.6563299999998</v>
      </c>
      <c r="AV16" s="70">
        <f>IFERROR(AU16/AU$4,"")</f>
        <v>0.28846945044712641</v>
      </c>
      <c r="AW16" s="462">
        <f>+IFERROR(AV16-AT16,"")</f>
        <v>8.5490260439434196E-3</v>
      </c>
      <c r="AX16" s="462" t="str">
        <f>+IFERROR(AV16-AR16,"")</f>
        <v/>
      </c>
      <c r="AY16" s="345">
        <f>+AY17+AY21</f>
        <v>0</v>
      </c>
      <c r="AZ16" s="70" t="str">
        <f>IFERROR(AY16/AY$4,"")</f>
        <v/>
      </c>
      <c r="BA16" s="345">
        <f>+BA17+BA21</f>
        <v>4385.1000000000004</v>
      </c>
      <c r="BB16" s="70">
        <f>IFERROR(BA16/BA$4,"")</f>
        <v>0.27988511249401632</v>
      </c>
      <c r="BC16" s="345">
        <f>+BC17+BC21</f>
        <v>0</v>
      </c>
      <c r="BD16" s="70" t="str">
        <f>IFERROR(BC16/BC$4,"")</f>
        <v/>
      </c>
      <c r="BE16" s="462" t="str">
        <f>+IFERROR(BD16-BB16,"")</f>
        <v/>
      </c>
      <c r="BF16" s="462" t="str">
        <f>+IFERROR(BD16-AZ16,"")</f>
        <v/>
      </c>
      <c r="BG16" s="345">
        <f>+BG17+BG21</f>
        <v>0</v>
      </c>
      <c r="BH16" s="70" t="str">
        <f>IFERROR(BG16/BG$4,"")</f>
        <v/>
      </c>
      <c r="BI16" s="345">
        <f>+BI17+BI21</f>
        <v>4385.1000000000004</v>
      </c>
      <c r="BJ16" s="70">
        <f>IFERROR(BI16/BI$4,"")</f>
        <v>0.27988511249401632</v>
      </c>
      <c r="BK16" s="345">
        <f>+BK17+BK21</f>
        <v>0</v>
      </c>
      <c r="BL16" s="70" t="str">
        <f>IFERROR(BK16/BK$4,"")</f>
        <v/>
      </c>
      <c r="BM16" s="462" t="str">
        <f>+IFERROR(BL16-BJ16,"")</f>
        <v/>
      </c>
      <c r="BN16" s="462" t="str">
        <f>+IFERROR(BL16-BH16,"")</f>
        <v/>
      </c>
      <c r="BO16" s="345">
        <f>+BO17+BO21</f>
        <v>0</v>
      </c>
      <c r="BP16" s="70" t="str">
        <f>IFERROR(BO16/BO$4,"")</f>
        <v/>
      </c>
      <c r="BQ16" s="345">
        <f>+BQ17+BQ21</f>
        <v>4052.400000000001</v>
      </c>
      <c r="BR16" s="70">
        <f>IFERROR(BQ16/BQ$4,"")</f>
        <v>0.27986187845303873</v>
      </c>
      <c r="BS16" s="345">
        <f>+BS17+BS21</f>
        <v>0</v>
      </c>
      <c r="BT16" s="70" t="str">
        <f>IFERROR(BS16/BS$4,"")</f>
        <v/>
      </c>
      <c r="BU16" s="462" t="str">
        <f>+IFERROR(BT16-BR16,"")</f>
        <v/>
      </c>
      <c r="BV16" s="462" t="str">
        <f>+IFERROR(BT16-BP16,"")</f>
        <v/>
      </c>
      <c r="BW16" s="345">
        <f>+BW17+BW21</f>
        <v>0</v>
      </c>
      <c r="BX16" s="70" t="str">
        <f>IFERROR(BW16/BW$4,"")</f>
        <v/>
      </c>
      <c r="BY16" s="345">
        <f>+BY17+BY21</f>
        <v>3182.6349383032152</v>
      </c>
      <c r="BZ16" s="70">
        <f>IFERROR(BY16/BY$4,"")</f>
        <v>0.22597472310241734</v>
      </c>
      <c r="CA16" s="345">
        <f>+CA17+CA21</f>
        <v>0</v>
      </c>
      <c r="CB16" s="70" t="str">
        <f>IFERROR(CA16/CA$4,"")</f>
        <v/>
      </c>
      <c r="CC16" s="462" t="str">
        <f>+IFERROR(CB16-BZ16,"")</f>
        <v/>
      </c>
      <c r="CD16" s="462" t="str">
        <f>+IFERROR(CB16-BX16,"")</f>
        <v/>
      </c>
      <c r="CE16" s="345">
        <f>+CE17+CE21</f>
        <v>0</v>
      </c>
      <c r="CF16" s="70" t="str">
        <f>IFERROR(CE16/CE$4,"")</f>
        <v/>
      </c>
      <c r="CG16" s="345">
        <f>+CG17+CG21</f>
        <v>3338.1545984063996</v>
      </c>
      <c r="CH16" s="70">
        <f>IFERROR(CG16/CG$4,"")</f>
        <v>0.22956804830922384</v>
      </c>
      <c r="CI16" s="345">
        <f>+CI17+CI21</f>
        <v>0</v>
      </c>
      <c r="CJ16" s="70" t="str">
        <f>IFERROR(CI16/CI$4,"")</f>
        <v/>
      </c>
      <c r="CK16" s="462" t="str">
        <f>+IFERROR(CJ16-CH16,"")</f>
        <v/>
      </c>
      <c r="CL16" s="462" t="str">
        <f>+IFERROR(CJ16-CF16,"")</f>
        <v/>
      </c>
      <c r="CM16" s="345">
        <f>+CM17+CM21</f>
        <v>0</v>
      </c>
      <c r="CN16" s="70" t="str">
        <f>IFERROR(CM16/CM$4,"")</f>
        <v/>
      </c>
      <c r="CO16" s="345">
        <f>+CO17+CO21</f>
        <v>3555.5830742470189</v>
      </c>
      <c r="CP16" s="70">
        <f>IFERROR(CO16/CO$4,"")</f>
        <v>0.23019322648954835</v>
      </c>
      <c r="CQ16" s="345">
        <f>+CQ17+CQ21</f>
        <v>0</v>
      </c>
      <c r="CR16" s="70" t="str">
        <f>IFERROR(CQ16/CQ$4,"")</f>
        <v/>
      </c>
      <c r="CS16" s="462" t="str">
        <f>+IFERROR(CR16-CP16,"")</f>
        <v/>
      </c>
      <c r="CT16" s="462" t="str">
        <f>+IFERROR(CR16-CN16,"")</f>
        <v/>
      </c>
      <c r="CU16" s="345">
        <f t="shared" si="24"/>
        <v>0</v>
      </c>
      <c r="CV16" s="70" t="str">
        <f t="shared" si="25"/>
        <v/>
      </c>
      <c r="CW16" s="345">
        <f t="shared" si="26"/>
        <v>34031.132610956636</v>
      </c>
      <c r="CX16" s="70">
        <f t="shared" si="27"/>
        <v>0.25662573637730823</v>
      </c>
      <c r="CY16" s="345">
        <f t="shared" si="28"/>
        <v>14771.00758</v>
      </c>
      <c r="CZ16" s="70">
        <f t="shared" si="29"/>
        <v>0.29774829914571416</v>
      </c>
      <c r="DA16" s="462">
        <f t="shared" si="30"/>
        <v>-0.56595603946357231</v>
      </c>
      <c r="DB16" s="462" t="str">
        <f t="shared" si="31"/>
        <v/>
      </c>
    </row>
    <row r="17" spans="2:106" s="94" customFormat="1">
      <c r="B17" s="99" t="s">
        <v>22</v>
      </c>
      <c r="C17" s="346">
        <f>SUM(C18:C20)</f>
        <v>0</v>
      </c>
      <c r="D17" s="40" t="str">
        <f>IFERROR(C17/C$4,"")</f>
        <v/>
      </c>
      <c r="E17" s="346">
        <f>SUM(E18:E20)</f>
        <v>0</v>
      </c>
      <c r="F17" s="40" t="str">
        <f>IFERROR(E17/E$4,"")</f>
        <v/>
      </c>
      <c r="G17" s="346">
        <f>SUM(G18:G20)</f>
        <v>0</v>
      </c>
      <c r="H17" s="40" t="str">
        <f>IFERROR(G17/G$4,"")</f>
        <v/>
      </c>
      <c r="I17" s="463" t="str">
        <f>+IFERROR(H17-F17,"")</f>
        <v/>
      </c>
      <c r="J17" s="463" t="str">
        <f>+IFERROR(H17-D17,"")</f>
        <v/>
      </c>
      <c r="K17" s="346">
        <f>SUM(K18:K20)</f>
        <v>0</v>
      </c>
      <c r="L17" s="40" t="str">
        <f>IFERROR(K17/K$4,"")</f>
        <v/>
      </c>
      <c r="M17" s="346">
        <f>SUM(M18:M20)</f>
        <v>0</v>
      </c>
      <c r="N17" s="40" t="str">
        <f>IFERROR(M17/M$4,"")</f>
        <v/>
      </c>
      <c r="O17" s="346">
        <f>SUM(O18:O20)</f>
        <v>0</v>
      </c>
      <c r="P17" s="40" t="str">
        <f>IFERROR(O17/O$4,"")</f>
        <v/>
      </c>
      <c r="Q17" s="463" t="str">
        <f>+IFERROR(P17-N17,"")</f>
        <v/>
      </c>
      <c r="R17" s="463" t="str">
        <f>+IFERROR(P17-L17,"")</f>
        <v/>
      </c>
      <c r="S17" s="346">
        <f>SUM(S18:S20)</f>
        <v>0</v>
      </c>
      <c r="T17" s="40" t="str">
        <f>IFERROR(S17/S$4,"")</f>
        <v/>
      </c>
      <c r="U17" s="346">
        <f>SUM(U18:U20)</f>
        <v>0</v>
      </c>
      <c r="V17" s="40" t="str">
        <f>IFERROR(U17/U$4,"")</f>
        <v/>
      </c>
      <c r="W17" s="346">
        <f>SUM(W18:W20)</f>
        <v>1600.5609999999997</v>
      </c>
      <c r="X17" s="40">
        <f>IFERROR(W17/W$4,"")</f>
        <v>0.26991365790316868</v>
      </c>
      <c r="Y17" s="463" t="str">
        <f>+IFERROR(X17-V17,"")</f>
        <v/>
      </c>
      <c r="Z17" s="463" t="str">
        <f>+IFERROR(X17-T17,"")</f>
        <v/>
      </c>
      <c r="AA17" s="346">
        <f>SUM(AA18:AA20)</f>
        <v>0</v>
      </c>
      <c r="AB17" s="40" t="str">
        <f>IFERROR(AA17/AA$4,"")</f>
        <v/>
      </c>
      <c r="AC17" s="346">
        <f>SUM(AC18:AC20)</f>
        <v>3417.96</v>
      </c>
      <c r="AD17" s="40">
        <f>IFERROR(AC17/AC$4,"")</f>
        <v>0.25</v>
      </c>
      <c r="AE17" s="346">
        <f>SUM(AE18:AE20)</f>
        <v>3746.317</v>
      </c>
      <c r="AF17" s="40">
        <f>IFERROR(AE17/AE$4,"")</f>
        <v>0.27319057550389403</v>
      </c>
      <c r="AG17" s="463">
        <f>+IFERROR(AF17-AD17,"")</f>
        <v>2.3190575503894029E-2</v>
      </c>
      <c r="AH17" s="463" t="str">
        <f>+IFERROR(AF17-AB17,"")</f>
        <v/>
      </c>
      <c r="AI17" s="346">
        <f>SUM(AI18:AI20)</f>
        <v>0</v>
      </c>
      <c r="AJ17" s="40" t="str">
        <f>IFERROR(AI17/AI$4,"")</f>
        <v/>
      </c>
      <c r="AK17" s="346">
        <f>SUM(AK18:AK20)</f>
        <v>3493</v>
      </c>
      <c r="AL17" s="40">
        <f>IFERROR(AK17/AK$4,"")</f>
        <v>0.25</v>
      </c>
      <c r="AM17" s="346">
        <f>SUM(AM18:AM20)</f>
        <v>4343.2700000000004</v>
      </c>
      <c r="AN17" s="40">
        <f>IFERROR(AM17/AM$4,"")</f>
        <v>0.2764197372934698</v>
      </c>
      <c r="AO17" s="463">
        <f>+IFERROR(AN17-AL17,"")</f>
        <v>2.6419737293469803E-2</v>
      </c>
      <c r="AP17" s="463" t="str">
        <f>+IFERROR(AN17-AJ17,"")</f>
        <v/>
      </c>
      <c r="AQ17" s="346">
        <f>SUM(AQ18:AQ20)</f>
        <v>0</v>
      </c>
      <c r="AR17" s="40" t="str">
        <f>IFERROR(AQ17/AQ$4,"")</f>
        <v/>
      </c>
      <c r="AS17" s="346">
        <f>SUM(AS18:AS20)</f>
        <v>4221.2</v>
      </c>
      <c r="AT17" s="40">
        <f>IFERROR(AS17/AS$4,"")</f>
        <v>0.27992042440318299</v>
      </c>
      <c r="AU17" s="346">
        <f>SUM(AU18:AU20)</f>
        <v>3960.7840000000001</v>
      </c>
      <c r="AV17" s="40">
        <f>IFERROR(AU17/AU$4,"")</f>
        <v>0.27788440767367617</v>
      </c>
      <c r="AW17" s="463">
        <f>+IFERROR(AV17-AT17,"")</f>
        <v>-2.0360167295068177E-3</v>
      </c>
      <c r="AX17" s="463" t="str">
        <f>+IFERROR(AV17-AR17,"")</f>
        <v/>
      </c>
      <c r="AY17" s="346">
        <f>SUM(AY18:AY20)</f>
        <v>0</v>
      </c>
      <c r="AZ17" s="40" t="str">
        <f>IFERROR(AY17/AY$4,"")</f>
        <v/>
      </c>
      <c r="BA17" s="346">
        <f>SUM(BA18:BA20)</f>
        <v>4385.1000000000004</v>
      </c>
      <c r="BB17" s="40">
        <f>IFERROR(BA17/BA$4,"")</f>
        <v>0.27988511249401632</v>
      </c>
      <c r="BC17" s="346">
        <f>SUM(BC18:BC20)</f>
        <v>0</v>
      </c>
      <c r="BD17" s="40" t="str">
        <f>IFERROR(BC17/BC$4,"")</f>
        <v/>
      </c>
      <c r="BE17" s="463" t="str">
        <f>+IFERROR(BD17-BB17,"")</f>
        <v/>
      </c>
      <c r="BF17" s="463" t="str">
        <f>+IFERROR(BD17-AZ17,"")</f>
        <v/>
      </c>
      <c r="BG17" s="346">
        <f>SUM(BG18:BG20)</f>
        <v>0</v>
      </c>
      <c r="BH17" s="40" t="str">
        <f>IFERROR(BG17/BG$4,"")</f>
        <v/>
      </c>
      <c r="BI17" s="346">
        <f>SUM(BI18:BI20)</f>
        <v>4385.1000000000004</v>
      </c>
      <c r="BJ17" s="40">
        <f>IFERROR(BI17/BI$4,"")</f>
        <v>0.27988511249401632</v>
      </c>
      <c r="BK17" s="346">
        <f>SUM(BK18:BK20)</f>
        <v>0</v>
      </c>
      <c r="BL17" s="40" t="str">
        <f>IFERROR(BK17/BK$4,"")</f>
        <v/>
      </c>
      <c r="BM17" s="463" t="str">
        <f>+IFERROR(BL17-BJ17,"")</f>
        <v/>
      </c>
      <c r="BN17" s="463" t="str">
        <f>+IFERROR(BL17-BH17,"")</f>
        <v/>
      </c>
      <c r="BO17" s="346">
        <f>SUM(BO18:BO20)</f>
        <v>0</v>
      </c>
      <c r="BP17" s="40" t="str">
        <f>IFERROR(BO17/BO$4,"")</f>
        <v/>
      </c>
      <c r="BQ17" s="346">
        <f>SUM(BQ18:BQ20)</f>
        <v>4052.400000000001</v>
      </c>
      <c r="BR17" s="40">
        <f>IFERROR(BQ17/BQ$4,"")</f>
        <v>0.27986187845303873</v>
      </c>
      <c r="BS17" s="346">
        <f>SUM(BS18:BS20)</f>
        <v>0</v>
      </c>
      <c r="BT17" s="40" t="str">
        <f>IFERROR(BS17/BS$4,"")</f>
        <v/>
      </c>
      <c r="BU17" s="463" t="str">
        <f>+IFERROR(BT17-BR17,"")</f>
        <v/>
      </c>
      <c r="BV17" s="463" t="str">
        <f>+IFERROR(BT17-BP17,"")</f>
        <v/>
      </c>
      <c r="BW17" s="346">
        <f>SUM(BW18:BW20)</f>
        <v>0</v>
      </c>
      <c r="BX17" s="40" t="str">
        <f>IFERROR(BW17/BW$4,"")</f>
        <v/>
      </c>
      <c r="BY17" s="346">
        <f>SUM(BY18:BY20)</f>
        <v>3182.6349383032152</v>
      </c>
      <c r="BZ17" s="40">
        <f>IFERROR(BY17/BY$4,"")</f>
        <v>0.22597472310241734</v>
      </c>
      <c r="CA17" s="346">
        <f>SUM(CA18:CA20)</f>
        <v>0</v>
      </c>
      <c r="CB17" s="40" t="str">
        <f>IFERROR(CA17/CA$4,"")</f>
        <v/>
      </c>
      <c r="CC17" s="463" t="str">
        <f>+IFERROR(CB17-BZ17,"")</f>
        <v/>
      </c>
      <c r="CD17" s="463" t="str">
        <f>+IFERROR(CB17-BX17,"")</f>
        <v/>
      </c>
      <c r="CE17" s="346">
        <f>SUM(CE18:CE20)</f>
        <v>0</v>
      </c>
      <c r="CF17" s="40" t="str">
        <f>IFERROR(CE17/CE$4,"")</f>
        <v/>
      </c>
      <c r="CG17" s="346">
        <f>SUM(CG18:CG20)</f>
        <v>3338.1545984063996</v>
      </c>
      <c r="CH17" s="40">
        <f>IFERROR(CG17/CG$4,"")</f>
        <v>0.22956804830922384</v>
      </c>
      <c r="CI17" s="346">
        <f>SUM(CI18:CI20)</f>
        <v>0</v>
      </c>
      <c r="CJ17" s="40" t="str">
        <f>IFERROR(CI17/CI$4,"")</f>
        <v/>
      </c>
      <c r="CK17" s="463" t="str">
        <f>+IFERROR(CJ17-CH17,"")</f>
        <v/>
      </c>
      <c r="CL17" s="463" t="str">
        <f>+IFERROR(CJ17-CF17,"")</f>
        <v/>
      </c>
      <c r="CM17" s="346">
        <f>SUM(CM18:CM20)</f>
        <v>0</v>
      </c>
      <c r="CN17" s="40" t="str">
        <f>IFERROR(CM17/CM$4,"")</f>
        <v/>
      </c>
      <c r="CO17" s="346">
        <f>SUM(CO18:CO20)</f>
        <v>3555.5830742470189</v>
      </c>
      <c r="CP17" s="40">
        <f>IFERROR(CO17/CO$4,"")</f>
        <v>0.23019322648954835</v>
      </c>
      <c r="CQ17" s="346">
        <f>SUM(CQ18:CQ20)</f>
        <v>0</v>
      </c>
      <c r="CR17" s="40" t="str">
        <f>IFERROR(CQ17/CQ$4,"")</f>
        <v/>
      </c>
      <c r="CS17" s="463" t="str">
        <f>+IFERROR(CR17-CP17,"")</f>
        <v/>
      </c>
      <c r="CT17" s="463" t="str">
        <f>+IFERROR(CR17-CN17,"")</f>
        <v/>
      </c>
      <c r="CU17" s="346">
        <f t="shared" si="24"/>
        <v>0</v>
      </c>
      <c r="CV17" s="40" t="str">
        <f t="shared" si="25"/>
        <v/>
      </c>
      <c r="CW17" s="346">
        <f t="shared" si="26"/>
        <v>34031.132610956636</v>
      </c>
      <c r="CX17" s="40">
        <f t="shared" si="27"/>
        <v>0.25662573637730823</v>
      </c>
      <c r="CY17" s="346">
        <f t="shared" si="28"/>
        <v>13650.932000000001</v>
      </c>
      <c r="CZ17" s="40">
        <f t="shared" si="29"/>
        <v>0.27517024568162884</v>
      </c>
      <c r="DA17" s="463">
        <f t="shared" si="30"/>
        <v>-0.59886930135246341</v>
      </c>
      <c r="DB17" s="463" t="str">
        <f t="shared" si="31"/>
        <v/>
      </c>
    </row>
    <row r="18" spans="2:106" s="92" customFormat="1" ht="13.15" customHeight="1">
      <c r="B18" s="100" t="s">
        <v>16</v>
      </c>
      <c r="C18" s="238"/>
      <c r="D18" s="34" t="str">
        <f>IFERROR(C18/C$5,"")</f>
        <v/>
      </c>
      <c r="E18" s="238"/>
      <c r="F18" s="34" t="str">
        <f>IFERROR(E18/E$5,"")</f>
        <v/>
      </c>
      <c r="G18" s="36">
        <f>+'Отчет о фин.рез.'!B16</f>
        <v>0</v>
      </c>
      <c r="H18" s="34" t="str">
        <f>IFERROR(G18/G$5,"")</f>
        <v/>
      </c>
      <c r="I18" s="459" t="str">
        <f>+IFERROR(H18-F18,"")</f>
        <v/>
      </c>
      <c r="J18" s="459" t="str">
        <f>+IFERROR(H18-D18,"")</f>
        <v/>
      </c>
      <c r="K18" s="238"/>
      <c r="L18" s="34" t="str">
        <f>IFERROR(K18/K$5,"")</f>
        <v/>
      </c>
      <c r="M18" s="238"/>
      <c r="N18" s="34" t="str">
        <f>IFERROR(M18/M$5,"")</f>
        <v/>
      </c>
      <c r="O18" s="36">
        <f>+'Отчет о фин.рез.'!C16</f>
        <v>0</v>
      </c>
      <c r="P18" s="34" t="str">
        <f>IFERROR(O18/O$5,"")</f>
        <v/>
      </c>
      <c r="Q18" s="459" t="str">
        <f>+IFERROR(P18-N18,"")</f>
        <v/>
      </c>
      <c r="R18" s="459" t="str">
        <f>+IFERROR(P18-L18,"")</f>
        <v/>
      </c>
      <c r="S18" s="238"/>
      <c r="T18" s="34" t="str">
        <f>IFERROR(S18/S$5,"")</f>
        <v/>
      </c>
      <c r="U18" s="238">
        <v>0</v>
      </c>
      <c r="V18" s="34" t="str">
        <f>IFERROR(U18/U$5,"")</f>
        <v/>
      </c>
      <c r="W18" s="36">
        <f>+'Отчет о фин.рез.'!D16</f>
        <v>1600.5609999999997</v>
      </c>
      <c r="X18" s="34">
        <f>IFERROR(W18/W$5,"")</f>
        <v>0.26991365790316868</v>
      </c>
      <c r="Y18" s="459" t="str">
        <f>+IFERROR(X18-V18,"")</f>
        <v/>
      </c>
      <c r="Z18" s="459" t="str">
        <f>+IFERROR(X18-T18,"")</f>
        <v/>
      </c>
      <c r="AA18" s="238"/>
      <c r="AB18" s="34" t="str">
        <f>IFERROR(AA18/AA$5,"")</f>
        <v/>
      </c>
      <c r="AC18" s="238">
        <v>3417.96</v>
      </c>
      <c r="AD18" s="34">
        <f>IFERROR(AC18/AC$5,"")</f>
        <v>0.25</v>
      </c>
      <c r="AE18" s="36">
        <f>+'Отчет о фин.рез.'!E16</f>
        <v>3746.317</v>
      </c>
      <c r="AF18" s="34">
        <f>IFERROR(AE18/AE$5,"")</f>
        <v>0.27319057550389403</v>
      </c>
      <c r="AG18" s="459">
        <f>+IFERROR(AF18-AD18,"")</f>
        <v>2.3190575503894029E-2</v>
      </c>
      <c r="AH18" s="459" t="str">
        <f>+IFERROR(AF18-AB18,"")</f>
        <v/>
      </c>
      <c r="AI18" s="238"/>
      <c r="AJ18" s="34" t="str">
        <f>IFERROR(AI18/AI$5,"")</f>
        <v/>
      </c>
      <c r="AK18" s="238">
        <v>3418</v>
      </c>
      <c r="AL18" s="34">
        <f>IFERROR(AK18/AK$5,"")</f>
        <v>0.25</v>
      </c>
      <c r="AM18" s="36">
        <f>+'Отчет о фин.рез.'!F16</f>
        <v>4343.2700000000004</v>
      </c>
      <c r="AN18" s="34">
        <f>IFERROR(AM18/AM$5,"")</f>
        <v>0.2764197372934698</v>
      </c>
      <c r="AO18" s="459">
        <f>+IFERROR(AN18-AL18,"")</f>
        <v>2.6419737293469803E-2</v>
      </c>
      <c r="AP18" s="459" t="str">
        <f>+IFERROR(AN18-AJ18,"")</f>
        <v/>
      </c>
      <c r="AQ18" s="344"/>
      <c r="AR18" s="38" t="str">
        <f>IFERROR(AQ18/AQ$5,"")</f>
        <v/>
      </c>
      <c r="AS18" s="238">
        <v>4188.8</v>
      </c>
      <c r="AT18" s="34">
        <f>IFERROR(AS18/AS$5,"")</f>
        <v>0.28000000000000003</v>
      </c>
      <c r="AU18" s="36">
        <f>+'Отчет о фин.рез.'!G16</f>
        <v>3960.7840000000001</v>
      </c>
      <c r="AV18" s="34">
        <f>IFERROR(AU18/AU$5,"")</f>
        <v>0.27788440767367617</v>
      </c>
      <c r="AW18" s="459">
        <f>+IFERROR(AV18-AT18,"")</f>
        <v>-2.1155923263238563E-3</v>
      </c>
      <c r="AX18" s="459" t="str">
        <f>+IFERROR(AV18-AR18,"")</f>
        <v/>
      </c>
      <c r="AY18" s="344"/>
      <c r="AZ18" s="38" t="str">
        <f>IFERROR(AY18/AY$5,"")</f>
        <v/>
      </c>
      <c r="BA18" s="238">
        <v>4336.5</v>
      </c>
      <c r="BB18" s="34">
        <f>IFERROR(BA18/BA$5,"")</f>
        <v>0.28000000000000003</v>
      </c>
      <c r="BC18" s="36">
        <f>+'Отчет о фин.рез.'!H16</f>
        <v>0</v>
      </c>
      <c r="BD18" s="34" t="str">
        <f>IFERROR(BC18/BC$5,"")</f>
        <v/>
      </c>
      <c r="BE18" s="459" t="str">
        <f>+IFERROR(BD18-BB18,"")</f>
        <v/>
      </c>
      <c r="BF18" s="459" t="str">
        <f>+IFERROR(BD18-AZ18,"")</f>
        <v/>
      </c>
      <c r="BG18" s="344"/>
      <c r="BH18" s="38" t="str">
        <f>IFERROR(BG18/BG$5,"")</f>
        <v/>
      </c>
      <c r="BI18" s="238">
        <v>4336.5</v>
      </c>
      <c r="BJ18" s="34">
        <f>IFERROR(BI18/BI$5,"")</f>
        <v>0.28000000000000003</v>
      </c>
      <c r="BK18" s="36">
        <f>+'Отчет о фин.рез.'!I16</f>
        <v>0</v>
      </c>
      <c r="BL18" s="34" t="str">
        <f>IFERROR(BK18/BK$5,"")</f>
        <v/>
      </c>
      <c r="BM18" s="459" t="str">
        <f>+IFERROR(BL18-BJ18,"")</f>
        <v/>
      </c>
      <c r="BN18" s="459" t="str">
        <f>+IFERROR(BL18-BH18,"")</f>
        <v/>
      </c>
      <c r="BO18" s="344"/>
      <c r="BP18" s="38" t="str">
        <f>IFERROR(BO18/BO$5,"")</f>
        <v/>
      </c>
      <c r="BQ18" s="238">
        <v>3998.400000000001</v>
      </c>
      <c r="BR18" s="34">
        <f>IFERROR(BQ18/BQ$5,"")</f>
        <v>0.28000000000000008</v>
      </c>
      <c r="BS18" s="36">
        <f>+'Отчет о фин.рез.'!J16</f>
        <v>0</v>
      </c>
      <c r="BT18" s="34" t="str">
        <f>IFERROR(BS18/BS$5,"")</f>
        <v/>
      </c>
      <c r="BU18" s="459" t="str">
        <f>+IFERROR(BT18-BR18,"")</f>
        <v/>
      </c>
      <c r="BV18" s="459" t="str">
        <f>+IFERROR(BT18-BP18,"")</f>
        <v/>
      </c>
      <c r="BW18" s="344"/>
      <c r="BX18" s="38" t="str">
        <f>IFERROR(BW18/BW$5,"")</f>
        <v/>
      </c>
      <c r="BY18" s="238">
        <v>2344.4897743571269</v>
      </c>
      <c r="BZ18" s="34">
        <f>IFERROR(BY18/BY$5,"")</f>
        <v>0.22573652119411192</v>
      </c>
      <c r="CA18" s="36">
        <f>+'Отчет о фин.рез.'!K16</f>
        <v>0</v>
      </c>
      <c r="CB18" s="34" t="str">
        <f>IFERROR(CA18/CA$5,"")</f>
        <v/>
      </c>
      <c r="CC18" s="459" t="str">
        <f>+IFERROR(CB18-BZ18,"")</f>
        <v/>
      </c>
      <c r="CD18" s="459" t="str">
        <f>+IFERROR(CB18-BX18,"")</f>
        <v/>
      </c>
      <c r="CE18" s="344"/>
      <c r="CF18" s="38" t="str">
        <f>IFERROR(CE18/CE$5,"")</f>
        <v/>
      </c>
      <c r="CG18" s="238">
        <v>2551.3453281781981</v>
      </c>
      <c r="CH18" s="34">
        <f>IFERROR(CG18/CG$5,"")</f>
        <v>0.22960617032547001</v>
      </c>
      <c r="CI18" s="36">
        <f>+'Отчет о фин.рез.'!L16</f>
        <v>0</v>
      </c>
      <c r="CJ18" s="34" t="str">
        <f>IFERROR(CI18/CI$5,"")</f>
        <v/>
      </c>
      <c r="CK18" s="459" t="str">
        <f>+IFERROR(CJ18-CH18,"")</f>
        <v/>
      </c>
      <c r="CL18" s="459" t="str">
        <f>+IFERROR(CJ18-CF18,"")</f>
        <v/>
      </c>
      <c r="CM18" s="344"/>
      <c r="CN18" s="38" t="str">
        <f>IFERROR(CM18/CM$5,"")</f>
        <v/>
      </c>
      <c r="CO18" s="238">
        <v>2593.764175456005</v>
      </c>
      <c r="CP18" s="34">
        <f>IFERROR(CO18/CO$5,"")</f>
        <v>0.22977864693735203</v>
      </c>
      <c r="CQ18" s="36">
        <f>+'Отчет о фин.рез.'!M16</f>
        <v>0</v>
      </c>
      <c r="CR18" s="34" t="str">
        <f>IFERROR(CQ18/CQ$5,"")</f>
        <v/>
      </c>
      <c r="CS18" s="459" t="str">
        <f>+IFERROR(CR18-CP18,"")</f>
        <v/>
      </c>
      <c r="CT18" s="459" t="str">
        <f>+IFERROR(CR18-CN18,"")</f>
        <v/>
      </c>
      <c r="CU18" s="344">
        <f t="shared" si="24"/>
        <v>0</v>
      </c>
      <c r="CV18" s="38" t="str">
        <f t="shared" si="25"/>
        <v/>
      </c>
      <c r="CW18" s="238">
        <f t="shared" si="26"/>
        <v>31185.759277991336</v>
      </c>
      <c r="CX18" s="34">
        <f t="shared" si="27"/>
        <v>0.23516902980253257</v>
      </c>
      <c r="CY18" s="36">
        <f t="shared" si="28"/>
        <v>13650.932000000001</v>
      </c>
      <c r="CZ18" s="34">
        <f t="shared" si="29"/>
        <v>0.27517024568162884</v>
      </c>
      <c r="DA18" s="459">
        <f t="shared" si="30"/>
        <v>-0.5622703337662891</v>
      </c>
      <c r="DB18" s="459" t="str">
        <f t="shared" si="31"/>
        <v/>
      </c>
    </row>
    <row r="19" spans="2:106" s="92" customFormat="1" ht="13.15" customHeight="1">
      <c r="B19" s="100" t="s">
        <v>17</v>
      </c>
      <c r="C19" s="238"/>
      <c r="D19" s="34" t="str">
        <f>IFERROR(C19/C$6,"")</f>
        <v/>
      </c>
      <c r="E19" s="238"/>
      <c r="F19" s="34" t="str">
        <f>IFERROR(E19/E$6,"")</f>
        <v/>
      </c>
      <c r="G19" s="36">
        <f>+'Отчет о фин.рез.'!B17</f>
        <v>0</v>
      </c>
      <c r="H19" s="34" t="str">
        <f>IFERROR(G19/G$6,"")</f>
        <v/>
      </c>
      <c r="I19" s="459" t="str">
        <f>+IFERROR(H19-F19,"")</f>
        <v/>
      </c>
      <c r="J19" s="459" t="str">
        <f>+IFERROR(H19-D19,"")</f>
        <v/>
      </c>
      <c r="K19" s="238"/>
      <c r="L19" s="34" t="str">
        <f>IFERROR(K19/K$6,"")</f>
        <v/>
      </c>
      <c r="M19" s="238"/>
      <c r="N19" s="34" t="str">
        <f>IFERROR(M19/M$6,"")</f>
        <v/>
      </c>
      <c r="O19" s="36">
        <f>+'Отчет о фин.рез.'!C17</f>
        <v>0</v>
      </c>
      <c r="P19" s="34" t="str">
        <f>IFERROR(O19/O$6,"")</f>
        <v/>
      </c>
      <c r="Q19" s="459" t="str">
        <f>+IFERROR(P19-N19,"")</f>
        <v/>
      </c>
      <c r="R19" s="459" t="str">
        <f>+IFERROR(P19-L19,"")</f>
        <v/>
      </c>
      <c r="S19" s="238"/>
      <c r="T19" s="34" t="str">
        <f>IFERROR(S19/S$6,"")</f>
        <v/>
      </c>
      <c r="U19" s="238">
        <v>0</v>
      </c>
      <c r="V19" s="34" t="str">
        <f>IFERROR(U19/U$6,"")</f>
        <v/>
      </c>
      <c r="W19" s="36">
        <f>+'Отчет о фин.рез.'!D17</f>
        <v>0</v>
      </c>
      <c r="X19" s="34" t="str">
        <f>IFERROR(W19/W$6,"")</f>
        <v/>
      </c>
      <c r="Y19" s="459" t="str">
        <f>+IFERROR(X19-V19,"")</f>
        <v/>
      </c>
      <c r="Z19" s="459" t="str">
        <f>+IFERROR(X19-T19,"")</f>
        <v/>
      </c>
      <c r="AA19" s="238"/>
      <c r="AB19" s="34" t="str">
        <f>IFERROR(AA19/AA$6,"")</f>
        <v/>
      </c>
      <c r="AC19" s="238">
        <v>0</v>
      </c>
      <c r="AD19" s="34" t="str">
        <f>IFERROR(AC19/AC$6,"")</f>
        <v/>
      </c>
      <c r="AE19" s="36">
        <f>+'Отчет о фин.рез.'!E17</f>
        <v>0</v>
      </c>
      <c r="AF19" s="34" t="str">
        <f>IFERROR(AE19/AE$6,"")</f>
        <v/>
      </c>
      <c r="AG19" s="459" t="str">
        <f>+IFERROR(AF19-AD19,"")</f>
        <v/>
      </c>
      <c r="AH19" s="459" t="str">
        <f>+IFERROR(AF19-AB19,"")</f>
        <v/>
      </c>
      <c r="AI19" s="238"/>
      <c r="AJ19" s="34" t="str">
        <f>IFERROR(AI19/AI$6,"")</f>
        <v/>
      </c>
      <c r="AK19" s="238">
        <v>75</v>
      </c>
      <c r="AL19" s="34">
        <f>IFERROR(AK19/AK$6,"")</f>
        <v>0.25</v>
      </c>
      <c r="AM19" s="36">
        <f>+'Отчет о фин.рез.'!F17</f>
        <v>0</v>
      </c>
      <c r="AN19" s="34" t="str">
        <f>IFERROR(AM19/AM$6,"")</f>
        <v/>
      </c>
      <c r="AO19" s="459" t="str">
        <f>+IFERROR(AN19-AL19,"")</f>
        <v/>
      </c>
      <c r="AP19" s="459" t="str">
        <f>+IFERROR(AN19-AJ19,"")</f>
        <v/>
      </c>
      <c r="AQ19" s="344"/>
      <c r="AR19" s="38" t="str">
        <f>IFERROR(AQ19/AQ$6,"")</f>
        <v/>
      </c>
      <c r="AS19" s="238">
        <v>32.400000000000013</v>
      </c>
      <c r="AT19" s="34">
        <f>IFERROR(AS19/AS$6,"")</f>
        <v>0.27000000000000013</v>
      </c>
      <c r="AU19" s="36">
        <f>+'Отчет о фин.рез.'!G17</f>
        <v>0</v>
      </c>
      <c r="AV19" s="34" t="str">
        <f>IFERROR(AU19/AU$6,"")</f>
        <v/>
      </c>
      <c r="AW19" s="459" t="str">
        <f>+IFERROR(AV19-AT19,"")</f>
        <v/>
      </c>
      <c r="AX19" s="459" t="str">
        <f>+IFERROR(AV19-AR19,"")</f>
        <v/>
      </c>
      <c r="AY19" s="344"/>
      <c r="AZ19" s="38" t="str">
        <f>IFERROR(AY19/AY$6,"")</f>
        <v/>
      </c>
      <c r="BA19" s="238">
        <v>48.6</v>
      </c>
      <c r="BB19" s="34">
        <f>IFERROR(BA19/BA$6,"")</f>
        <v>0.27</v>
      </c>
      <c r="BC19" s="36">
        <f>+'Отчет о фин.рез.'!H17</f>
        <v>0</v>
      </c>
      <c r="BD19" s="34" t="str">
        <f>IFERROR(BC19/BC$6,"")</f>
        <v/>
      </c>
      <c r="BE19" s="459" t="str">
        <f>+IFERROR(BD19-BB19,"")</f>
        <v/>
      </c>
      <c r="BF19" s="459" t="str">
        <f>+IFERROR(BD19-AZ19,"")</f>
        <v/>
      </c>
      <c r="BG19" s="344"/>
      <c r="BH19" s="38" t="str">
        <f>IFERROR(BG19/BG$6,"")</f>
        <v/>
      </c>
      <c r="BI19" s="238">
        <v>48.6</v>
      </c>
      <c r="BJ19" s="34">
        <f>IFERROR(BI19/BI$6,"")</f>
        <v>0.27</v>
      </c>
      <c r="BK19" s="36">
        <f>+'Отчет о фин.рез.'!I17</f>
        <v>0</v>
      </c>
      <c r="BL19" s="34" t="str">
        <f>IFERROR(BK19/BK$6,"")</f>
        <v/>
      </c>
      <c r="BM19" s="459" t="str">
        <f>+IFERROR(BL19-BJ19,"")</f>
        <v/>
      </c>
      <c r="BN19" s="459" t="str">
        <f>+IFERROR(BL19-BH19,"")</f>
        <v/>
      </c>
      <c r="BO19" s="344"/>
      <c r="BP19" s="38" t="str">
        <f>IFERROR(BO19/BO$6,"")</f>
        <v/>
      </c>
      <c r="BQ19" s="238">
        <v>54</v>
      </c>
      <c r="BR19" s="34">
        <f>IFERROR(BQ19/BQ$6,"")</f>
        <v>0.27</v>
      </c>
      <c r="BS19" s="36">
        <f>+'Отчет о фин.рез.'!J17</f>
        <v>0</v>
      </c>
      <c r="BT19" s="34" t="str">
        <f>IFERROR(BS19/BS$6,"")</f>
        <v/>
      </c>
      <c r="BU19" s="459" t="str">
        <f>+IFERROR(BT19-BR19,"")</f>
        <v/>
      </c>
      <c r="BV19" s="459" t="str">
        <f>+IFERROR(BT19-BP19,"")</f>
        <v/>
      </c>
      <c r="BW19" s="344"/>
      <c r="BX19" s="38" t="str">
        <f>IFERROR(BW19/BW$6,"")</f>
        <v/>
      </c>
      <c r="BY19" s="238">
        <v>838.14516394608825</v>
      </c>
      <c r="BZ19" s="34">
        <f>IFERROR(BY19/BY$6,"")</f>
        <v>0.22664370778543921</v>
      </c>
      <c r="CA19" s="36">
        <f>+'Отчет о фин.рез.'!K17</f>
        <v>0</v>
      </c>
      <c r="CB19" s="34" t="str">
        <f>IFERROR(CA19/CA$6,"")</f>
        <v/>
      </c>
      <c r="CC19" s="459" t="str">
        <f>+IFERROR(CB19-BZ19,"")</f>
        <v/>
      </c>
      <c r="CD19" s="459" t="str">
        <f>+IFERROR(CB19-BX19,"")</f>
        <v/>
      </c>
      <c r="CE19" s="344"/>
      <c r="CF19" s="38" t="str">
        <f>IFERROR(CE19/CE$6,"")</f>
        <v/>
      </c>
      <c r="CG19" s="238">
        <v>786.80927022820129</v>
      </c>
      <c r="CH19" s="34">
        <f>IFERROR(CG19/CG$6,"")</f>
        <v>0.22944451906856464</v>
      </c>
      <c r="CI19" s="36">
        <f>+'Отчет о фин.рез.'!L17</f>
        <v>0</v>
      </c>
      <c r="CJ19" s="34" t="str">
        <f>IFERROR(CI19/CI$6,"")</f>
        <v/>
      </c>
      <c r="CK19" s="459" t="str">
        <f>+IFERROR(CJ19-CH19,"")</f>
        <v/>
      </c>
      <c r="CL19" s="459" t="str">
        <f>+IFERROR(CJ19-CF19,"")</f>
        <v/>
      </c>
      <c r="CM19" s="344"/>
      <c r="CN19" s="38" t="str">
        <f>IFERROR(CM19/CM$6,"")</f>
        <v/>
      </c>
      <c r="CO19" s="238">
        <v>961.81889879101379</v>
      </c>
      <c r="CP19" s="34">
        <f>IFERROR(CO19/CO$6,"")</f>
        <v>0.23131872827338146</v>
      </c>
      <c r="CQ19" s="36">
        <f>+'Отчет о фин.рез.'!M17</f>
        <v>0</v>
      </c>
      <c r="CR19" s="34" t="str">
        <f>IFERROR(CQ19/CQ$6,"")</f>
        <v/>
      </c>
      <c r="CS19" s="459" t="str">
        <f>+IFERROR(CR19-CP19,"")</f>
        <v/>
      </c>
      <c r="CT19" s="459" t="str">
        <f>+IFERROR(CR19-CN19,"")</f>
        <v/>
      </c>
      <c r="CU19" s="344">
        <f t="shared" si="24"/>
        <v>0</v>
      </c>
      <c r="CV19" s="38" t="str">
        <f t="shared" si="25"/>
        <v/>
      </c>
      <c r="CW19" s="238">
        <f t="shared" si="26"/>
        <v>2845.3733329653032</v>
      </c>
      <c r="CX19" s="34">
        <f t="shared" si="27"/>
        <v>2.1456706574775695E-2</v>
      </c>
      <c r="CY19" s="36">
        <f t="shared" si="28"/>
        <v>0</v>
      </c>
      <c r="CZ19" s="34">
        <f t="shared" si="29"/>
        <v>0</v>
      </c>
      <c r="DA19" s="459">
        <f t="shared" si="30"/>
        <v>-1</v>
      </c>
      <c r="DB19" s="459" t="str">
        <f t="shared" si="31"/>
        <v/>
      </c>
    </row>
    <row r="20" spans="2:106" s="92" customFormat="1" ht="16.350000000000001" customHeight="1">
      <c r="B20" s="100" t="s">
        <v>18</v>
      </c>
      <c r="C20" s="238"/>
      <c r="D20" s="34" t="str">
        <f>IFERROR(C20/C$7,"")</f>
        <v/>
      </c>
      <c r="E20" s="238"/>
      <c r="F20" s="34" t="str">
        <f>IFERROR(E20/E$7,"")</f>
        <v/>
      </c>
      <c r="G20" s="36">
        <f>+'Отчет о фин.рез.'!B18</f>
        <v>0</v>
      </c>
      <c r="H20" s="34" t="str">
        <f>IFERROR(G20/G$7,"")</f>
        <v/>
      </c>
      <c r="I20" s="459" t="str">
        <f>+IFERROR(H20-F20,"")</f>
        <v/>
      </c>
      <c r="J20" s="459" t="str">
        <f>+IFERROR(H20-D20,"")</f>
        <v/>
      </c>
      <c r="K20" s="238"/>
      <c r="L20" s="34" t="str">
        <f>IFERROR(K20/K$7,"")</f>
        <v/>
      </c>
      <c r="M20" s="238"/>
      <c r="N20" s="34" t="str">
        <f>IFERROR(M20/M$7,"")</f>
        <v/>
      </c>
      <c r="O20" s="36">
        <f>+'Отчет о фин.рез.'!C18</f>
        <v>0</v>
      </c>
      <c r="P20" s="34" t="str">
        <f>IFERROR(O20/O$7,"")</f>
        <v/>
      </c>
      <c r="Q20" s="459" t="str">
        <f>+IFERROR(P20-N20,"")</f>
        <v/>
      </c>
      <c r="R20" s="459" t="str">
        <f>+IFERROR(P20-L20,"")</f>
        <v/>
      </c>
      <c r="S20" s="238"/>
      <c r="T20" s="34" t="str">
        <f>IFERROR(S20/S$7,"")</f>
        <v/>
      </c>
      <c r="U20" s="238">
        <v>0</v>
      </c>
      <c r="V20" s="34" t="str">
        <f>IFERROR(U20/U$7,"")</f>
        <v/>
      </c>
      <c r="W20" s="36">
        <f>+'Отчет о фин.рез.'!D18</f>
        <v>0</v>
      </c>
      <c r="X20" s="34" t="str">
        <f>IFERROR(W20/W$7,"")</f>
        <v/>
      </c>
      <c r="Y20" s="459" t="str">
        <f>+IFERROR(X20-V20,"")</f>
        <v/>
      </c>
      <c r="Z20" s="459" t="str">
        <f>+IFERROR(X20-T20,"")</f>
        <v/>
      </c>
      <c r="AA20" s="238"/>
      <c r="AB20" s="34" t="str">
        <f>IFERROR(AA20/AA$7,"")</f>
        <v/>
      </c>
      <c r="AC20" s="238">
        <v>0</v>
      </c>
      <c r="AD20" s="34" t="str">
        <f>IFERROR(AC20/AC$7,"")</f>
        <v/>
      </c>
      <c r="AE20" s="36">
        <f>+'Отчет о фин.рез.'!E18</f>
        <v>0</v>
      </c>
      <c r="AF20" s="34" t="str">
        <f>IFERROR(AE20/AE$7,"")</f>
        <v/>
      </c>
      <c r="AG20" s="459" t="str">
        <f>+IFERROR(AF20-AD20,"")</f>
        <v/>
      </c>
      <c r="AH20" s="459" t="str">
        <f>+IFERROR(AF20-AB20,"")</f>
        <v/>
      </c>
      <c r="AI20" s="238"/>
      <c r="AJ20" s="34" t="str">
        <f>IFERROR(AI20/AI$7,"")</f>
        <v/>
      </c>
      <c r="AK20" s="238">
        <v>0</v>
      </c>
      <c r="AL20" s="34" t="str">
        <f>IFERROR(AK20/AK$7,"")</f>
        <v/>
      </c>
      <c r="AM20" s="36">
        <f>+'Отчет о фин.рез.'!F18</f>
        <v>0</v>
      </c>
      <c r="AN20" s="34" t="str">
        <f>IFERROR(AM20/AM$7,"")</f>
        <v/>
      </c>
      <c r="AO20" s="459" t="str">
        <f>+IFERROR(AN20-AL20,"")</f>
        <v/>
      </c>
      <c r="AP20" s="459" t="str">
        <f>+IFERROR(AN20-AJ20,"")</f>
        <v/>
      </c>
      <c r="AQ20" s="344"/>
      <c r="AR20" s="38" t="str">
        <f>IFERROR(AQ20/AQ$7,"")</f>
        <v/>
      </c>
      <c r="AS20" s="238">
        <v>0</v>
      </c>
      <c r="AT20" s="34" t="str">
        <f>IFERROR(AS20/AS$7,"")</f>
        <v/>
      </c>
      <c r="AU20" s="36">
        <f>+'Отчет о фин.рез.'!G18</f>
        <v>0</v>
      </c>
      <c r="AV20" s="34" t="str">
        <f>IFERROR(AU20/AU$7,"")</f>
        <v/>
      </c>
      <c r="AW20" s="459" t="str">
        <f>+IFERROR(AV20-AT20,"")</f>
        <v/>
      </c>
      <c r="AX20" s="459" t="str">
        <f>+IFERROR(AV20-AR20,"")</f>
        <v/>
      </c>
      <c r="AY20" s="344"/>
      <c r="AZ20" s="38" t="str">
        <f>IFERROR(AY20/AY$7,"")</f>
        <v/>
      </c>
      <c r="BA20" s="238">
        <v>0</v>
      </c>
      <c r="BB20" s="34" t="str">
        <f>IFERROR(BA20/BA$7,"")</f>
        <v/>
      </c>
      <c r="BC20" s="36">
        <f>+'Отчет о фин.рез.'!H18</f>
        <v>0</v>
      </c>
      <c r="BD20" s="34" t="str">
        <f>IFERROR(BC20/BC$7,"")</f>
        <v/>
      </c>
      <c r="BE20" s="459" t="str">
        <f>+IFERROR(BD20-BB20,"")</f>
        <v/>
      </c>
      <c r="BF20" s="459" t="str">
        <f>+IFERROR(BD20-AZ20,"")</f>
        <v/>
      </c>
      <c r="BG20" s="344"/>
      <c r="BH20" s="38" t="str">
        <f>IFERROR(BG20/BG$7,"")</f>
        <v/>
      </c>
      <c r="BI20" s="238">
        <v>0</v>
      </c>
      <c r="BJ20" s="34" t="str">
        <f>IFERROR(BI20/BI$7,"")</f>
        <v/>
      </c>
      <c r="BK20" s="36">
        <f>+'Отчет о фин.рез.'!I18</f>
        <v>0</v>
      </c>
      <c r="BL20" s="34" t="str">
        <f>IFERROR(BK20/BK$7,"")</f>
        <v/>
      </c>
      <c r="BM20" s="459" t="str">
        <f>+IFERROR(BL20-BJ20,"")</f>
        <v/>
      </c>
      <c r="BN20" s="459" t="str">
        <f>+IFERROR(BL20-BH20,"")</f>
        <v/>
      </c>
      <c r="BO20" s="344"/>
      <c r="BP20" s="38" t="str">
        <f>IFERROR(BO20/BO$7,"")</f>
        <v/>
      </c>
      <c r="BQ20" s="238">
        <v>0</v>
      </c>
      <c r="BR20" s="34" t="str">
        <f>IFERROR(BQ20/BQ$7,"")</f>
        <v/>
      </c>
      <c r="BS20" s="36">
        <f>+'Отчет о фин.рез.'!J18</f>
        <v>0</v>
      </c>
      <c r="BT20" s="34" t="str">
        <f>IFERROR(BS20/BS$7,"")</f>
        <v/>
      </c>
      <c r="BU20" s="459" t="str">
        <f>+IFERROR(BT20-BR20,"")</f>
        <v/>
      </c>
      <c r="BV20" s="459" t="str">
        <f>+IFERROR(BT20-BP20,"")</f>
        <v/>
      </c>
      <c r="BW20" s="344"/>
      <c r="BX20" s="38" t="str">
        <f>IFERROR(BW20/BW$7,"")</f>
        <v/>
      </c>
      <c r="BY20" s="238">
        <v>0</v>
      </c>
      <c r="BZ20" s="34" t="str">
        <f>IFERROR(BY20/BY$7,"")</f>
        <v/>
      </c>
      <c r="CA20" s="36">
        <f>+'Отчет о фин.рез.'!K18</f>
        <v>0</v>
      </c>
      <c r="CB20" s="34" t="str">
        <f>IFERROR(CA20/CA$7,"")</f>
        <v/>
      </c>
      <c r="CC20" s="459" t="str">
        <f>+IFERROR(CB20-BZ20,"")</f>
        <v/>
      </c>
      <c r="CD20" s="459" t="str">
        <f>+IFERROR(CB20-BX20,"")</f>
        <v/>
      </c>
      <c r="CE20" s="344"/>
      <c r="CF20" s="38" t="str">
        <f>IFERROR(CE20/CE$7,"")</f>
        <v/>
      </c>
      <c r="CG20" s="238">
        <v>0</v>
      </c>
      <c r="CH20" s="34" t="str">
        <f>IFERROR(CG20/CG$7,"")</f>
        <v/>
      </c>
      <c r="CI20" s="36">
        <f>+'Отчет о фин.рез.'!L18</f>
        <v>0</v>
      </c>
      <c r="CJ20" s="34" t="str">
        <f>IFERROR(CI20/CI$7,"")</f>
        <v/>
      </c>
      <c r="CK20" s="459" t="str">
        <f>+IFERROR(CJ20-CH20,"")</f>
        <v/>
      </c>
      <c r="CL20" s="459" t="str">
        <f>+IFERROR(CJ20-CF20,"")</f>
        <v/>
      </c>
      <c r="CM20" s="344"/>
      <c r="CN20" s="38" t="str">
        <f>IFERROR(CM20/CM$7,"")</f>
        <v/>
      </c>
      <c r="CO20" s="238">
        <v>0</v>
      </c>
      <c r="CP20" s="34" t="str">
        <f>IFERROR(CO20/CO$7,"")</f>
        <v/>
      </c>
      <c r="CQ20" s="36">
        <f>+'Отчет о фин.рез.'!M18</f>
        <v>0</v>
      </c>
      <c r="CR20" s="34" t="str">
        <f>IFERROR(CQ20/CQ$7,"")</f>
        <v/>
      </c>
      <c r="CS20" s="459" t="str">
        <f>+IFERROR(CR20-CP20,"")</f>
        <v/>
      </c>
      <c r="CT20" s="459" t="str">
        <f>+IFERROR(CR20-CN20,"")</f>
        <v/>
      </c>
      <c r="CU20" s="344">
        <f t="shared" si="24"/>
        <v>0</v>
      </c>
      <c r="CV20" s="38" t="str">
        <f t="shared" si="25"/>
        <v/>
      </c>
      <c r="CW20" s="238">
        <f t="shared" si="26"/>
        <v>0</v>
      </c>
      <c r="CX20" s="34">
        <f t="shared" si="27"/>
        <v>0</v>
      </c>
      <c r="CY20" s="36">
        <f t="shared" si="28"/>
        <v>0</v>
      </c>
      <c r="CZ20" s="34">
        <f t="shared" si="29"/>
        <v>0</v>
      </c>
      <c r="DA20" s="459" t="str">
        <f t="shared" si="30"/>
        <v/>
      </c>
      <c r="DB20" s="459" t="str">
        <f t="shared" si="31"/>
        <v/>
      </c>
    </row>
    <row r="21" spans="2:106" s="92" customFormat="1">
      <c r="B21" s="99" t="s">
        <v>571</v>
      </c>
      <c r="C21" s="346">
        <f>+C22+C29+C37</f>
        <v>0</v>
      </c>
      <c r="D21" s="40" t="str">
        <f t="shared" ref="D21:D40" si="32">IF(IFERROR(C21/C$4,"")=0,"",IFERROR(C21/C$4,""))</f>
        <v/>
      </c>
      <c r="E21" s="346">
        <f>+E22+E29+E37</f>
        <v>0</v>
      </c>
      <c r="F21" s="40" t="str">
        <f t="shared" ref="F21:F40" si="33">IF(IFERROR(E21/E$4,"")=0,"",IFERROR(E21/E$4,""))</f>
        <v/>
      </c>
      <c r="G21" s="346">
        <f>+G22+G29+G37</f>
        <v>0</v>
      </c>
      <c r="H21" s="40" t="str">
        <f t="shared" ref="H21:H40" si="34">IF(IFERROR(G21/G$4,"")=0,"",IFERROR(G21/G$4,""))</f>
        <v/>
      </c>
      <c r="I21" s="463" t="str">
        <f t="shared" ref="I21:I44" si="35">IF(IFERROR(G21/E21-1,"")=0,"",IFERROR(+G21/E21-1,""))</f>
        <v/>
      </c>
      <c r="J21" s="463" t="str">
        <f t="shared" ref="J21:J44" si="36">IF(IFERROR(G21/C21-1,"")=0,"",IFERROR(+G21/C21-1,""))</f>
        <v/>
      </c>
      <c r="K21" s="346">
        <f>+K22+K29+K37</f>
        <v>0</v>
      </c>
      <c r="L21" s="40" t="str">
        <f t="shared" ref="L21:L40" si="37">IF(IFERROR(K21/K$4,"")=0,"",IFERROR(K21/K$4,""))</f>
        <v/>
      </c>
      <c r="M21" s="346">
        <f>+M22+M29+M37</f>
        <v>0</v>
      </c>
      <c r="N21" s="40" t="str">
        <f t="shared" ref="N21:N40" si="38">IF(IFERROR(M21/M$4,"")=0,"",IFERROR(M21/M$4,""))</f>
        <v/>
      </c>
      <c r="O21" s="346">
        <f>+O22+O29+O37</f>
        <v>0</v>
      </c>
      <c r="P21" s="40" t="str">
        <f t="shared" ref="P21:P40" si="39">IF(IFERROR(O21/O$4,"")=0,"",IFERROR(O21/O$4,""))</f>
        <v/>
      </c>
      <c r="Q21" s="463" t="str">
        <f t="shared" ref="Q21:Q44" si="40">IF(IFERROR(O21/M21-1,"")=0,"",IFERROR(+O21/M21-1,""))</f>
        <v/>
      </c>
      <c r="R21" s="463" t="str">
        <f t="shared" ref="R21:R44" si="41">IF(IFERROR(O21/K21-1,"")=0,"",IFERROR(+O21/K21-1,""))</f>
        <v/>
      </c>
      <c r="S21" s="346">
        <f>+S22+S29+S37</f>
        <v>0</v>
      </c>
      <c r="T21" s="40" t="str">
        <f t="shared" ref="T21:T40" si="42">IF(IFERROR(S21/S$4,"")=0,"",IFERROR(S21/S$4,""))</f>
        <v/>
      </c>
      <c r="U21" s="346">
        <f>+U22+U29+U37</f>
        <v>0</v>
      </c>
      <c r="V21" s="40" t="str">
        <f t="shared" ref="V21:V40" si="43">IF(IFERROR(U21/U$4,"")=0,"",IFERROR(U21/U$4,""))</f>
        <v/>
      </c>
      <c r="W21" s="346">
        <f>+W22+W29+W37</f>
        <v>456.13882000000001</v>
      </c>
      <c r="X21" s="40">
        <f t="shared" ref="X21:X40" si="44">IF(IFERROR(W21/W$4,"")=0,"",IFERROR(W21/W$4,""))</f>
        <v>7.6921840165938726E-2</v>
      </c>
      <c r="Y21" s="463" t="str">
        <f t="shared" ref="Y21:Y44" si="45">IF(IFERROR(W21/U21-1,"")=0,"",IFERROR(+W21/U21-1,""))</f>
        <v/>
      </c>
      <c r="Z21" s="463" t="str">
        <f t="shared" ref="Z21:Z44" si="46">IF(IFERROR(W21/S21-1,"")=0,"",IFERROR(+W21/S21-1,""))</f>
        <v/>
      </c>
      <c r="AA21" s="346">
        <f>+AA22+AA29+AA37</f>
        <v>0</v>
      </c>
      <c r="AB21" s="40" t="str">
        <f t="shared" ref="AB21:AB40" si="47">IF(IFERROR(AA21/AA$4,"")=0,"",IFERROR(AA21/AA$4,""))</f>
        <v/>
      </c>
      <c r="AC21" s="346">
        <f>+AC22+AC29+AC37</f>
        <v>0</v>
      </c>
      <c r="AD21" s="40" t="str">
        <f t="shared" ref="AD21:AD40" si="48">IF(IFERROR(AC21/AC$4,"")=0,"",IFERROR(AC21/AC$4,""))</f>
        <v/>
      </c>
      <c r="AE21" s="346">
        <f>+AE22+AE29+AE37</f>
        <v>236.08315000000005</v>
      </c>
      <c r="AF21" s="40">
        <f t="shared" ref="AF21:AF40" si="49">IF(IFERROR(AE21/AE$4,"")=0,"",IFERROR(AE21/AE$4,""))</f>
        <v>1.7215759268442089E-2</v>
      </c>
      <c r="AG21" s="463" t="str">
        <f t="shared" ref="AG21:AG44" si="50">IF(IFERROR(AE21/AC21-1,"")=0,"",IFERROR(+AE21/AC21-1,""))</f>
        <v/>
      </c>
      <c r="AH21" s="463" t="str">
        <f t="shared" ref="AH21:AH44" si="51">IF(IFERROR(AE21/AA21-1,"")=0,"",IFERROR(+AE21/AA21-1,""))</f>
        <v/>
      </c>
      <c r="AI21" s="346">
        <f>+AI22+AI29+AI37</f>
        <v>0</v>
      </c>
      <c r="AJ21" s="40" t="str">
        <f t="shared" ref="AJ21:AJ40" si="52">IF(IFERROR(AI21/AI$4,"")=0,"",IFERROR(AI21/AI$4,""))</f>
        <v/>
      </c>
      <c r="AK21" s="346">
        <f>+AK22+AK29+AK37</f>
        <v>0</v>
      </c>
      <c r="AL21" s="40" t="str">
        <f t="shared" ref="AL21:AL40" si="53">IF(IFERROR(AK21/AK$4,"")=0,"",IFERROR(AK21/AK$4,""))</f>
        <v/>
      </c>
      <c r="AM21" s="346">
        <f>+AM22+AM29+AM37</f>
        <v>276.98128000000003</v>
      </c>
      <c r="AN21" s="40">
        <f t="shared" ref="AN21:AN40" si="54">IF(IFERROR(AM21/AM$4,"")=0,"",IFERROR(AM21/AM$4,""))</f>
        <v>1.7627983674238304E-2</v>
      </c>
      <c r="AO21" s="463" t="str">
        <f t="shared" ref="AO21:AO44" si="55">IF(IFERROR(AM21/AK21-1,"")=0,"",IFERROR(+AM21/AK21-1,""))</f>
        <v/>
      </c>
      <c r="AP21" s="463" t="str">
        <f t="shared" ref="AP21:AP44" si="56">IF(IFERROR(AM21/AI21-1,"")=0,"",IFERROR(+AM21/AI21-1,""))</f>
        <v/>
      </c>
      <c r="AQ21" s="346">
        <f>+AQ22+AQ29+AQ37</f>
        <v>0</v>
      </c>
      <c r="AR21" s="40" t="str">
        <f t="shared" ref="AR21:AR40" si="57">IF(IFERROR(AQ21/AQ$4,"")=0,"",IFERROR(AQ21/AQ$4,""))</f>
        <v/>
      </c>
      <c r="AS21" s="346">
        <f>+AS22+AS29+AS37</f>
        <v>0</v>
      </c>
      <c r="AT21" s="40" t="str">
        <f t="shared" ref="AT21:AT40" si="58">IF(IFERROR(AS21/AS$4,"")=0,"",IFERROR(AS21/AS$4,""))</f>
        <v/>
      </c>
      <c r="AU21" s="346">
        <f>+AU22+AU29+AU37</f>
        <v>150.87233000000001</v>
      </c>
      <c r="AV21" s="40">
        <f t="shared" ref="AV21:AV40" si="59">IF(IFERROR(AU21/AU$4,"")=0,"",IFERROR(AU21/AU$4,""))</f>
        <v>1.0585042773450258E-2</v>
      </c>
      <c r="AW21" s="463" t="str">
        <f t="shared" ref="AW21:AW44" si="60">IF(IFERROR(AU21/AS21-1,"")=0,"",IFERROR(+AU21/AS21-1,""))</f>
        <v/>
      </c>
      <c r="AX21" s="463" t="str">
        <f t="shared" ref="AX21:AX44" si="61">IF(IFERROR(AU21/AQ21-1,"")=0,"",IFERROR(+AU21/AQ21-1,""))</f>
        <v/>
      </c>
      <c r="AY21" s="346">
        <f>+AY22+AY29+AY37</f>
        <v>0</v>
      </c>
      <c r="AZ21" s="40" t="str">
        <f t="shared" ref="AZ21:AZ40" si="62">IF(IFERROR(AY21/AY$4,"")=0,"",IFERROR(AY21/AY$4,""))</f>
        <v/>
      </c>
      <c r="BA21" s="346">
        <f>+BA22+BA29+BA37</f>
        <v>0</v>
      </c>
      <c r="BB21" s="40" t="str">
        <f t="shared" ref="BB21:BB40" si="63">IF(IFERROR(BA21/BA$4,"")=0,"",IFERROR(BA21/BA$4,""))</f>
        <v/>
      </c>
      <c r="BC21" s="346">
        <f>+BC22+BC29+BC37</f>
        <v>0</v>
      </c>
      <c r="BD21" s="40" t="str">
        <f t="shared" ref="BD21:BD40" si="64">IF(IFERROR(BC21/BC$4,"")=0,"",IFERROR(BC21/BC$4,""))</f>
        <v/>
      </c>
      <c r="BE21" s="463" t="str">
        <f t="shared" ref="BE21:BE44" si="65">IF(IFERROR(BC21/BA21-1,"")=0,"",IFERROR(+BC21/BA21-1,""))</f>
        <v/>
      </c>
      <c r="BF21" s="463" t="str">
        <f t="shared" ref="BF21:BF44" si="66">IF(IFERROR(BC21/AY21-1,"")=0,"",IFERROR(+BC21/AY21-1,""))</f>
        <v/>
      </c>
      <c r="BG21" s="346">
        <f>+BG22+BG29+BG37</f>
        <v>0</v>
      </c>
      <c r="BH21" s="40" t="str">
        <f t="shared" ref="BH21:BH40" si="67">IF(IFERROR(BG21/BG$4,"")=0,"",IFERROR(BG21/BG$4,""))</f>
        <v/>
      </c>
      <c r="BI21" s="346">
        <f>+BI22+BI29+BI37</f>
        <v>0</v>
      </c>
      <c r="BJ21" s="40" t="str">
        <f t="shared" ref="BJ21:BJ40" si="68">IF(IFERROR(BI21/BI$4,"")=0,"",IFERROR(BI21/BI$4,""))</f>
        <v/>
      </c>
      <c r="BK21" s="346">
        <f>+BK22+BK29+BK37</f>
        <v>0</v>
      </c>
      <c r="BL21" s="40" t="str">
        <f t="shared" ref="BL21:BL40" si="69">IF(IFERROR(BK21/BK$4,"")=0,"",IFERROR(BK21/BK$4,""))</f>
        <v/>
      </c>
      <c r="BM21" s="463" t="str">
        <f t="shared" ref="BM21:BM44" si="70">IF(IFERROR(BK21/BI21-1,"")=0,"",IFERROR(+BK21/BI21-1,""))</f>
        <v/>
      </c>
      <c r="BN21" s="463" t="str">
        <f t="shared" ref="BN21:BN44" si="71">IF(IFERROR(BK21/BG21-1,"")=0,"",IFERROR(+BK21/BG21-1,""))</f>
        <v/>
      </c>
      <c r="BO21" s="346">
        <f>+BO22+BO29+BO37</f>
        <v>0</v>
      </c>
      <c r="BP21" s="40" t="str">
        <f t="shared" ref="BP21:BP40" si="72">IF(IFERROR(BO21/BO$4,"")=0,"",IFERROR(BO21/BO$4,""))</f>
        <v/>
      </c>
      <c r="BQ21" s="346">
        <f>+BQ22+BQ29+BQ37</f>
        <v>0</v>
      </c>
      <c r="BR21" s="40" t="str">
        <f t="shared" ref="BR21:BR40" si="73">IF(IFERROR(BQ21/BQ$4,"")=0,"",IFERROR(BQ21/BQ$4,""))</f>
        <v/>
      </c>
      <c r="BS21" s="346">
        <f>+BS22+BS29+BS37</f>
        <v>0</v>
      </c>
      <c r="BT21" s="40" t="str">
        <f t="shared" ref="BT21:BT40" si="74">IF(IFERROR(BS21/BS$4,"")=0,"",IFERROR(BS21/BS$4,""))</f>
        <v/>
      </c>
      <c r="BU21" s="463" t="str">
        <f t="shared" ref="BU21:BU44" si="75">IF(IFERROR(BS21/BQ21-1,"")=0,"",IFERROR(+BS21/BQ21-1,""))</f>
        <v/>
      </c>
      <c r="BV21" s="463" t="str">
        <f t="shared" ref="BV21:BV44" si="76">IF(IFERROR(BS21/BO21-1,"")=0,"",IFERROR(+BS21/BO21-1,""))</f>
        <v/>
      </c>
      <c r="BW21" s="346">
        <f>+BW22+BW29+BW37</f>
        <v>0</v>
      </c>
      <c r="BX21" s="40" t="str">
        <f t="shared" ref="BX21:BX40" si="77">IF(IFERROR(BW21/BW$4,"")=0,"",IFERROR(BW21/BW$4,""))</f>
        <v/>
      </c>
      <c r="BY21" s="346">
        <f>+BY22+BY29+BY37</f>
        <v>0</v>
      </c>
      <c r="BZ21" s="40" t="str">
        <f t="shared" ref="BZ21:BZ40" si="78">IF(IFERROR(BY21/BY$4,"")=0,"",IFERROR(BY21/BY$4,""))</f>
        <v/>
      </c>
      <c r="CA21" s="346">
        <f>+CA22+CA29+CA37</f>
        <v>0</v>
      </c>
      <c r="CB21" s="40" t="str">
        <f t="shared" ref="CB21:CB40" si="79">IF(IFERROR(CA21/CA$4,"")=0,"",IFERROR(CA21/CA$4,""))</f>
        <v/>
      </c>
      <c r="CC21" s="463" t="str">
        <f t="shared" ref="CC21:CC44" si="80">IF(IFERROR(CA21/BY21-1,"")=0,"",IFERROR(+CA21/BY21-1,""))</f>
        <v/>
      </c>
      <c r="CD21" s="463" t="str">
        <f t="shared" ref="CD21:CD44" si="81">IF(IFERROR(CA21/BW21-1,"")=0,"",IFERROR(+CA21/BW21-1,""))</f>
        <v/>
      </c>
      <c r="CE21" s="346">
        <f>+CE22+CE29+CE37</f>
        <v>0</v>
      </c>
      <c r="CF21" s="40" t="str">
        <f t="shared" ref="CF21:CF40" si="82">IF(IFERROR(CE21/CE$4,"")=0,"",IFERROR(CE21/CE$4,""))</f>
        <v/>
      </c>
      <c r="CG21" s="346">
        <f>+CG22+CG29+CG37</f>
        <v>0</v>
      </c>
      <c r="CH21" s="40" t="str">
        <f t="shared" ref="CH21:CH40" si="83">IF(IFERROR(CG21/CG$4,"")=0,"",IFERROR(CG21/CG$4,""))</f>
        <v/>
      </c>
      <c r="CI21" s="346">
        <f>+CI22+CI29+CI37</f>
        <v>0</v>
      </c>
      <c r="CJ21" s="40" t="str">
        <f t="shared" ref="CJ21:CJ40" si="84">IF(IFERROR(CI21/CI$4,"")=0,"",IFERROR(CI21/CI$4,""))</f>
        <v/>
      </c>
      <c r="CK21" s="463" t="str">
        <f t="shared" ref="CK21:CK44" si="85">IF(IFERROR(CI21/CG21-1,"")=0,"",IFERROR(+CI21/CG21-1,""))</f>
        <v/>
      </c>
      <c r="CL21" s="463" t="str">
        <f t="shared" ref="CL21:CL44" si="86">IF(IFERROR(CI21/CE21-1,"")=0,"",IFERROR(+CI21/CE21-1,""))</f>
        <v/>
      </c>
      <c r="CM21" s="346">
        <f>+CM22+CM29+CM37</f>
        <v>0</v>
      </c>
      <c r="CN21" s="40" t="str">
        <f t="shared" ref="CN21:CN40" si="87">IF(IFERROR(CM21/CM$4,"")=0,"",IFERROR(CM21/CM$4,""))</f>
        <v/>
      </c>
      <c r="CO21" s="346">
        <f>+CO22+CO29+CO37</f>
        <v>0</v>
      </c>
      <c r="CP21" s="40" t="str">
        <f t="shared" ref="CP21:CP40" si="88">IF(IFERROR(CO21/CO$4,"")=0,"",IFERROR(CO21/CO$4,""))</f>
        <v/>
      </c>
      <c r="CQ21" s="346">
        <f>+CQ22+CQ29+CQ37</f>
        <v>0</v>
      </c>
      <c r="CR21" s="40" t="str">
        <f t="shared" ref="CR21:CR40" si="89">IF(IFERROR(CQ21/CQ$4,"")=0,"",IFERROR(CQ21/CQ$4,""))</f>
        <v/>
      </c>
      <c r="CS21" s="463" t="str">
        <f t="shared" ref="CS21:CS44" si="90">IF(IFERROR(CQ21/CO21-1,"")=0,"",IFERROR(+CQ21/CO21-1,""))</f>
        <v/>
      </c>
      <c r="CT21" s="463" t="str">
        <f t="shared" ref="CT21:CT44" si="91">IF(IFERROR(CQ21/CM21-1,"")=0,"",IFERROR(+CQ21/CM21-1,""))</f>
        <v/>
      </c>
      <c r="CU21" s="346">
        <f t="shared" si="24"/>
        <v>0</v>
      </c>
      <c r="CV21" s="40" t="str">
        <f t="shared" si="25"/>
        <v/>
      </c>
      <c r="CW21" s="346">
        <f t="shared" si="26"/>
        <v>0</v>
      </c>
      <c r="CX21" s="40">
        <f t="shared" si="27"/>
        <v>0</v>
      </c>
      <c r="CY21" s="346">
        <f t="shared" si="28"/>
        <v>1120.0755799999999</v>
      </c>
      <c r="CZ21" s="40">
        <f t="shared" si="29"/>
        <v>2.2578053464085302E-2</v>
      </c>
      <c r="DA21" s="463" t="str">
        <f t="shared" si="30"/>
        <v/>
      </c>
      <c r="DB21" s="463" t="str">
        <f t="shared" si="31"/>
        <v/>
      </c>
    </row>
    <row r="22" spans="2:106" s="101" customFormat="1" ht="13.9" customHeight="1" outlineLevel="1">
      <c r="B22" s="102" t="str">
        <f>+Расходы!A248</f>
        <v>Производственные издержки Бар</v>
      </c>
      <c r="C22" s="464">
        <f>SUM(C23:C28)</f>
        <v>0</v>
      </c>
      <c r="D22" s="39" t="str">
        <f t="shared" si="32"/>
        <v/>
      </c>
      <c r="E22" s="464">
        <f>SUM(E23:E28)</f>
        <v>0</v>
      </c>
      <c r="F22" s="39" t="str">
        <f t="shared" si="33"/>
        <v/>
      </c>
      <c r="G22" s="464">
        <f>+Расходы!B248/1000</f>
        <v>0</v>
      </c>
      <c r="H22" s="39" t="str">
        <f t="shared" si="34"/>
        <v/>
      </c>
      <c r="I22" s="465" t="str">
        <f t="shared" si="35"/>
        <v/>
      </c>
      <c r="J22" s="465" t="str">
        <f t="shared" si="36"/>
        <v/>
      </c>
      <c r="K22" s="464">
        <f>SUM(K23:K28)</f>
        <v>0</v>
      </c>
      <c r="L22" s="39" t="str">
        <f t="shared" si="37"/>
        <v/>
      </c>
      <c r="M22" s="464">
        <f>SUM(M23:M28)</f>
        <v>0</v>
      </c>
      <c r="N22" s="39" t="str">
        <f t="shared" si="38"/>
        <v/>
      </c>
      <c r="O22" s="464">
        <f>+Расходы!C248/1000</f>
        <v>0</v>
      </c>
      <c r="P22" s="39" t="str">
        <f t="shared" si="39"/>
        <v/>
      </c>
      <c r="Q22" s="465" t="str">
        <f t="shared" si="40"/>
        <v/>
      </c>
      <c r="R22" s="465" t="str">
        <f t="shared" si="41"/>
        <v/>
      </c>
      <c r="S22" s="464">
        <f>SUM(S23:S28)</f>
        <v>0</v>
      </c>
      <c r="T22" s="39" t="str">
        <f t="shared" si="42"/>
        <v/>
      </c>
      <c r="U22" s="464">
        <f>SUM(U23:U28)</f>
        <v>0</v>
      </c>
      <c r="V22" s="39" t="str">
        <f t="shared" si="43"/>
        <v/>
      </c>
      <c r="W22" s="464">
        <f>+Расходы!D248/1000</f>
        <v>10.667209999999999</v>
      </c>
      <c r="X22" s="39">
        <f t="shared" si="44"/>
        <v>1.7988853100389551E-3</v>
      </c>
      <c r="Y22" s="465" t="str">
        <f t="shared" si="45"/>
        <v/>
      </c>
      <c r="Z22" s="465" t="str">
        <f t="shared" si="46"/>
        <v/>
      </c>
      <c r="AA22" s="464">
        <f>SUM(AA23:AA28)</f>
        <v>0</v>
      </c>
      <c r="AB22" s="39" t="str">
        <f t="shared" si="47"/>
        <v/>
      </c>
      <c r="AC22" s="464">
        <f>SUM(AC23:AC28)</f>
        <v>0</v>
      </c>
      <c r="AD22" s="39" t="str">
        <f t="shared" si="48"/>
        <v/>
      </c>
      <c r="AE22" s="464">
        <f>+Расходы!E248/1000</f>
        <v>-0.91893999999999865</v>
      </c>
      <c r="AF22" s="39">
        <f t="shared" si="49"/>
        <v>-6.7011346731616156E-5</v>
      </c>
      <c r="AG22" s="465" t="str">
        <f t="shared" si="50"/>
        <v/>
      </c>
      <c r="AH22" s="465" t="str">
        <f t="shared" si="51"/>
        <v/>
      </c>
      <c r="AI22" s="464">
        <f>SUM(AI23:AI28)</f>
        <v>0</v>
      </c>
      <c r="AJ22" s="39" t="str">
        <f t="shared" si="52"/>
        <v/>
      </c>
      <c r="AK22" s="464">
        <f>SUM(AK23:AK28)</f>
        <v>0</v>
      </c>
      <c r="AL22" s="39" t="str">
        <f t="shared" si="53"/>
        <v/>
      </c>
      <c r="AM22" s="464">
        <f>+Расходы!F248/1000</f>
        <v>8.7118800000000007</v>
      </c>
      <c r="AN22" s="39">
        <f t="shared" si="54"/>
        <v>5.5445219406857814E-4</v>
      </c>
      <c r="AO22" s="465" t="str">
        <f t="shared" si="55"/>
        <v/>
      </c>
      <c r="AP22" s="465" t="str">
        <f t="shared" si="56"/>
        <v/>
      </c>
      <c r="AQ22" s="466">
        <f>SUM(AQ23:AQ28)</f>
        <v>0</v>
      </c>
      <c r="AR22" s="39" t="str">
        <f t="shared" si="57"/>
        <v/>
      </c>
      <c r="AS22" s="464">
        <f>SUM(AS23:AS28)</f>
        <v>0</v>
      </c>
      <c r="AT22" s="39" t="str">
        <f t="shared" si="58"/>
        <v/>
      </c>
      <c r="AU22" s="464">
        <f>+Расходы!G248/1000</f>
        <v>-0.22510000000000219</v>
      </c>
      <c r="AV22" s="39">
        <f t="shared" si="59"/>
        <v>-1.5792777431777423E-5</v>
      </c>
      <c r="AW22" s="465" t="str">
        <f t="shared" si="60"/>
        <v/>
      </c>
      <c r="AX22" s="465" t="str">
        <f t="shared" si="61"/>
        <v/>
      </c>
      <c r="AY22" s="466">
        <f>SUM(AY23:AY28)</f>
        <v>0</v>
      </c>
      <c r="AZ22" s="39" t="str">
        <f t="shared" si="62"/>
        <v/>
      </c>
      <c r="BA22" s="464">
        <f>SUM(BA23:BA28)</f>
        <v>0</v>
      </c>
      <c r="BB22" s="39" t="str">
        <f t="shared" si="63"/>
        <v/>
      </c>
      <c r="BC22" s="464">
        <f>+Расходы!H248/1000</f>
        <v>0</v>
      </c>
      <c r="BD22" s="39" t="str">
        <f t="shared" si="64"/>
        <v/>
      </c>
      <c r="BE22" s="465" t="str">
        <f t="shared" si="65"/>
        <v/>
      </c>
      <c r="BF22" s="465" t="str">
        <f t="shared" si="66"/>
        <v/>
      </c>
      <c r="BG22" s="466">
        <f>SUM(BG23:BG28)</f>
        <v>0</v>
      </c>
      <c r="BH22" s="39" t="str">
        <f t="shared" si="67"/>
        <v/>
      </c>
      <c r="BI22" s="464">
        <f>SUM(BI23:BI28)</f>
        <v>0</v>
      </c>
      <c r="BJ22" s="39" t="str">
        <f t="shared" si="68"/>
        <v/>
      </c>
      <c r="BK22" s="464">
        <f>+Расходы!I248/1000</f>
        <v>0</v>
      </c>
      <c r="BL22" s="39" t="str">
        <f t="shared" si="69"/>
        <v/>
      </c>
      <c r="BM22" s="465" t="str">
        <f t="shared" si="70"/>
        <v/>
      </c>
      <c r="BN22" s="465" t="str">
        <f t="shared" si="71"/>
        <v/>
      </c>
      <c r="BO22" s="466">
        <f>SUM(BO23:BO28)</f>
        <v>0</v>
      </c>
      <c r="BP22" s="39" t="str">
        <f t="shared" si="72"/>
        <v/>
      </c>
      <c r="BQ22" s="464">
        <f>SUM(BQ23:BQ28)</f>
        <v>0</v>
      </c>
      <c r="BR22" s="39" t="str">
        <f t="shared" si="73"/>
        <v/>
      </c>
      <c r="BS22" s="464">
        <f>+Расходы!J248/1000</f>
        <v>0</v>
      </c>
      <c r="BT22" s="39" t="str">
        <f t="shared" si="74"/>
        <v/>
      </c>
      <c r="BU22" s="465" t="str">
        <f t="shared" si="75"/>
        <v/>
      </c>
      <c r="BV22" s="465" t="str">
        <f t="shared" si="76"/>
        <v/>
      </c>
      <c r="BW22" s="466">
        <f>SUM(BW23:BW28)</f>
        <v>0</v>
      </c>
      <c r="BX22" s="39" t="str">
        <f t="shared" si="77"/>
        <v/>
      </c>
      <c r="BY22" s="464">
        <f>SUM(BY23:BY28)</f>
        <v>0</v>
      </c>
      <c r="BZ22" s="39" t="str">
        <f t="shared" si="78"/>
        <v/>
      </c>
      <c r="CA22" s="464">
        <f>+Расходы!K248/1000</f>
        <v>0</v>
      </c>
      <c r="CB22" s="39" t="str">
        <f t="shared" si="79"/>
        <v/>
      </c>
      <c r="CC22" s="465" t="str">
        <f t="shared" si="80"/>
        <v/>
      </c>
      <c r="CD22" s="465" t="str">
        <f t="shared" si="81"/>
        <v/>
      </c>
      <c r="CE22" s="466">
        <f>SUM(CE23:CE28)</f>
        <v>0</v>
      </c>
      <c r="CF22" s="39" t="str">
        <f t="shared" si="82"/>
        <v/>
      </c>
      <c r="CG22" s="464">
        <f>SUM(CG23:CG28)</f>
        <v>0</v>
      </c>
      <c r="CH22" s="39" t="str">
        <f t="shared" si="83"/>
        <v/>
      </c>
      <c r="CI22" s="464">
        <f>+Расходы!L248/1000</f>
        <v>0</v>
      </c>
      <c r="CJ22" s="39" t="str">
        <f t="shared" si="84"/>
        <v/>
      </c>
      <c r="CK22" s="465" t="str">
        <f t="shared" si="85"/>
        <v/>
      </c>
      <c r="CL22" s="465" t="str">
        <f t="shared" si="86"/>
        <v/>
      </c>
      <c r="CM22" s="466">
        <f>SUM(CM23:CM28)</f>
        <v>0</v>
      </c>
      <c r="CN22" s="39" t="str">
        <f t="shared" si="87"/>
        <v/>
      </c>
      <c r="CO22" s="464">
        <f>SUM(CO23:CO28)</f>
        <v>0</v>
      </c>
      <c r="CP22" s="39" t="str">
        <f t="shared" si="88"/>
        <v/>
      </c>
      <c r="CQ22" s="464">
        <f>+Расходы!M248/1000</f>
        <v>0</v>
      </c>
      <c r="CR22" s="39" t="str">
        <f t="shared" si="89"/>
        <v/>
      </c>
      <c r="CS22" s="465" t="str">
        <f t="shared" si="90"/>
        <v/>
      </c>
      <c r="CT22" s="465" t="str">
        <f t="shared" si="91"/>
        <v/>
      </c>
      <c r="CU22" s="466">
        <f t="shared" si="24"/>
        <v>0</v>
      </c>
      <c r="CV22" s="39" t="str">
        <f t="shared" si="25"/>
        <v/>
      </c>
      <c r="CW22" s="464">
        <f t="shared" si="26"/>
        <v>0</v>
      </c>
      <c r="CX22" s="39">
        <f t="shared" si="27"/>
        <v>0</v>
      </c>
      <c r="CY22" s="464">
        <f t="shared" si="28"/>
        <v>18.235049999999998</v>
      </c>
      <c r="CZ22" s="39">
        <f t="shared" si="29"/>
        <v>3.6757513615310553E-4</v>
      </c>
      <c r="DA22" s="465" t="str">
        <f t="shared" si="30"/>
        <v/>
      </c>
      <c r="DB22" s="465" t="str">
        <f t="shared" si="31"/>
        <v/>
      </c>
    </row>
    <row r="23" spans="2:106" s="103" customFormat="1" ht="13.9" customHeight="1" outlineLevel="2">
      <c r="B23" s="104" t="str">
        <f>+Расходы!A249</f>
        <v>Бракераж бар</v>
      </c>
      <c r="C23" s="238"/>
      <c r="D23" s="34" t="str">
        <f t="shared" si="32"/>
        <v/>
      </c>
      <c r="E23" s="238"/>
      <c r="F23" s="54" t="str">
        <f t="shared" si="33"/>
        <v/>
      </c>
      <c r="G23" s="467">
        <f>+Расходы!B249/1000</f>
        <v>0</v>
      </c>
      <c r="H23" s="54" t="str">
        <f t="shared" si="34"/>
        <v/>
      </c>
      <c r="I23" s="468" t="str">
        <f t="shared" si="35"/>
        <v/>
      </c>
      <c r="J23" s="468" t="str">
        <f t="shared" si="36"/>
        <v/>
      </c>
      <c r="K23" s="238"/>
      <c r="L23" s="34" t="str">
        <f t="shared" si="37"/>
        <v/>
      </c>
      <c r="M23" s="238"/>
      <c r="N23" s="54" t="str">
        <f t="shared" si="38"/>
        <v/>
      </c>
      <c r="O23" s="467">
        <f>+Расходы!C249/1000</f>
        <v>0</v>
      </c>
      <c r="P23" s="54" t="str">
        <f t="shared" si="39"/>
        <v/>
      </c>
      <c r="Q23" s="468" t="str">
        <f t="shared" si="40"/>
        <v/>
      </c>
      <c r="R23" s="468" t="str">
        <f t="shared" si="41"/>
        <v/>
      </c>
      <c r="S23" s="238"/>
      <c r="T23" s="34" t="str">
        <f t="shared" si="42"/>
        <v/>
      </c>
      <c r="U23" s="238">
        <v>0</v>
      </c>
      <c r="V23" s="54" t="str">
        <f t="shared" si="43"/>
        <v/>
      </c>
      <c r="W23" s="467">
        <f>+Расходы!D249/1000</f>
        <v>0</v>
      </c>
      <c r="X23" s="54" t="str">
        <f t="shared" si="44"/>
        <v/>
      </c>
      <c r="Y23" s="468" t="str">
        <f t="shared" si="45"/>
        <v/>
      </c>
      <c r="Z23" s="468" t="str">
        <f t="shared" si="46"/>
        <v/>
      </c>
      <c r="AA23" s="238"/>
      <c r="AB23" s="34" t="str">
        <f t="shared" si="47"/>
        <v/>
      </c>
      <c r="AC23" s="238">
        <v>0</v>
      </c>
      <c r="AD23" s="54" t="str">
        <f t="shared" si="48"/>
        <v/>
      </c>
      <c r="AE23" s="467">
        <f>+Расходы!E249/1000</f>
        <v>0</v>
      </c>
      <c r="AF23" s="54" t="str">
        <f t="shared" si="49"/>
        <v/>
      </c>
      <c r="AG23" s="468" t="str">
        <f t="shared" si="50"/>
        <v/>
      </c>
      <c r="AH23" s="468" t="str">
        <f t="shared" si="51"/>
        <v/>
      </c>
      <c r="AI23" s="238"/>
      <c r="AJ23" s="34" t="str">
        <f t="shared" si="52"/>
        <v/>
      </c>
      <c r="AK23" s="238">
        <v>0</v>
      </c>
      <c r="AL23" s="54" t="str">
        <f t="shared" si="53"/>
        <v/>
      </c>
      <c r="AM23" s="467">
        <f>+Расходы!F249/1000</f>
        <v>0</v>
      </c>
      <c r="AN23" s="54" t="str">
        <f t="shared" si="54"/>
        <v/>
      </c>
      <c r="AO23" s="468" t="str">
        <f t="shared" si="55"/>
        <v/>
      </c>
      <c r="AP23" s="468" t="str">
        <f t="shared" si="56"/>
        <v/>
      </c>
      <c r="AQ23" s="344"/>
      <c r="AR23" s="38" t="str">
        <f t="shared" si="57"/>
        <v/>
      </c>
      <c r="AS23" s="238">
        <v>0</v>
      </c>
      <c r="AT23" s="54" t="str">
        <f t="shared" si="58"/>
        <v/>
      </c>
      <c r="AU23" s="467">
        <f>+Расходы!G249/1000</f>
        <v>0</v>
      </c>
      <c r="AV23" s="54" t="str">
        <f t="shared" si="59"/>
        <v/>
      </c>
      <c r="AW23" s="468" t="str">
        <f t="shared" si="60"/>
        <v/>
      </c>
      <c r="AX23" s="468" t="str">
        <f t="shared" si="61"/>
        <v/>
      </c>
      <c r="AY23" s="344"/>
      <c r="AZ23" s="38" t="str">
        <f t="shared" si="62"/>
        <v/>
      </c>
      <c r="BA23" s="238">
        <v>0</v>
      </c>
      <c r="BB23" s="54" t="str">
        <f t="shared" si="63"/>
        <v/>
      </c>
      <c r="BC23" s="467">
        <f>+Расходы!H249/1000</f>
        <v>0</v>
      </c>
      <c r="BD23" s="54" t="str">
        <f t="shared" si="64"/>
        <v/>
      </c>
      <c r="BE23" s="468" t="str">
        <f t="shared" si="65"/>
        <v/>
      </c>
      <c r="BF23" s="468" t="str">
        <f t="shared" si="66"/>
        <v/>
      </c>
      <c r="BG23" s="344"/>
      <c r="BH23" s="38" t="str">
        <f t="shared" si="67"/>
        <v/>
      </c>
      <c r="BI23" s="238">
        <v>0</v>
      </c>
      <c r="BJ23" s="54" t="str">
        <f t="shared" si="68"/>
        <v/>
      </c>
      <c r="BK23" s="467">
        <f>+Расходы!I249/1000</f>
        <v>0</v>
      </c>
      <c r="BL23" s="54" t="str">
        <f t="shared" si="69"/>
        <v/>
      </c>
      <c r="BM23" s="468" t="str">
        <f t="shared" si="70"/>
        <v/>
      </c>
      <c r="BN23" s="468" t="str">
        <f t="shared" si="71"/>
        <v/>
      </c>
      <c r="BO23" s="344"/>
      <c r="BP23" s="38" t="str">
        <f t="shared" si="72"/>
        <v/>
      </c>
      <c r="BQ23" s="238">
        <v>0</v>
      </c>
      <c r="BR23" s="54" t="str">
        <f t="shared" si="73"/>
        <v/>
      </c>
      <c r="BS23" s="467">
        <f>+Расходы!J249/1000</f>
        <v>0</v>
      </c>
      <c r="BT23" s="54" t="str">
        <f t="shared" si="74"/>
        <v/>
      </c>
      <c r="BU23" s="468" t="str">
        <f t="shared" si="75"/>
        <v/>
      </c>
      <c r="BV23" s="468" t="str">
        <f t="shared" si="76"/>
        <v/>
      </c>
      <c r="BW23" s="344"/>
      <c r="BX23" s="38" t="str">
        <f t="shared" si="77"/>
        <v/>
      </c>
      <c r="BY23" s="238">
        <v>0</v>
      </c>
      <c r="BZ23" s="54" t="str">
        <f t="shared" si="78"/>
        <v/>
      </c>
      <c r="CA23" s="467">
        <f>+Расходы!K249/1000</f>
        <v>0</v>
      </c>
      <c r="CB23" s="54" t="str">
        <f t="shared" si="79"/>
        <v/>
      </c>
      <c r="CC23" s="468" t="str">
        <f t="shared" si="80"/>
        <v/>
      </c>
      <c r="CD23" s="468" t="str">
        <f t="shared" si="81"/>
        <v/>
      </c>
      <c r="CE23" s="344"/>
      <c r="CF23" s="38" t="str">
        <f t="shared" si="82"/>
        <v/>
      </c>
      <c r="CG23" s="238">
        <v>0</v>
      </c>
      <c r="CH23" s="54" t="str">
        <f t="shared" si="83"/>
        <v/>
      </c>
      <c r="CI23" s="467">
        <f>+Расходы!L249/1000</f>
        <v>0</v>
      </c>
      <c r="CJ23" s="54" t="str">
        <f t="shared" si="84"/>
        <v/>
      </c>
      <c r="CK23" s="468" t="str">
        <f t="shared" si="85"/>
        <v/>
      </c>
      <c r="CL23" s="468" t="str">
        <f t="shared" si="86"/>
        <v/>
      </c>
      <c r="CM23" s="344"/>
      <c r="CN23" s="38" t="str">
        <f t="shared" si="87"/>
        <v/>
      </c>
      <c r="CO23" s="238">
        <v>0</v>
      </c>
      <c r="CP23" s="54" t="str">
        <f t="shared" si="88"/>
        <v/>
      </c>
      <c r="CQ23" s="467">
        <f>+Расходы!M249/1000</f>
        <v>0</v>
      </c>
      <c r="CR23" s="54" t="str">
        <f t="shared" si="89"/>
        <v/>
      </c>
      <c r="CS23" s="468" t="str">
        <f t="shared" si="90"/>
        <v/>
      </c>
      <c r="CT23" s="468" t="str">
        <f t="shared" si="91"/>
        <v/>
      </c>
      <c r="CU23" s="344">
        <f t="shared" si="24"/>
        <v>0</v>
      </c>
      <c r="CV23" s="38" t="str">
        <f t="shared" si="25"/>
        <v/>
      </c>
      <c r="CW23" s="238">
        <f t="shared" si="26"/>
        <v>0</v>
      </c>
      <c r="CX23" s="54">
        <f t="shared" si="27"/>
        <v>0</v>
      </c>
      <c r="CY23" s="467">
        <f t="shared" si="28"/>
        <v>0</v>
      </c>
      <c r="CZ23" s="54">
        <f t="shared" si="29"/>
        <v>0</v>
      </c>
      <c r="DA23" s="468" t="str">
        <f t="shared" si="30"/>
        <v/>
      </c>
      <c r="DB23" s="468" t="str">
        <f t="shared" si="31"/>
        <v/>
      </c>
    </row>
    <row r="24" spans="2:106" s="103" customFormat="1" ht="13.9" customHeight="1" outlineLevel="2">
      <c r="B24" s="104" t="str">
        <f>+Расходы!A250</f>
        <v>Дегустация бар</v>
      </c>
      <c r="C24" s="238"/>
      <c r="D24" s="34" t="str">
        <f t="shared" si="32"/>
        <v/>
      </c>
      <c r="E24" s="238"/>
      <c r="F24" s="54" t="str">
        <f t="shared" si="33"/>
        <v/>
      </c>
      <c r="G24" s="467">
        <f>+Расходы!B250/1000</f>
        <v>0</v>
      </c>
      <c r="H24" s="54" t="str">
        <f t="shared" si="34"/>
        <v/>
      </c>
      <c r="I24" s="468" t="str">
        <f t="shared" si="35"/>
        <v/>
      </c>
      <c r="J24" s="468" t="str">
        <f t="shared" si="36"/>
        <v/>
      </c>
      <c r="K24" s="238"/>
      <c r="L24" s="34" t="str">
        <f t="shared" si="37"/>
        <v/>
      </c>
      <c r="M24" s="238"/>
      <c r="N24" s="54" t="str">
        <f t="shared" si="38"/>
        <v/>
      </c>
      <c r="O24" s="467">
        <f>+Расходы!C250/1000</f>
        <v>0</v>
      </c>
      <c r="P24" s="54" t="str">
        <f t="shared" si="39"/>
        <v/>
      </c>
      <c r="Q24" s="468" t="str">
        <f t="shared" si="40"/>
        <v/>
      </c>
      <c r="R24" s="468" t="str">
        <f t="shared" si="41"/>
        <v/>
      </c>
      <c r="S24" s="238"/>
      <c r="T24" s="34" t="str">
        <f t="shared" si="42"/>
        <v/>
      </c>
      <c r="U24" s="238">
        <v>0</v>
      </c>
      <c r="V24" s="54" t="str">
        <f t="shared" si="43"/>
        <v/>
      </c>
      <c r="W24" s="467">
        <f>+Расходы!D250/1000</f>
        <v>0</v>
      </c>
      <c r="X24" s="54" t="str">
        <f t="shared" si="44"/>
        <v/>
      </c>
      <c r="Y24" s="468" t="str">
        <f t="shared" si="45"/>
        <v/>
      </c>
      <c r="Z24" s="468" t="str">
        <f t="shared" si="46"/>
        <v/>
      </c>
      <c r="AA24" s="238"/>
      <c r="AB24" s="34" t="str">
        <f t="shared" si="47"/>
        <v/>
      </c>
      <c r="AC24" s="238">
        <v>0</v>
      </c>
      <c r="AD24" s="54" t="str">
        <f t="shared" si="48"/>
        <v/>
      </c>
      <c r="AE24" s="467">
        <f>+Расходы!E250/1000</f>
        <v>0</v>
      </c>
      <c r="AF24" s="54" t="str">
        <f t="shared" si="49"/>
        <v/>
      </c>
      <c r="AG24" s="468" t="str">
        <f t="shared" si="50"/>
        <v/>
      </c>
      <c r="AH24" s="468" t="str">
        <f t="shared" si="51"/>
        <v/>
      </c>
      <c r="AI24" s="238"/>
      <c r="AJ24" s="34" t="str">
        <f t="shared" si="52"/>
        <v/>
      </c>
      <c r="AK24" s="238">
        <v>0</v>
      </c>
      <c r="AL24" s="54" t="str">
        <f t="shared" si="53"/>
        <v/>
      </c>
      <c r="AM24" s="467">
        <f>+Расходы!F250/1000</f>
        <v>0</v>
      </c>
      <c r="AN24" s="54" t="str">
        <f t="shared" si="54"/>
        <v/>
      </c>
      <c r="AO24" s="468" t="str">
        <f t="shared" si="55"/>
        <v/>
      </c>
      <c r="AP24" s="468" t="str">
        <f t="shared" si="56"/>
        <v/>
      </c>
      <c r="AQ24" s="344"/>
      <c r="AR24" s="38" t="str">
        <f t="shared" si="57"/>
        <v/>
      </c>
      <c r="AS24" s="238">
        <v>0</v>
      </c>
      <c r="AT24" s="54" t="str">
        <f t="shared" si="58"/>
        <v/>
      </c>
      <c r="AU24" s="467">
        <f>+Расходы!G250/1000</f>
        <v>0</v>
      </c>
      <c r="AV24" s="54" t="str">
        <f t="shared" si="59"/>
        <v/>
      </c>
      <c r="AW24" s="468" t="str">
        <f t="shared" si="60"/>
        <v/>
      </c>
      <c r="AX24" s="468" t="str">
        <f t="shared" si="61"/>
        <v/>
      </c>
      <c r="AY24" s="344"/>
      <c r="AZ24" s="38" t="str">
        <f t="shared" si="62"/>
        <v/>
      </c>
      <c r="BA24" s="238">
        <v>0</v>
      </c>
      <c r="BB24" s="54" t="str">
        <f t="shared" si="63"/>
        <v/>
      </c>
      <c r="BC24" s="467">
        <f>+Расходы!H250/1000</f>
        <v>0</v>
      </c>
      <c r="BD24" s="54" t="str">
        <f t="shared" si="64"/>
        <v/>
      </c>
      <c r="BE24" s="468" t="str">
        <f t="shared" si="65"/>
        <v/>
      </c>
      <c r="BF24" s="468" t="str">
        <f t="shared" si="66"/>
        <v/>
      </c>
      <c r="BG24" s="344"/>
      <c r="BH24" s="38" t="str">
        <f t="shared" si="67"/>
        <v/>
      </c>
      <c r="BI24" s="238">
        <v>0</v>
      </c>
      <c r="BJ24" s="54" t="str">
        <f t="shared" si="68"/>
        <v/>
      </c>
      <c r="BK24" s="467">
        <f>+Расходы!I250/1000</f>
        <v>0</v>
      </c>
      <c r="BL24" s="54" t="str">
        <f t="shared" si="69"/>
        <v/>
      </c>
      <c r="BM24" s="468" t="str">
        <f t="shared" si="70"/>
        <v/>
      </c>
      <c r="BN24" s="468" t="str">
        <f t="shared" si="71"/>
        <v/>
      </c>
      <c r="BO24" s="344"/>
      <c r="BP24" s="38" t="str">
        <f t="shared" si="72"/>
        <v/>
      </c>
      <c r="BQ24" s="238">
        <v>0</v>
      </c>
      <c r="BR24" s="54" t="str">
        <f t="shared" si="73"/>
        <v/>
      </c>
      <c r="BS24" s="467">
        <f>+Расходы!J250/1000</f>
        <v>0</v>
      </c>
      <c r="BT24" s="54" t="str">
        <f t="shared" si="74"/>
        <v/>
      </c>
      <c r="BU24" s="468" t="str">
        <f t="shared" si="75"/>
        <v/>
      </c>
      <c r="BV24" s="468" t="str">
        <f t="shared" si="76"/>
        <v/>
      </c>
      <c r="BW24" s="344"/>
      <c r="BX24" s="38" t="str">
        <f t="shared" si="77"/>
        <v/>
      </c>
      <c r="BY24" s="238">
        <v>0</v>
      </c>
      <c r="BZ24" s="54" t="str">
        <f t="shared" si="78"/>
        <v/>
      </c>
      <c r="CA24" s="467">
        <f>+Расходы!K250/1000</f>
        <v>0</v>
      </c>
      <c r="CB24" s="54" t="str">
        <f t="shared" si="79"/>
        <v/>
      </c>
      <c r="CC24" s="468" t="str">
        <f t="shared" si="80"/>
        <v/>
      </c>
      <c r="CD24" s="468" t="str">
        <f t="shared" si="81"/>
        <v/>
      </c>
      <c r="CE24" s="344"/>
      <c r="CF24" s="38" t="str">
        <f t="shared" si="82"/>
        <v/>
      </c>
      <c r="CG24" s="238">
        <v>0</v>
      </c>
      <c r="CH24" s="54" t="str">
        <f t="shared" si="83"/>
        <v/>
      </c>
      <c r="CI24" s="467">
        <f>+Расходы!L250/1000</f>
        <v>0</v>
      </c>
      <c r="CJ24" s="54" t="str">
        <f t="shared" si="84"/>
        <v/>
      </c>
      <c r="CK24" s="468" t="str">
        <f t="shared" si="85"/>
        <v/>
      </c>
      <c r="CL24" s="468" t="str">
        <f t="shared" si="86"/>
        <v/>
      </c>
      <c r="CM24" s="344"/>
      <c r="CN24" s="38" t="str">
        <f t="shared" si="87"/>
        <v/>
      </c>
      <c r="CO24" s="238">
        <v>0</v>
      </c>
      <c r="CP24" s="54" t="str">
        <f t="shared" si="88"/>
        <v/>
      </c>
      <c r="CQ24" s="467">
        <f>+Расходы!M250/1000</f>
        <v>0</v>
      </c>
      <c r="CR24" s="54" t="str">
        <f t="shared" si="89"/>
        <v/>
      </c>
      <c r="CS24" s="468" t="str">
        <f t="shared" si="90"/>
        <v/>
      </c>
      <c r="CT24" s="468" t="str">
        <f t="shared" si="91"/>
        <v/>
      </c>
      <c r="CU24" s="344">
        <f t="shared" si="24"/>
        <v>0</v>
      </c>
      <c r="CV24" s="38" t="str">
        <f t="shared" si="25"/>
        <v/>
      </c>
      <c r="CW24" s="238">
        <f t="shared" si="26"/>
        <v>0</v>
      </c>
      <c r="CX24" s="54">
        <f t="shared" si="27"/>
        <v>0</v>
      </c>
      <c r="CY24" s="467">
        <f t="shared" si="28"/>
        <v>0</v>
      </c>
      <c r="CZ24" s="54">
        <f t="shared" si="29"/>
        <v>0</v>
      </c>
      <c r="DA24" s="468" t="str">
        <f t="shared" si="30"/>
        <v/>
      </c>
      <c r="DB24" s="468" t="str">
        <f t="shared" si="31"/>
        <v/>
      </c>
    </row>
    <row r="25" spans="2:106" s="103" customFormat="1" ht="13.9" customHeight="1" outlineLevel="2">
      <c r="B25" s="104" t="str">
        <f>+Расходы!A251</f>
        <v>Излишки бар</v>
      </c>
      <c r="C25" s="238"/>
      <c r="D25" s="34" t="str">
        <f t="shared" si="32"/>
        <v/>
      </c>
      <c r="E25" s="238"/>
      <c r="F25" s="54" t="str">
        <f t="shared" si="33"/>
        <v/>
      </c>
      <c r="G25" s="467">
        <f>+Расходы!B251/1000</f>
        <v>0</v>
      </c>
      <c r="H25" s="54" t="str">
        <f t="shared" si="34"/>
        <v/>
      </c>
      <c r="I25" s="468" t="str">
        <f t="shared" si="35"/>
        <v/>
      </c>
      <c r="J25" s="468" t="str">
        <f t="shared" si="36"/>
        <v/>
      </c>
      <c r="K25" s="238"/>
      <c r="L25" s="34" t="str">
        <f t="shared" si="37"/>
        <v/>
      </c>
      <c r="M25" s="238"/>
      <c r="N25" s="54" t="str">
        <f t="shared" si="38"/>
        <v/>
      </c>
      <c r="O25" s="467">
        <f>+Расходы!C251/1000</f>
        <v>0</v>
      </c>
      <c r="P25" s="54" t="str">
        <f t="shared" si="39"/>
        <v/>
      </c>
      <c r="Q25" s="468" t="str">
        <f t="shared" si="40"/>
        <v/>
      </c>
      <c r="R25" s="468" t="str">
        <f t="shared" si="41"/>
        <v/>
      </c>
      <c r="S25" s="238"/>
      <c r="T25" s="34" t="str">
        <f t="shared" si="42"/>
        <v/>
      </c>
      <c r="U25" s="238">
        <v>0</v>
      </c>
      <c r="V25" s="54" t="str">
        <f t="shared" si="43"/>
        <v/>
      </c>
      <c r="W25" s="467">
        <f>+Расходы!D251/1000</f>
        <v>-7.5960900000000002</v>
      </c>
      <c r="X25" s="54">
        <f t="shared" si="44"/>
        <v>-1.2809811295300092E-3</v>
      </c>
      <c r="Y25" s="468" t="str">
        <f t="shared" si="45"/>
        <v/>
      </c>
      <c r="Z25" s="468" t="str">
        <f t="shared" si="46"/>
        <v/>
      </c>
      <c r="AA25" s="238"/>
      <c r="AB25" s="34" t="str">
        <f t="shared" si="47"/>
        <v/>
      </c>
      <c r="AC25" s="238">
        <v>0</v>
      </c>
      <c r="AD25" s="54" t="str">
        <f t="shared" si="48"/>
        <v/>
      </c>
      <c r="AE25" s="467">
        <f>+Расходы!E251/1000</f>
        <v>-27.430009999999999</v>
      </c>
      <c r="AF25" s="54">
        <f t="shared" si="49"/>
        <v>-2.0002632500072922E-3</v>
      </c>
      <c r="AG25" s="468" t="str">
        <f t="shared" si="50"/>
        <v/>
      </c>
      <c r="AH25" s="468" t="str">
        <f t="shared" si="51"/>
        <v/>
      </c>
      <c r="AI25" s="238"/>
      <c r="AJ25" s="34" t="str">
        <f t="shared" si="52"/>
        <v/>
      </c>
      <c r="AK25" s="238">
        <v>0</v>
      </c>
      <c r="AL25" s="54" t="str">
        <f t="shared" si="53"/>
        <v/>
      </c>
      <c r="AM25" s="467">
        <f>+Расходы!F251/1000</f>
        <v>-22.157160000000001</v>
      </c>
      <c r="AN25" s="54">
        <f t="shared" si="54"/>
        <v>-1.4101532592653407E-3</v>
      </c>
      <c r="AO25" s="468" t="str">
        <f t="shared" si="55"/>
        <v/>
      </c>
      <c r="AP25" s="468" t="str">
        <f t="shared" si="56"/>
        <v/>
      </c>
      <c r="AQ25" s="344"/>
      <c r="AR25" s="38" t="str">
        <f t="shared" si="57"/>
        <v/>
      </c>
      <c r="AS25" s="238">
        <v>0</v>
      </c>
      <c r="AT25" s="54" t="str">
        <f t="shared" si="58"/>
        <v/>
      </c>
      <c r="AU25" s="467">
        <f>+Расходы!G251/1000</f>
        <v>-25.11308</v>
      </c>
      <c r="AV25" s="54">
        <f t="shared" si="59"/>
        <v>-1.7619070771497875E-3</v>
      </c>
      <c r="AW25" s="468" t="str">
        <f t="shared" si="60"/>
        <v/>
      </c>
      <c r="AX25" s="468" t="str">
        <f t="shared" si="61"/>
        <v/>
      </c>
      <c r="AY25" s="344"/>
      <c r="AZ25" s="38" t="str">
        <f t="shared" si="62"/>
        <v/>
      </c>
      <c r="BA25" s="238">
        <v>0</v>
      </c>
      <c r="BB25" s="54" t="str">
        <f t="shared" si="63"/>
        <v/>
      </c>
      <c r="BC25" s="467">
        <f>+Расходы!H251/1000</f>
        <v>0</v>
      </c>
      <c r="BD25" s="54" t="str">
        <f t="shared" si="64"/>
        <v/>
      </c>
      <c r="BE25" s="468" t="str">
        <f t="shared" si="65"/>
        <v/>
      </c>
      <c r="BF25" s="468" t="str">
        <f t="shared" si="66"/>
        <v/>
      </c>
      <c r="BG25" s="344"/>
      <c r="BH25" s="38" t="str">
        <f t="shared" si="67"/>
        <v/>
      </c>
      <c r="BI25" s="238">
        <v>0</v>
      </c>
      <c r="BJ25" s="54" t="str">
        <f t="shared" si="68"/>
        <v/>
      </c>
      <c r="BK25" s="467">
        <f>+Расходы!I251/1000</f>
        <v>0</v>
      </c>
      <c r="BL25" s="54" t="str">
        <f t="shared" si="69"/>
        <v/>
      </c>
      <c r="BM25" s="468" t="str">
        <f t="shared" si="70"/>
        <v/>
      </c>
      <c r="BN25" s="468" t="str">
        <f t="shared" si="71"/>
        <v/>
      </c>
      <c r="BO25" s="344"/>
      <c r="BP25" s="38" t="str">
        <f t="shared" si="72"/>
        <v/>
      </c>
      <c r="BQ25" s="238">
        <v>0</v>
      </c>
      <c r="BR25" s="54" t="str">
        <f t="shared" si="73"/>
        <v/>
      </c>
      <c r="BS25" s="467">
        <f>+Расходы!J251/1000</f>
        <v>0</v>
      </c>
      <c r="BT25" s="54" t="str">
        <f t="shared" si="74"/>
        <v/>
      </c>
      <c r="BU25" s="468" t="str">
        <f t="shared" si="75"/>
        <v/>
      </c>
      <c r="BV25" s="468" t="str">
        <f t="shared" si="76"/>
        <v/>
      </c>
      <c r="BW25" s="344"/>
      <c r="BX25" s="38" t="str">
        <f t="shared" si="77"/>
        <v/>
      </c>
      <c r="BY25" s="238">
        <v>0</v>
      </c>
      <c r="BZ25" s="54" t="str">
        <f t="shared" si="78"/>
        <v/>
      </c>
      <c r="CA25" s="467">
        <f>+Расходы!K251/1000</f>
        <v>0</v>
      </c>
      <c r="CB25" s="54" t="str">
        <f t="shared" si="79"/>
        <v/>
      </c>
      <c r="CC25" s="468" t="str">
        <f t="shared" si="80"/>
        <v/>
      </c>
      <c r="CD25" s="468" t="str">
        <f t="shared" si="81"/>
        <v/>
      </c>
      <c r="CE25" s="344"/>
      <c r="CF25" s="38" t="str">
        <f t="shared" si="82"/>
        <v/>
      </c>
      <c r="CG25" s="238">
        <v>0</v>
      </c>
      <c r="CH25" s="54" t="str">
        <f t="shared" si="83"/>
        <v/>
      </c>
      <c r="CI25" s="467">
        <f>+Расходы!L251/1000</f>
        <v>0</v>
      </c>
      <c r="CJ25" s="54" t="str">
        <f t="shared" si="84"/>
        <v/>
      </c>
      <c r="CK25" s="468" t="str">
        <f t="shared" si="85"/>
        <v/>
      </c>
      <c r="CL25" s="468" t="str">
        <f t="shared" si="86"/>
        <v/>
      </c>
      <c r="CM25" s="344"/>
      <c r="CN25" s="38" t="str">
        <f t="shared" si="87"/>
        <v/>
      </c>
      <c r="CO25" s="238">
        <v>0</v>
      </c>
      <c r="CP25" s="54" t="str">
        <f t="shared" si="88"/>
        <v/>
      </c>
      <c r="CQ25" s="467">
        <f>+Расходы!M251/1000</f>
        <v>0</v>
      </c>
      <c r="CR25" s="54" t="str">
        <f t="shared" si="89"/>
        <v/>
      </c>
      <c r="CS25" s="468" t="str">
        <f t="shared" si="90"/>
        <v/>
      </c>
      <c r="CT25" s="468" t="str">
        <f t="shared" si="91"/>
        <v/>
      </c>
      <c r="CU25" s="344">
        <f t="shared" si="24"/>
        <v>0</v>
      </c>
      <c r="CV25" s="38" t="str">
        <f t="shared" si="25"/>
        <v/>
      </c>
      <c r="CW25" s="238">
        <f t="shared" si="26"/>
        <v>0</v>
      </c>
      <c r="CX25" s="54">
        <f t="shared" si="27"/>
        <v>0</v>
      </c>
      <c r="CY25" s="467">
        <f t="shared" si="28"/>
        <v>-82.296340000000001</v>
      </c>
      <c r="CZ25" s="54">
        <f t="shared" si="29"/>
        <v>-1.6588980222375189E-3</v>
      </c>
      <c r="DA25" s="468" t="str">
        <f t="shared" si="30"/>
        <v/>
      </c>
      <c r="DB25" s="468" t="str">
        <f t="shared" si="31"/>
        <v/>
      </c>
    </row>
    <row r="26" spans="2:106" s="103" customFormat="1" ht="13.9" customHeight="1" outlineLevel="2">
      <c r="B26" s="104" t="str">
        <f>+Расходы!A252</f>
        <v>Недостача бар</v>
      </c>
      <c r="C26" s="238"/>
      <c r="D26" s="34" t="str">
        <f t="shared" si="32"/>
        <v/>
      </c>
      <c r="E26" s="238"/>
      <c r="F26" s="54" t="str">
        <f t="shared" si="33"/>
        <v/>
      </c>
      <c r="G26" s="467">
        <f>+Расходы!B252/1000</f>
        <v>0</v>
      </c>
      <c r="H26" s="54" t="str">
        <f t="shared" si="34"/>
        <v/>
      </c>
      <c r="I26" s="468" t="str">
        <f t="shared" si="35"/>
        <v/>
      </c>
      <c r="J26" s="468" t="str">
        <f t="shared" si="36"/>
        <v/>
      </c>
      <c r="K26" s="238"/>
      <c r="L26" s="34" t="str">
        <f t="shared" si="37"/>
        <v/>
      </c>
      <c r="M26" s="238"/>
      <c r="N26" s="54" t="str">
        <f t="shared" si="38"/>
        <v/>
      </c>
      <c r="O26" s="467">
        <f>+Расходы!C252/1000</f>
        <v>0</v>
      </c>
      <c r="P26" s="54" t="str">
        <f t="shared" si="39"/>
        <v/>
      </c>
      <c r="Q26" s="468" t="str">
        <f t="shared" si="40"/>
        <v/>
      </c>
      <c r="R26" s="468" t="str">
        <f t="shared" si="41"/>
        <v/>
      </c>
      <c r="S26" s="238"/>
      <c r="T26" s="34" t="str">
        <f t="shared" si="42"/>
        <v/>
      </c>
      <c r="U26" s="238">
        <v>0</v>
      </c>
      <c r="V26" s="54" t="str">
        <f t="shared" si="43"/>
        <v/>
      </c>
      <c r="W26" s="467">
        <f>+Расходы!E252/1000</f>
        <v>12.823040000000001</v>
      </c>
      <c r="X26" s="54">
        <f t="shared" si="44"/>
        <v>2.1624378151402219E-3</v>
      </c>
      <c r="Y26" s="468" t="str">
        <f t="shared" si="45"/>
        <v/>
      </c>
      <c r="Z26" s="468" t="str">
        <f t="shared" si="46"/>
        <v/>
      </c>
      <c r="AA26" s="238"/>
      <c r="AB26" s="34" t="str">
        <f t="shared" si="47"/>
        <v/>
      </c>
      <c r="AC26" s="238">
        <v>0</v>
      </c>
      <c r="AD26" s="54" t="str">
        <f t="shared" si="48"/>
        <v/>
      </c>
      <c r="AE26" s="467">
        <f>+Расходы!E252/1000</f>
        <v>12.823040000000001</v>
      </c>
      <c r="AF26" s="54">
        <f t="shared" si="49"/>
        <v>9.3508736108275238E-4</v>
      </c>
      <c r="AG26" s="468" t="str">
        <f t="shared" si="50"/>
        <v/>
      </c>
      <c r="AH26" s="468" t="str">
        <f t="shared" si="51"/>
        <v/>
      </c>
      <c r="AI26" s="238"/>
      <c r="AJ26" s="34" t="str">
        <f t="shared" si="52"/>
        <v/>
      </c>
      <c r="AK26" s="238">
        <v>0</v>
      </c>
      <c r="AL26" s="54" t="str">
        <f t="shared" si="53"/>
        <v/>
      </c>
      <c r="AM26" s="467">
        <f>+Расходы!F252/1000</f>
        <v>6.4147700000000007</v>
      </c>
      <c r="AN26" s="54">
        <f t="shared" si="54"/>
        <v>4.0825669097201676E-4</v>
      </c>
      <c r="AO26" s="468" t="str">
        <f t="shared" si="55"/>
        <v/>
      </c>
      <c r="AP26" s="468" t="str">
        <f t="shared" si="56"/>
        <v/>
      </c>
      <c r="AQ26" s="344"/>
      <c r="AR26" s="38" t="str">
        <f t="shared" si="57"/>
        <v/>
      </c>
      <c r="AS26" s="238">
        <v>0</v>
      </c>
      <c r="AT26" s="54" t="str">
        <f t="shared" si="58"/>
        <v/>
      </c>
      <c r="AU26" s="467">
        <f>+Расходы!G252/1000</f>
        <v>6.2833900000000007</v>
      </c>
      <c r="AV26" s="54">
        <f t="shared" si="59"/>
        <v>4.4083598306110614E-4</v>
      </c>
      <c r="AW26" s="468" t="str">
        <f t="shared" si="60"/>
        <v/>
      </c>
      <c r="AX26" s="468" t="str">
        <f t="shared" si="61"/>
        <v/>
      </c>
      <c r="AY26" s="344"/>
      <c r="AZ26" s="38" t="str">
        <f t="shared" si="62"/>
        <v/>
      </c>
      <c r="BA26" s="238">
        <v>0</v>
      </c>
      <c r="BB26" s="54" t="str">
        <f t="shared" si="63"/>
        <v/>
      </c>
      <c r="BC26" s="467">
        <f>+Расходы!H252/1000</f>
        <v>0</v>
      </c>
      <c r="BD26" s="54" t="str">
        <f t="shared" si="64"/>
        <v/>
      </c>
      <c r="BE26" s="468" t="str">
        <f t="shared" si="65"/>
        <v/>
      </c>
      <c r="BF26" s="468" t="str">
        <f t="shared" si="66"/>
        <v/>
      </c>
      <c r="BG26" s="344"/>
      <c r="BH26" s="38" t="str">
        <f t="shared" si="67"/>
        <v/>
      </c>
      <c r="BI26" s="238">
        <v>0</v>
      </c>
      <c r="BJ26" s="54" t="str">
        <f t="shared" si="68"/>
        <v/>
      </c>
      <c r="BK26" s="467">
        <f>+Расходы!I252/1000</f>
        <v>0</v>
      </c>
      <c r="BL26" s="54" t="str">
        <f t="shared" si="69"/>
        <v/>
      </c>
      <c r="BM26" s="468" t="str">
        <f t="shared" si="70"/>
        <v/>
      </c>
      <c r="BN26" s="468" t="str">
        <f t="shared" si="71"/>
        <v/>
      </c>
      <c r="BO26" s="344"/>
      <c r="BP26" s="38" t="str">
        <f t="shared" si="72"/>
        <v/>
      </c>
      <c r="BQ26" s="238">
        <v>0</v>
      </c>
      <c r="BR26" s="54" t="str">
        <f t="shared" si="73"/>
        <v/>
      </c>
      <c r="BS26" s="467">
        <f>+Расходы!J252/1000</f>
        <v>0</v>
      </c>
      <c r="BT26" s="54" t="str">
        <f t="shared" si="74"/>
        <v/>
      </c>
      <c r="BU26" s="468" t="str">
        <f t="shared" si="75"/>
        <v/>
      </c>
      <c r="BV26" s="468" t="str">
        <f t="shared" si="76"/>
        <v/>
      </c>
      <c r="BW26" s="344"/>
      <c r="BX26" s="38" t="str">
        <f t="shared" si="77"/>
        <v/>
      </c>
      <c r="BY26" s="238">
        <v>0</v>
      </c>
      <c r="BZ26" s="54" t="str">
        <f t="shared" si="78"/>
        <v/>
      </c>
      <c r="CA26" s="467">
        <f>+Расходы!K252/1000</f>
        <v>0</v>
      </c>
      <c r="CB26" s="54" t="str">
        <f t="shared" si="79"/>
        <v/>
      </c>
      <c r="CC26" s="468" t="str">
        <f t="shared" si="80"/>
        <v/>
      </c>
      <c r="CD26" s="468" t="str">
        <f t="shared" si="81"/>
        <v/>
      </c>
      <c r="CE26" s="344"/>
      <c r="CF26" s="38" t="str">
        <f t="shared" si="82"/>
        <v/>
      </c>
      <c r="CG26" s="238">
        <v>0</v>
      </c>
      <c r="CH26" s="54" t="str">
        <f t="shared" si="83"/>
        <v/>
      </c>
      <c r="CI26" s="467">
        <f>+Расходы!L252/1000</f>
        <v>0</v>
      </c>
      <c r="CJ26" s="54" t="str">
        <f t="shared" si="84"/>
        <v/>
      </c>
      <c r="CK26" s="468" t="str">
        <f t="shared" si="85"/>
        <v/>
      </c>
      <c r="CL26" s="468" t="str">
        <f t="shared" si="86"/>
        <v/>
      </c>
      <c r="CM26" s="344"/>
      <c r="CN26" s="38" t="str">
        <f t="shared" si="87"/>
        <v/>
      </c>
      <c r="CO26" s="238">
        <v>0</v>
      </c>
      <c r="CP26" s="54" t="str">
        <f t="shared" si="88"/>
        <v/>
      </c>
      <c r="CQ26" s="467">
        <f>+Расходы!M252/1000</f>
        <v>0</v>
      </c>
      <c r="CR26" s="54" t="str">
        <f t="shared" si="89"/>
        <v/>
      </c>
      <c r="CS26" s="468" t="str">
        <f t="shared" si="90"/>
        <v/>
      </c>
      <c r="CT26" s="468" t="str">
        <f t="shared" si="91"/>
        <v/>
      </c>
      <c r="CU26" s="344">
        <f t="shared" si="24"/>
        <v>0</v>
      </c>
      <c r="CV26" s="38" t="str">
        <f t="shared" si="25"/>
        <v/>
      </c>
      <c r="CW26" s="238">
        <f t="shared" si="26"/>
        <v>0</v>
      </c>
      <c r="CX26" s="54">
        <f t="shared" si="27"/>
        <v>0</v>
      </c>
      <c r="CY26" s="467">
        <f t="shared" si="28"/>
        <v>38.344239999999999</v>
      </c>
      <c r="CZ26" s="54">
        <f t="shared" si="29"/>
        <v>7.7292846680910438E-4</v>
      </c>
      <c r="DA26" s="468" t="str">
        <f t="shared" si="30"/>
        <v/>
      </c>
      <c r="DB26" s="468" t="str">
        <f t="shared" si="31"/>
        <v/>
      </c>
    </row>
    <row r="27" spans="2:106" s="103" customFormat="1" ht="13.9" customHeight="1" outlineLevel="2">
      <c r="B27" s="104" t="str">
        <f>+Расходы!A253</f>
        <v>Проработка бар</v>
      </c>
      <c r="C27" s="238"/>
      <c r="D27" s="34" t="str">
        <f t="shared" si="32"/>
        <v/>
      </c>
      <c r="E27" s="238"/>
      <c r="F27" s="54" t="str">
        <f t="shared" si="33"/>
        <v/>
      </c>
      <c r="G27" s="467">
        <f>+Расходы!B253/1000</f>
        <v>0</v>
      </c>
      <c r="H27" s="54" t="str">
        <f t="shared" si="34"/>
        <v/>
      </c>
      <c r="I27" s="468" t="str">
        <f t="shared" si="35"/>
        <v/>
      </c>
      <c r="J27" s="468" t="str">
        <f t="shared" si="36"/>
        <v/>
      </c>
      <c r="K27" s="238"/>
      <c r="L27" s="34" t="str">
        <f t="shared" si="37"/>
        <v/>
      </c>
      <c r="M27" s="238"/>
      <c r="N27" s="54" t="str">
        <f t="shared" si="38"/>
        <v/>
      </c>
      <c r="O27" s="467">
        <f>+Расходы!C253/1000</f>
        <v>0</v>
      </c>
      <c r="P27" s="54" t="str">
        <f t="shared" si="39"/>
        <v/>
      </c>
      <c r="Q27" s="468" t="str">
        <f t="shared" si="40"/>
        <v/>
      </c>
      <c r="R27" s="468" t="str">
        <f t="shared" si="41"/>
        <v/>
      </c>
      <c r="S27" s="238"/>
      <c r="T27" s="34" t="str">
        <f t="shared" si="42"/>
        <v/>
      </c>
      <c r="U27" s="238">
        <v>0</v>
      </c>
      <c r="V27" s="54" t="str">
        <f t="shared" si="43"/>
        <v/>
      </c>
      <c r="W27" s="467">
        <f>+Расходы!E253/1000</f>
        <v>0.60104999999999997</v>
      </c>
      <c r="X27" s="54">
        <f t="shared" si="44"/>
        <v>1.0135921347746168E-4</v>
      </c>
      <c r="Y27" s="468" t="str">
        <f t="shared" si="45"/>
        <v/>
      </c>
      <c r="Z27" s="468" t="str">
        <f t="shared" si="46"/>
        <v/>
      </c>
      <c r="AA27" s="238"/>
      <c r="AB27" s="34" t="str">
        <f t="shared" si="47"/>
        <v/>
      </c>
      <c r="AC27" s="238">
        <v>0</v>
      </c>
      <c r="AD27" s="54" t="str">
        <f t="shared" si="48"/>
        <v/>
      </c>
      <c r="AE27" s="467">
        <f>+Расходы!E253/1000</f>
        <v>0.60104999999999997</v>
      </c>
      <c r="AF27" s="54">
        <f t="shared" si="49"/>
        <v>4.3830032377563222E-5</v>
      </c>
      <c r="AG27" s="468" t="str">
        <f t="shared" si="50"/>
        <v/>
      </c>
      <c r="AH27" s="468" t="str">
        <f t="shared" si="51"/>
        <v/>
      </c>
      <c r="AI27" s="238"/>
      <c r="AJ27" s="34" t="str">
        <f t="shared" si="52"/>
        <v/>
      </c>
      <c r="AK27" s="238">
        <v>0</v>
      </c>
      <c r="AL27" s="54" t="str">
        <f t="shared" si="53"/>
        <v/>
      </c>
      <c r="AM27" s="467">
        <f>+Расходы!F253/1000</f>
        <v>2.1540700000000004</v>
      </c>
      <c r="AN27" s="54">
        <f t="shared" si="54"/>
        <v>1.3709197528860616E-4</v>
      </c>
      <c r="AO27" s="468" t="str">
        <f t="shared" si="55"/>
        <v/>
      </c>
      <c r="AP27" s="468" t="str">
        <f t="shared" si="56"/>
        <v/>
      </c>
      <c r="AQ27" s="344"/>
      <c r="AR27" s="38" t="str">
        <f t="shared" si="57"/>
        <v/>
      </c>
      <c r="AS27" s="238">
        <v>0</v>
      </c>
      <c r="AT27" s="54" t="str">
        <f t="shared" si="58"/>
        <v/>
      </c>
      <c r="AU27" s="467">
        <f>+Расходы!G253/1000</f>
        <v>1.4100200000000001</v>
      </c>
      <c r="AV27" s="54">
        <f t="shared" si="59"/>
        <v>9.8925508815435754E-5</v>
      </c>
      <c r="AW27" s="468" t="str">
        <f t="shared" si="60"/>
        <v/>
      </c>
      <c r="AX27" s="468" t="str">
        <f t="shared" si="61"/>
        <v/>
      </c>
      <c r="AY27" s="344"/>
      <c r="AZ27" s="38" t="str">
        <f t="shared" si="62"/>
        <v/>
      </c>
      <c r="BA27" s="238">
        <v>0</v>
      </c>
      <c r="BB27" s="54" t="str">
        <f t="shared" si="63"/>
        <v/>
      </c>
      <c r="BC27" s="467">
        <f>+Расходы!H253/1000</f>
        <v>0</v>
      </c>
      <c r="BD27" s="54" t="str">
        <f t="shared" si="64"/>
        <v/>
      </c>
      <c r="BE27" s="468" t="str">
        <f t="shared" si="65"/>
        <v/>
      </c>
      <c r="BF27" s="468" t="str">
        <f t="shared" si="66"/>
        <v/>
      </c>
      <c r="BG27" s="344"/>
      <c r="BH27" s="38" t="str">
        <f t="shared" si="67"/>
        <v/>
      </c>
      <c r="BI27" s="238">
        <v>0</v>
      </c>
      <c r="BJ27" s="54" t="str">
        <f t="shared" si="68"/>
        <v/>
      </c>
      <c r="BK27" s="467">
        <f>+Расходы!I253/1000</f>
        <v>0</v>
      </c>
      <c r="BL27" s="54" t="str">
        <f t="shared" si="69"/>
        <v/>
      </c>
      <c r="BM27" s="468" t="str">
        <f t="shared" si="70"/>
        <v/>
      </c>
      <c r="BN27" s="468" t="str">
        <f t="shared" si="71"/>
        <v/>
      </c>
      <c r="BO27" s="344"/>
      <c r="BP27" s="38" t="str">
        <f t="shared" si="72"/>
        <v/>
      </c>
      <c r="BQ27" s="238">
        <v>0</v>
      </c>
      <c r="BR27" s="54" t="str">
        <f t="shared" si="73"/>
        <v/>
      </c>
      <c r="BS27" s="467">
        <f>+Расходы!J253/1000</f>
        <v>0</v>
      </c>
      <c r="BT27" s="54" t="str">
        <f t="shared" si="74"/>
        <v/>
      </c>
      <c r="BU27" s="468" t="str">
        <f t="shared" si="75"/>
        <v/>
      </c>
      <c r="BV27" s="468" t="str">
        <f t="shared" si="76"/>
        <v/>
      </c>
      <c r="BW27" s="344"/>
      <c r="BX27" s="38" t="str">
        <f t="shared" si="77"/>
        <v/>
      </c>
      <c r="BY27" s="238">
        <v>0</v>
      </c>
      <c r="BZ27" s="54" t="str">
        <f t="shared" si="78"/>
        <v/>
      </c>
      <c r="CA27" s="467">
        <f>+Расходы!K253/1000</f>
        <v>0</v>
      </c>
      <c r="CB27" s="54" t="str">
        <f t="shared" si="79"/>
        <v/>
      </c>
      <c r="CC27" s="468" t="str">
        <f t="shared" si="80"/>
        <v/>
      </c>
      <c r="CD27" s="468" t="str">
        <f t="shared" si="81"/>
        <v/>
      </c>
      <c r="CE27" s="344"/>
      <c r="CF27" s="38" t="str">
        <f t="shared" si="82"/>
        <v/>
      </c>
      <c r="CG27" s="238">
        <v>0</v>
      </c>
      <c r="CH27" s="54" t="str">
        <f t="shared" si="83"/>
        <v/>
      </c>
      <c r="CI27" s="467">
        <f>+Расходы!L253/1000</f>
        <v>0</v>
      </c>
      <c r="CJ27" s="54" t="str">
        <f t="shared" si="84"/>
        <v/>
      </c>
      <c r="CK27" s="468" t="str">
        <f t="shared" si="85"/>
        <v/>
      </c>
      <c r="CL27" s="468" t="str">
        <f t="shared" si="86"/>
        <v/>
      </c>
      <c r="CM27" s="344"/>
      <c r="CN27" s="38" t="str">
        <f t="shared" si="87"/>
        <v/>
      </c>
      <c r="CO27" s="238">
        <v>0</v>
      </c>
      <c r="CP27" s="54" t="str">
        <f t="shared" si="88"/>
        <v/>
      </c>
      <c r="CQ27" s="467">
        <f>+Расходы!M253/1000</f>
        <v>0</v>
      </c>
      <c r="CR27" s="54" t="str">
        <f t="shared" si="89"/>
        <v/>
      </c>
      <c r="CS27" s="468" t="str">
        <f t="shared" si="90"/>
        <v/>
      </c>
      <c r="CT27" s="468" t="str">
        <f t="shared" si="91"/>
        <v/>
      </c>
      <c r="CU27" s="344">
        <f t="shared" si="24"/>
        <v>0</v>
      </c>
      <c r="CV27" s="38" t="str">
        <f t="shared" si="25"/>
        <v/>
      </c>
      <c r="CW27" s="238">
        <f t="shared" si="26"/>
        <v>0</v>
      </c>
      <c r="CX27" s="54">
        <f t="shared" si="27"/>
        <v>0</v>
      </c>
      <c r="CY27" s="467">
        <f t="shared" si="28"/>
        <v>4.7661900000000008</v>
      </c>
      <c r="CZ27" s="54">
        <f t="shared" si="29"/>
        <v>9.6075027936943995E-5</v>
      </c>
      <c r="DA27" s="468" t="str">
        <f t="shared" si="30"/>
        <v/>
      </c>
      <c r="DB27" s="468" t="str">
        <f t="shared" si="31"/>
        <v/>
      </c>
    </row>
    <row r="28" spans="2:106" s="103" customFormat="1" ht="13.9" customHeight="1" outlineLevel="2">
      <c r="B28" s="104" t="str">
        <f>+Расходы!A254</f>
        <v>Списание продуктов бар</v>
      </c>
      <c r="C28" s="238"/>
      <c r="D28" s="34" t="str">
        <f t="shared" si="32"/>
        <v/>
      </c>
      <c r="E28" s="238"/>
      <c r="F28" s="54" t="str">
        <f t="shared" si="33"/>
        <v/>
      </c>
      <c r="G28" s="467">
        <f>+Расходы!B254/1000</f>
        <v>0</v>
      </c>
      <c r="H28" s="54" t="str">
        <f t="shared" si="34"/>
        <v/>
      </c>
      <c r="I28" s="468" t="str">
        <f t="shared" si="35"/>
        <v/>
      </c>
      <c r="J28" s="468" t="str">
        <f t="shared" si="36"/>
        <v/>
      </c>
      <c r="K28" s="238"/>
      <c r="L28" s="34" t="str">
        <f t="shared" si="37"/>
        <v/>
      </c>
      <c r="M28" s="238"/>
      <c r="N28" s="54" t="str">
        <f t="shared" si="38"/>
        <v/>
      </c>
      <c r="O28" s="467">
        <f>+Расходы!C254/1000</f>
        <v>0</v>
      </c>
      <c r="P28" s="54" t="str">
        <f t="shared" si="39"/>
        <v/>
      </c>
      <c r="Q28" s="468" t="str">
        <f t="shared" si="40"/>
        <v/>
      </c>
      <c r="R28" s="468" t="str">
        <f t="shared" si="41"/>
        <v/>
      </c>
      <c r="S28" s="238"/>
      <c r="T28" s="34" t="str">
        <f t="shared" si="42"/>
        <v/>
      </c>
      <c r="U28" s="238">
        <v>0</v>
      </c>
      <c r="V28" s="54" t="str">
        <f t="shared" si="43"/>
        <v/>
      </c>
      <c r="W28" s="467">
        <f>+Расходы!E254/1000</f>
        <v>13.086979999999999</v>
      </c>
      <c r="X28" s="54">
        <f t="shared" si="44"/>
        <v>2.2069478406043946E-3</v>
      </c>
      <c r="Y28" s="468" t="str">
        <f t="shared" si="45"/>
        <v/>
      </c>
      <c r="Z28" s="468" t="str">
        <f t="shared" si="46"/>
        <v/>
      </c>
      <c r="AA28" s="238"/>
      <c r="AB28" s="34" t="str">
        <f t="shared" si="47"/>
        <v/>
      </c>
      <c r="AC28" s="238">
        <v>0</v>
      </c>
      <c r="AD28" s="54" t="str">
        <f t="shared" si="48"/>
        <v/>
      </c>
      <c r="AE28" s="467">
        <f>+Расходы!E254/1000</f>
        <v>13.086979999999999</v>
      </c>
      <c r="AF28" s="54">
        <f t="shared" si="49"/>
        <v>9.5433450981536022E-4</v>
      </c>
      <c r="AG28" s="468" t="str">
        <f t="shared" si="50"/>
        <v/>
      </c>
      <c r="AH28" s="468" t="str">
        <f t="shared" si="51"/>
        <v/>
      </c>
      <c r="AI28" s="238"/>
      <c r="AJ28" s="34" t="str">
        <f t="shared" si="52"/>
        <v/>
      </c>
      <c r="AK28" s="238">
        <v>0</v>
      </c>
      <c r="AL28" s="54" t="str">
        <f t="shared" si="53"/>
        <v/>
      </c>
      <c r="AM28" s="467">
        <f>+Расходы!F254/1000</f>
        <v>22.3002</v>
      </c>
      <c r="AN28" s="54">
        <f t="shared" si="54"/>
        <v>1.4192567870732961E-3</v>
      </c>
      <c r="AO28" s="468" t="str">
        <f t="shared" si="55"/>
        <v/>
      </c>
      <c r="AP28" s="468" t="str">
        <f t="shared" si="56"/>
        <v/>
      </c>
      <c r="AQ28" s="344"/>
      <c r="AR28" s="38" t="str">
        <f t="shared" si="57"/>
        <v/>
      </c>
      <c r="AS28" s="238">
        <v>0</v>
      </c>
      <c r="AT28" s="54" t="str">
        <f t="shared" si="58"/>
        <v/>
      </c>
      <c r="AU28" s="467">
        <f>+Расходы!G254/1000</f>
        <v>17.194569999999999</v>
      </c>
      <c r="AV28" s="54">
        <f t="shared" si="59"/>
        <v>1.2063528078414681E-3</v>
      </c>
      <c r="AW28" s="468" t="str">
        <f t="shared" si="60"/>
        <v/>
      </c>
      <c r="AX28" s="468" t="str">
        <f t="shared" si="61"/>
        <v/>
      </c>
      <c r="AY28" s="344"/>
      <c r="AZ28" s="38" t="str">
        <f t="shared" si="62"/>
        <v/>
      </c>
      <c r="BA28" s="238">
        <v>0</v>
      </c>
      <c r="BB28" s="54" t="str">
        <f t="shared" si="63"/>
        <v/>
      </c>
      <c r="BC28" s="467">
        <f>+Расходы!H254/1000</f>
        <v>0</v>
      </c>
      <c r="BD28" s="54" t="str">
        <f t="shared" si="64"/>
        <v/>
      </c>
      <c r="BE28" s="468" t="str">
        <f t="shared" si="65"/>
        <v/>
      </c>
      <c r="BF28" s="468" t="str">
        <f t="shared" si="66"/>
        <v/>
      </c>
      <c r="BG28" s="344"/>
      <c r="BH28" s="38" t="str">
        <f t="shared" si="67"/>
        <v/>
      </c>
      <c r="BI28" s="238">
        <v>0</v>
      </c>
      <c r="BJ28" s="54" t="str">
        <f t="shared" si="68"/>
        <v/>
      </c>
      <c r="BK28" s="467">
        <f>+Расходы!I254/1000</f>
        <v>0</v>
      </c>
      <c r="BL28" s="54" t="str">
        <f t="shared" si="69"/>
        <v/>
      </c>
      <c r="BM28" s="468" t="str">
        <f t="shared" si="70"/>
        <v/>
      </c>
      <c r="BN28" s="468" t="str">
        <f t="shared" si="71"/>
        <v/>
      </c>
      <c r="BO28" s="344"/>
      <c r="BP28" s="38" t="str">
        <f t="shared" si="72"/>
        <v/>
      </c>
      <c r="BQ28" s="238">
        <v>0</v>
      </c>
      <c r="BR28" s="54" t="str">
        <f t="shared" si="73"/>
        <v/>
      </c>
      <c r="BS28" s="467">
        <f>+Расходы!J254/1000</f>
        <v>0</v>
      </c>
      <c r="BT28" s="54" t="str">
        <f t="shared" si="74"/>
        <v/>
      </c>
      <c r="BU28" s="468" t="str">
        <f t="shared" si="75"/>
        <v/>
      </c>
      <c r="BV28" s="468" t="str">
        <f t="shared" si="76"/>
        <v/>
      </c>
      <c r="BW28" s="344"/>
      <c r="BX28" s="38" t="str">
        <f t="shared" si="77"/>
        <v/>
      </c>
      <c r="BY28" s="238">
        <v>0</v>
      </c>
      <c r="BZ28" s="54" t="str">
        <f t="shared" si="78"/>
        <v/>
      </c>
      <c r="CA28" s="467">
        <f>+Расходы!K254/1000</f>
        <v>0</v>
      </c>
      <c r="CB28" s="54" t="str">
        <f t="shared" si="79"/>
        <v/>
      </c>
      <c r="CC28" s="468" t="str">
        <f t="shared" si="80"/>
        <v/>
      </c>
      <c r="CD28" s="468" t="str">
        <f t="shared" si="81"/>
        <v/>
      </c>
      <c r="CE28" s="344"/>
      <c r="CF28" s="38" t="str">
        <f t="shared" si="82"/>
        <v/>
      </c>
      <c r="CG28" s="238">
        <v>0</v>
      </c>
      <c r="CH28" s="54" t="str">
        <f t="shared" si="83"/>
        <v/>
      </c>
      <c r="CI28" s="467">
        <f>+Расходы!L254/1000</f>
        <v>0</v>
      </c>
      <c r="CJ28" s="54" t="str">
        <f t="shared" si="84"/>
        <v/>
      </c>
      <c r="CK28" s="468" t="str">
        <f t="shared" si="85"/>
        <v/>
      </c>
      <c r="CL28" s="468" t="str">
        <f t="shared" si="86"/>
        <v/>
      </c>
      <c r="CM28" s="344"/>
      <c r="CN28" s="38" t="str">
        <f t="shared" si="87"/>
        <v/>
      </c>
      <c r="CO28" s="238">
        <v>0</v>
      </c>
      <c r="CP28" s="54" t="str">
        <f t="shared" si="88"/>
        <v/>
      </c>
      <c r="CQ28" s="467">
        <f>+Расходы!M254/1000</f>
        <v>0</v>
      </c>
      <c r="CR28" s="54" t="str">
        <f t="shared" si="89"/>
        <v/>
      </c>
      <c r="CS28" s="468" t="str">
        <f t="shared" si="90"/>
        <v/>
      </c>
      <c r="CT28" s="468" t="str">
        <f t="shared" si="91"/>
        <v/>
      </c>
      <c r="CU28" s="344">
        <f t="shared" si="24"/>
        <v>0</v>
      </c>
      <c r="CV28" s="38" t="str">
        <f t="shared" si="25"/>
        <v/>
      </c>
      <c r="CW28" s="238">
        <f t="shared" si="26"/>
        <v>0</v>
      </c>
      <c r="CX28" s="54">
        <f t="shared" si="27"/>
        <v>0</v>
      </c>
      <c r="CY28" s="467">
        <f t="shared" si="28"/>
        <v>65.668729999999996</v>
      </c>
      <c r="CZ28" s="54">
        <f t="shared" si="29"/>
        <v>1.3237250443926137E-3</v>
      </c>
      <c r="DA28" s="468" t="str">
        <f t="shared" si="30"/>
        <v/>
      </c>
      <c r="DB28" s="468" t="str">
        <f t="shared" si="31"/>
        <v/>
      </c>
    </row>
    <row r="29" spans="2:106" s="101" customFormat="1" ht="13.9" customHeight="1" outlineLevel="1">
      <c r="B29" s="102" t="str">
        <f>+Расходы!A255</f>
        <v>Производственные издержки Кухня</v>
      </c>
      <c r="C29" s="464">
        <f>SUM(C30:C36)</f>
        <v>0</v>
      </c>
      <c r="D29" s="39" t="str">
        <f t="shared" si="32"/>
        <v/>
      </c>
      <c r="E29" s="464">
        <f>SUM(E30:E36)</f>
        <v>0</v>
      </c>
      <c r="F29" s="39" t="str">
        <f t="shared" si="33"/>
        <v/>
      </c>
      <c r="G29" s="464">
        <f>+Расходы!B255/1000</f>
        <v>0</v>
      </c>
      <c r="H29" s="39" t="str">
        <f t="shared" si="34"/>
        <v/>
      </c>
      <c r="I29" s="465" t="str">
        <f t="shared" si="35"/>
        <v/>
      </c>
      <c r="J29" s="465" t="str">
        <f t="shared" si="36"/>
        <v/>
      </c>
      <c r="K29" s="464">
        <f>SUM(K30:K36)</f>
        <v>0</v>
      </c>
      <c r="L29" s="39" t="str">
        <f t="shared" si="37"/>
        <v/>
      </c>
      <c r="M29" s="464">
        <f>SUM(M30:M36)</f>
        <v>0</v>
      </c>
      <c r="N29" s="39" t="str">
        <f t="shared" si="38"/>
        <v/>
      </c>
      <c r="O29" s="464">
        <f>+Расходы!C255/1000</f>
        <v>0</v>
      </c>
      <c r="P29" s="39" t="str">
        <f t="shared" si="39"/>
        <v/>
      </c>
      <c r="Q29" s="465" t="str">
        <f t="shared" si="40"/>
        <v/>
      </c>
      <c r="R29" s="465" t="str">
        <f t="shared" si="41"/>
        <v/>
      </c>
      <c r="S29" s="464">
        <f>SUM(S30:S36)</f>
        <v>0</v>
      </c>
      <c r="T29" s="39" t="str">
        <f t="shared" si="42"/>
        <v/>
      </c>
      <c r="U29" s="464">
        <f>SUM(U30:U36)</f>
        <v>0</v>
      </c>
      <c r="V29" s="39" t="str">
        <f t="shared" si="43"/>
        <v/>
      </c>
      <c r="W29" s="464">
        <f>+Расходы!D255/1000</f>
        <v>385.69871999999998</v>
      </c>
      <c r="X29" s="39">
        <f t="shared" si="44"/>
        <v>6.5043039511627515E-2</v>
      </c>
      <c r="Y29" s="465" t="str">
        <f t="shared" si="45"/>
        <v/>
      </c>
      <c r="Z29" s="465" t="str">
        <f t="shared" si="46"/>
        <v/>
      </c>
      <c r="AA29" s="464">
        <f>SUM(AA30:AA36)</f>
        <v>0</v>
      </c>
      <c r="AB29" s="39" t="str">
        <f t="shared" si="47"/>
        <v/>
      </c>
      <c r="AC29" s="464">
        <f>SUM(AC30:AC36)</f>
        <v>0</v>
      </c>
      <c r="AD29" s="39" t="str">
        <f t="shared" si="48"/>
        <v/>
      </c>
      <c r="AE29" s="464">
        <f>+Расходы!E255/1000</f>
        <v>182.14985000000004</v>
      </c>
      <c r="AF29" s="39">
        <f t="shared" si="49"/>
        <v>1.3282811451739932E-2</v>
      </c>
      <c r="AG29" s="465" t="str">
        <f t="shared" si="50"/>
        <v/>
      </c>
      <c r="AH29" s="465" t="str">
        <f t="shared" si="51"/>
        <v/>
      </c>
      <c r="AI29" s="464">
        <f>SUM(AI30:AI36)</f>
        <v>0</v>
      </c>
      <c r="AJ29" s="39" t="str">
        <f t="shared" si="52"/>
        <v/>
      </c>
      <c r="AK29" s="464">
        <f>SUM(AK30:AK36)</f>
        <v>0</v>
      </c>
      <c r="AL29" s="39" t="str">
        <f t="shared" si="53"/>
        <v/>
      </c>
      <c r="AM29" s="464">
        <f>+Расходы!F255/1000</f>
        <v>140.31102000000001</v>
      </c>
      <c r="AN29" s="39">
        <f t="shared" si="54"/>
        <v>8.9298467025487206E-3</v>
      </c>
      <c r="AO29" s="465" t="str">
        <f t="shared" si="55"/>
        <v/>
      </c>
      <c r="AP29" s="465" t="str">
        <f t="shared" si="56"/>
        <v/>
      </c>
      <c r="AQ29" s="466">
        <f>SUM(AQ30:AQ36)</f>
        <v>0</v>
      </c>
      <c r="AR29" s="39" t="str">
        <f t="shared" si="57"/>
        <v/>
      </c>
      <c r="AS29" s="464">
        <f>SUM(AS30:AS36)</f>
        <v>0</v>
      </c>
      <c r="AT29" s="39" t="str">
        <f t="shared" si="58"/>
        <v/>
      </c>
      <c r="AU29" s="464">
        <f>+Расходы!G255/1000</f>
        <v>121.57008999999999</v>
      </c>
      <c r="AV29" s="39">
        <f t="shared" si="59"/>
        <v>8.5292286705070264E-3</v>
      </c>
      <c r="AW29" s="465" t="str">
        <f t="shared" si="60"/>
        <v/>
      </c>
      <c r="AX29" s="465" t="str">
        <f t="shared" si="61"/>
        <v/>
      </c>
      <c r="AY29" s="466">
        <f>SUM(AY30:AY36)</f>
        <v>0</v>
      </c>
      <c r="AZ29" s="39" t="str">
        <f t="shared" si="62"/>
        <v/>
      </c>
      <c r="BA29" s="464">
        <f>SUM(BA30:BA36)</f>
        <v>0</v>
      </c>
      <c r="BB29" s="39" t="str">
        <f t="shared" si="63"/>
        <v/>
      </c>
      <c r="BC29" s="464">
        <f>+Расходы!H255/1000</f>
        <v>0</v>
      </c>
      <c r="BD29" s="39" t="str">
        <f t="shared" si="64"/>
        <v/>
      </c>
      <c r="BE29" s="465" t="str">
        <f t="shared" si="65"/>
        <v/>
      </c>
      <c r="BF29" s="465" t="str">
        <f t="shared" si="66"/>
        <v/>
      </c>
      <c r="BG29" s="466">
        <f>SUM(BG30:BG36)</f>
        <v>0</v>
      </c>
      <c r="BH29" s="39" t="str">
        <f t="shared" si="67"/>
        <v/>
      </c>
      <c r="BI29" s="464">
        <f>SUM(BI30:BI36)</f>
        <v>0</v>
      </c>
      <c r="BJ29" s="39" t="str">
        <f t="shared" si="68"/>
        <v/>
      </c>
      <c r="BK29" s="464">
        <f>+Расходы!I255/1000</f>
        <v>0</v>
      </c>
      <c r="BL29" s="39" t="str">
        <f t="shared" si="69"/>
        <v/>
      </c>
      <c r="BM29" s="465" t="str">
        <f t="shared" si="70"/>
        <v/>
      </c>
      <c r="BN29" s="465" t="str">
        <f t="shared" si="71"/>
        <v/>
      </c>
      <c r="BO29" s="466">
        <f>SUM(BO30:BO36)</f>
        <v>0</v>
      </c>
      <c r="BP29" s="39" t="str">
        <f t="shared" si="72"/>
        <v/>
      </c>
      <c r="BQ29" s="464">
        <f>SUM(BQ30:BQ36)</f>
        <v>0</v>
      </c>
      <c r="BR29" s="39" t="str">
        <f t="shared" si="73"/>
        <v/>
      </c>
      <c r="BS29" s="464">
        <f>+Расходы!J255/1000</f>
        <v>0</v>
      </c>
      <c r="BT29" s="39" t="str">
        <f t="shared" si="74"/>
        <v/>
      </c>
      <c r="BU29" s="465" t="str">
        <f t="shared" si="75"/>
        <v/>
      </c>
      <c r="BV29" s="465" t="str">
        <f t="shared" si="76"/>
        <v/>
      </c>
      <c r="BW29" s="466">
        <f>SUM(BW30:BW36)</f>
        <v>0</v>
      </c>
      <c r="BX29" s="39" t="str">
        <f t="shared" si="77"/>
        <v/>
      </c>
      <c r="BY29" s="464">
        <f>SUM(BY30:BY36)</f>
        <v>0</v>
      </c>
      <c r="BZ29" s="39" t="str">
        <f t="shared" si="78"/>
        <v/>
      </c>
      <c r="CA29" s="464">
        <f>+Расходы!K255/1000</f>
        <v>0</v>
      </c>
      <c r="CB29" s="39" t="str">
        <f t="shared" si="79"/>
        <v/>
      </c>
      <c r="CC29" s="465" t="str">
        <f t="shared" si="80"/>
        <v/>
      </c>
      <c r="CD29" s="465" t="str">
        <f t="shared" si="81"/>
        <v/>
      </c>
      <c r="CE29" s="466">
        <f>SUM(CE30:CE36)</f>
        <v>0</v>
      </c>
      <c r="CF29" s="39" t="str">
        <f t="shared" si="82"/>
        <v/>
      </c>
      <c r="CG29" s="464">
        <f>SUM(CG30:CG36)</f>
        <v>0</v>
      </c>
      <c r="CH29" s="39" t="str">
        <f t="shared" si="83"/>
        <v/>
      </c>
      <c r="CI29" s="464">
        <f>+Расходы!L255/1000</f>
        <v>0</v>
      </c>
      <c r="CJ29" s="39" t="str">
        <f t="shared" si="84"/>
        <v/>
      </c>
      <c r="CK29" s="465" t="str">
        <f t="shared" si="85"/>
        <v/>
      </c>
      <c r="CL29" s="465" t="str">
        <f t="shared" si="86"/>
        <v/>
      </c>
      <c r="CM29" s="466">
        <f>SUM(CM30:CM36)</f>
        <v>0</v>
      </c>
      <c r="CN29" s="39" t="str">
        <f t="shared" si="87"/>
        <v/>
      </c>
      <c r="CO29" s="464">
        <f>SUM(CO30:CO36)</f>
        <v>0</v>
      </c>
      <c r="CP29" s="39" t="str">
        <f t="shared" si="88"/>
        <v/>
      </c>
      <c r="CQ29" s="464">
        <f>+Расходы!M255/1000</f>
        <v>0</v>
      </c>
      <c r="CR29" s="39" t="str">
        <f t="shared" si="89"/>
        <v/>
      </c>
      <c r="CS29" s="465" t="str">
        <f t="shared" si="90"/>
        <v/>
      </c>
      <c r="CT29" s="465" t="str">
        <f t="shared" si="91"/>
        <v/>
      </c>
      <c r="CU29" s="466">
        <f t="shared" si="24"/>
        <v>0</v>
      </c>
      <c r="CV29" s="39" t="str">
        <f t="shared" si="25"/>
        <v/>
      </c>
      <c r="CW29" s="464">
        <f t="shared" si="26"/>
        <v>0</v>
      </c>
      <c r="CX29" s="39">
        <f t="shared" si="27"/>
        <v>0</v>
      </c>
      <c r="CY29" s="464">
        <f t="shared" si="28"/>
        <v>829.72967999999992</v>
      </c>
      <c r="CZ29" s="39">
        <f t="shared" si="29"/>
        <v>1.6725372296553763E-2</v>
      </c>
      <c r="DA29" s="465" t="str">
        <f t="shared" si="30"/>
        <v/>
      </c>
      <c r="DB29" s="465" t="str">
        <f t="shared" si="31"/>
        <v/>
      </c>
    </row>
    <row r="30" spans="2:106" s="103" customFormat="1" ht="13.9" customHeight="1" outlineLevel="2">
      <c r="B30" s="104" t="str">
        <f>+Расходы!A256</f>
        <v>Бракераж кухня</v>
      </c>
      <c r="C30" s="238"/>
      <c r="D30" s="34" t="str">
        <f t="shared" si="32"/>
        <v/>
      </c>
      <c r="E30" s="238"/>
      <c r="F30" s="54" t="str">
        <f t="shared" si="33"/>
        <v/>
      </c>
      <c r="G30" s="467">
        <f>+Расходы!B256/1000</f>
        <v>0</v>
      </c>
      <c r="H30" s="54" t="str">
        <f t="shared" si="34"/>
        <v/>
      </c>
      <c r="I30" s="468" t="str">
        <f t="shared" si="35"/>
        <v/>
      </c>
      <c r="J30" s="468" t="str">
        <f t="shared" si="36"/>
        <v/>
      </c>
      <c r="K30" s="238"/>
      <c r="L30" s="34" t="str">
        <f t="shared" si="37"/>
        <v/>
      </c>
      <c r="M30" s="238"/>
      <c r="N30" s="54" t="str">
        <f t="shared" si="38"/>
        <v/>
      </c>
      <c r="O30" s="467">
        <f>+Расходы!C256/1000</f>
        <v>0</v>
      </c>
      <c r="P30" s="54" t="str">
        <f t="shared" si="39"/>
        <v/>
      </c>
      <c r="Q30" s="468" t="str">
        <f t="shared" si="40"/>
        <v/>
      </c>
      <c r="R30" s="468" t="str">
        <f t="shared" si="41"/>
        <v/>
      </c>
      <c r="S30" s="238"/>
      <c r="T30" s="34" t="str">
        <f t="shared" si="42"/>
        <v/>
      </c>
      <c r="U30" s="238">
        <v>0</v>
      </c>
      <c r="V30" s="54" t="str">
        <f t="shared" si="43"/>
        <v/>
      </c>
      <c r="W30" s="467">
        <f>+Расходы!D256/1000</f>
        <v>0</v>
      </c>
      <c r="X30" s="54" t="str">
        <f t="shared" si="44"/>
        <v/>
      </c>
      <c r="Y30" s="468" t="str">
        <f t="shared" si="45"/>
        <v/>
      </c>
      <c r="Z30" s="468" t="str">
        <f t="shared" si="46"/>
        <v/>
      </c>
      <c r="AA30" s="238"/>
      <c r="AB30" s="34" t="str">
        <f t="shared" si="47"/>
        <v/>
      </c>
      <c r="AC30" s="238">
        <v>0</v>
      </c>
      <c r="AD30" s="54" t="str">
        <f t="shared" si="48"/>
        <v/>
      </c>
      <c r="AE30" s="467">
        <f>+Расходы!E256/1000</f>
        <v>0</v>
      </c>
      <c r="AF30" s="54" t="str">
        <f t="shared" si="49"/>
        <v/>
      </c>
      <c r="AG30" s="468" t="str">
        <f t="shared" si="50"/>
        <v/>
      </c>
      <c r="AH30" s="468" t="str">
        <f t="shared" si="51"/>
        <v/>
      </c>
      <c r="AI30" s="238"/>
      <c r="AJ30" s="34" t="str">
        <f t="shared" si="52"/>
        <v/>
      </c>
      <c r="AK30" s="238">
        <v>0</v>
      </c>
      <c r="AL30" s="54" t="str">
        <f t="shared" si="53"/>
        <v/>
      </c>
      <c r="AM30" s="467">
        <f>+Расходы!F256/1000</f>
        <v>0</v>
      </c>
      <c r="AN30" s="54" t="str">
        <f t="shared" si="54"/>
        <v/>
      </c>
      <c r="AO30" s="468" t="str">
        <f t="shared" si="55"/>
        <v/>
      </c>
      <c r="AP30" s="468" t="str">
        <f t="shared" si="56"/>
        <v/>
      </c>
      <c r="AQ30" s="344"/>
      <c r="AR30" s="38" t="str">
        <f t="shared" si="57"/>
        <v/>
      </c>
      <c r="AS30" s="238">
        <v>0</v>
      </c>
      <c r="AT30" s="54" t="str">
        <f t="shared" si="58"/>
        <v/>
      </c>
      <c r="AU30" s="467">
        <f>+Расходы!G256/1000</f>
        <v>0</v>
      </c>
      <c r="AV30" s="54" t="str">
        <f t="shared" si="59"/>
        <v/>
      </c>
      <c r="AW30" s="468" t="str">
        <f t="shared" si="60"/>
        <v/>
      </c>
      <c r="AX30" s="468" t="str">
        <f t="shared" si="61"/>
        <v/>
      </c>
      <c r="AY30" s="344"/>
      <c r="AZ30" s="38" t="str">
        <f t="shared" si="62"/>
        <v/>
      </c>
      <c r="BA30" s="238">
        <v>0</v>
      </c>
      <c r="BB30" s="54" t="str">
        <f t="shared" si="63"/>
        <v/>
      </c>
      <c r="BC30" s="467">
        <f>+Расходы!H256/1000</f>
        <v>0</v>
      </c>
      <c r="BD30" s="54" t="str">
        <f t="shared" si="64"/>
        <v/>
      </c>
      <c r="BE30" s="468" t="str">
        <f t="shared" si="65"/>
        <v/>
      </c>
      <c r="BF30" s="468" t="str">
        <f t="shared" si="66"/>
        <v/>
      </c>
      <c r="BG30" s="344"/>
      <c r="BH30" s="38" t="str">
        <f t="shared" si="67"/>
        <v/>
      </c>
      <c r="BI30" s="238">
        <v>0</v>
      </c>
      <c r="BJ30" s="54" t="str">
        <f t="shared" si="68"/>
        <v/>
      </c>
      <c r="BK30" s="467">
        <f>+Расходы!I256/1000</f>
        <v>0</v>
      </c>
      <c r="BL30" s="54" t="str">
        <f t="shared" si="69"/>
        <v/>
      </c>
      <c r="BM30" s="468" t="str">
        <f t="shared" si="70"/>
        <v/>
      </c>
      <c r="BN30" s="468" t="str">
        <f t="shared" si="71"/>
        <v/>
      </c>
      <c r="BO30" s="344"/>
      <c r="BP30" s="38" t="str">
        <f t="shared" si="72"/>
        <v/>
      </c>
      <c r="BQ30" s="238">
        <v>0</v>
      </c>
      <c r="BR30" s="54" t="str">
        <f t="shared" si="73"/>
        <v/>
      </c>
      <c r="BS30" s="467">
        <f>+Расходы!J256/1000</f>
        <v>0</v>
      </c>
      <c r="BT30" s="54" t="str">
        <f t="shared" si="74"/>
        <v/>
      </c>
      <c r="BU30" s="468" t="str">
        <f t="shared" si="75"/>
        <v/>
      </c>
      <c r="BV30" s="468" t="str">
        <f t="shared" si="76"/>
        <v/>
      </c>
      <c r="BW30" s="344"/>
      <c r="BX30" s="38" t="str">
        <f t="shared" si="77"/>
        <v/>
      </c>
      <c r="BY30" s="238">
        <v>0</v>
      </c>
      <c r="BZ30" s="54" t="str">
        <f t="shared" si="78"/>
        <v/>
      </c>
      <c r="CA30" s="467">
        <f>+Расходы!K256/1000</f>
        <v>0</v>
      </c>
      <c r="CB30" s="54" t="str">
        <f t="shared" si="79"/>
        <v/>
      </c>
      <c r="CC30" s="468" t="str">
        <f t="shared" si="80"/>
        <v/>
      </c>
      <c r="CD30" s="468" t="str">
        <f t="shared" si="81"/>
        <v/>
      </c>
      <c r="CE30" s="344"/>
      <c r="CF30" s="38" t="str">
        <f t="shared" si="82"/>
        <v/>
      </c>
      <c r="CG30" s="238">
        <v>0</v>
      </c>
      <c r="CH30" s="54" t="str">
        <f t="shared" si="83"/>
        <v/>
      </c>
      <c r="CI30" s="467">
        <f>+Расходы!L256/1000</f>
        <v>0</v>
      </c>
      <c r="CJ30" s="54" t="str">
        <f t="shared" si="84"/>
        <v/>
      </c>
      <c r="CK30" s="468" t="str">
        <f t="shared" si="85"/>
        <v/>
      </c>
      <c r="CL30" s="468" t="str">
        <f t="shared" si="86"/>
        <v/>
      </c>
      <c r="CM30" s="344"/>
      <c r="CN30" s="38" t="str">
        <f t="shared" si="87"/>
        <v/>
      </c>
      <c r="CO30" s="238">
        <v>0</v>
      </c>
      <c r="CP30" s="54" t="str">
        <f t="shared" si="88"/>
        <v/>
      </c>
      <c r="CQ30" s="467">
        <f>+Расходы!M256/1000</f>
        <v>0</v>
      </c>
      <c r="CR30" s="54" t="str">
        <f t="shared" si="89"/>
        <v/>
      </c>
      <c r="CS30" s="468" t="str">
        <f t="shared" si="90"/>
        <v/>
      </c>
      <c r="CT30" s="468" t="str">
        <f t="shared" si="91"/>
        <v/>
      </c>
      <c r="CU30" s="344">
        <f t="shared" si="24"/>
        <v>0</v>
      </c>
      <c r="CV30" s="38" t="str">
        <f t="shared" si="25"/>
        <v/>
      </c>
      <c r="CW30" s="238">
        <f t="shared" si="26"/>
        <v>0</v>
      </c>
      <c r="CX30" s="54">
        <f t="shared" si="27"/>
        <v>0</v>
      </c>
      <c r="CY30" s="467">
        <f t="shared" si="28"/>
        <v>0</v>
      </c>
      <c r="CZ30" s="54">
        <f t="shared" si="29"/>
        <v>0</v>
      </c>
      <c r="DA30" s="468" t="str">
        <f t="shared" si="30"/>
        <v/>
      </c>
      <c r="DB30" s="468" t="str">
        <f t="shared" si="31"/>
        <v/>
      </c>
    </row>
    <row r="31" spans="2:106" s="103" customFormat="1" ht="13.9" customHeight="1" outlineLevel="2">
      <c r="B31" s="104" t="str">
        <f>+Расходы!A257</f>
        <v>Дегустация кухня</v>
      </c>
      <c r="C31" s="238"/>
      <c r="D31" s="34" t="str">
        <f t="shared" si="32"/>
        <v/>
      </c>
      <c r="E31" s="238"/>
      <c r="F31" s="54" t="str">
        <f t="shared" si="33"/>
        <v/>
      </c>
      <c r="G31" s="467">
        <f>+Расходы!B257/1000</f>
        <v>0</v>
      </c>
      <c r="H31" s="54" t="str">
        <f t="shared" si="34"/>
        <v/>
      </c>
      <c r="I31" s="468" t="str">
        <f t="shared" si="35"/>
        <v/>
      </c>
      <c r="J31" s="468" t="str">
        <f t="shared" si="36"/>
        <v/>
      </c>
      <c r="K31" s="238"/>
      <c r="L31" s="34" t="str">
        <f t="shared" si="37"/>
        <v/>
      </c>
      <c r="M31" s="238"/>
      <c r="N31" s="54" t="str">
        <f t="shared" si="38"/>
        <v/>
      </c>
      <c r="O31" s="467">
        <f>+Расходы!C257/1000</f>
        <v>0</v>
      </c>
      <c r="P31" s="54" t="str">
        <f t="shared" si="39"/>
        <v/>
      </c>
      <c r="Q31" s="468" t="str">
        <f t="shared" si="40"/>
        <v/>
      </c>
      <c r="R31" s="468" t="str">
        <f t="shared" si="41"/>
        <v/>
      </c>
      <c r="S31" s="238"/>
      <c r="T31" s="34" t="str">
        <f t="shared" si="42"/>
        <v/>
      </c>
      <c r="U31" s="238">
        <v>0</v>
      </c>
      <c r="V31" s="54" t="str">
        <f t="shared" si="43"/>
        <v/>
      </c>
      <c r="W31" s="467">
        <f>+Расходы!D257/1000</f>
        <v>0</v>
      </c>
      <c r="X31" s="54" t="str">
        <f t="shared" si="44"/>
        <v/>
      </c>
      <c r="Y31" s="468" t="str">
        <f t="shared" si="45"/>
        <v/>
      </c>
      <c r="Z31" s="468" t="str">
        <f t="shared" si="46"/>
        <v/>
      </c>
      <c r="AA31" s="238"/>
      <c r="AB31" s="34" t="str">
        <f t="shared" si="47"/>
        <v/>
      </c>
      <c r="AC31" s="238">
        <v>0</v>
      </c>
      <c r="AD31" s="54" t="str">
        <f t="shared" si="48"/>
        <v/>
      </c>
      <c r="AE31" s="467">
        <f>+Расходы!E257/1000</f>
        <v>0</v>
      </c>
      <c r="AF31" s="54" t="str">
        <f t="shared" si="49"/>
        <v/>
      </c>
      <c r="AG31" s="468" t="str">
        <f t="shared" si="50"/>
        <v/>
      </c>
      <c r="AH31" s="468" t="str">
        <f t="shared" si="51"/>
        <v/>
      </c>
      <c r="AI31" s="238"/>
      <c r="AJ31" s="34" t="str">
        <f t="shared" si="52"/>
        <v/>
      </c>
      <c r="AK31" s="238">
        <v>0</v>
      </c>
      <c r="AL31" s="54" t="str">
        <f t="shared" si="53"/>
        <v/>
      </c>
      <c r="AM31" s="467">
        <f>+Расходы!F257/1000</f>
        <v>0</v>
      </c>
      <c r="AN31" s="54" t="str">
        <f t="shared" si="54"/>
        <v/>
      </c>
      <c r="AO31" s="468" t="str">
        <f t="shared" si="55"/>
        <v/>
      </c>
      <c r="AP31" s="468" t="str">
        <f t="shared" si="56"/>
        <v/>
      </c>
      <c r="AQ31" s="344"/>
      <c r="AR31" s="38" t="str">
        <f t="shared" si="57"/>
        <v/>
      </c>
      <c r="AS31" s="238">
        <v>0</v>
      </c>
      <c r="AT31" s="54" t="str">
        <f t="shared" si="58"/>
        <v/>
      </c>
      <c r="AU31" s="467">
        <f>+Расходы!G257/1000</f>
        <v>0</v>
      </c>
      <c r="AV31" s="54" t="str">
        <f t="shared" si="59"/>
        <v/>
      </c>
      <c r="AW31" s="468" t="str">
        <f t="shared" si="60"/>
        <v/>
      </c>
      <c r="AX31" s="468" t="str">
        <f t="shared" si="61"/>
        <v/>
      </c>
      <c r="AY31" s="344"/>
      <c r="AZ31" s="38" t="str">
        <f t="shared" si="62"/>
        <v/>
      </c>
      <c r="BA31" s="238">
        <v>0</v>
      </c>
      <c r="BB31" s="54" t="str">
        <f t="shared" si="63"/>
        <v/>
      </c>
      <c r="BC31" s="467">
        <f>+Расходы!H257/1000</f>
        <v>0</v>
      </c>
      <c r="BD31" s="54" t="str">
        <f t="shared" si="64"/>
        <v/>
      </c>
      <c r="BE31" s="468" t="str">
        <f t="shared" si="65"/>
        <v/>
      </c>
      <c r="BF31" s="468" t="str">
        <f t="shared" si="66"/>
        <v/>
      </c>
      <c r="BG31" s="344"/>
      <c r="BH31" s="38" t="str">
        <f t="shared" si="67"/>
        <v/>
      </c>
      <c r="BI31" s="238">
        <v>0</v>
      </c>
      <c r="BJ31" s="54" t="str">
        <f t="shared" si="68"/>
        <v/>
      </c>
      <c r="BK31" s="467">
        <f>+Расходы!I257/1000</f>
        <v>0</v>
      </c>
      <c r="BL31" s="54" t="str">
        <f t="shared" si="69"/>
        <v/>
      </c>
      <c r="BM31" s="468" t="str">
        <f t="shared" si="70"/>
        <v/>
      </c>
      <c r="BN31" s="468" t="str">
        <f t="shared" si="71"/>
        <v/>
      </c>
      <c r="BO31" s="344"/>
      <c r="BP31" s="38" t="str">
        <f t="shared" si="72"/>
        <v/>
      </c>
      <c r="BQ31" s="238">
        <v>0</v>
      </c>
      <c r="BR31" s="54" t="str">
        <f t="shared" si="73"/>
        <v/>
      </c>
      <c r="BS31" s="467">
        <f>+Расходы!J257/1000</f>
        <v>0</v>
      </c>
      <c r="BT31" s="54" t="str">
        <f t="shared" si="74"/>
        <v/>
      </c>
      <c r="BU31" s="468" t="str">
        <f t="shared" si="75"/>
        <v/>
      </c>
      <c r="BV31" s="468" t="str">
        <f t="shared" si="76"/>
        <v/>
      </c>
      <c r="BW31" s="344"/>
      <c r="BX31" s="38" t="str">
        <f t="shared" si="77"/>
        <v/>
      </c>
      <c r="BY31" s="238">
        <v>0</v>
      </c>
      <c r="BZ31" s="54" t="str">
        <f t="shared" si="78"/>
        <v/>
      </c>
      <c r="CA31" s="467">
        <f>+Расходы!K257/1000</f>
        <v>0</v>
      </c>
      <c r="CB31" s="54" t="str">
        <f t="shared" si="79"/>
        <v/>
      </c>
      <c r="CC31" s="468" t="str">
        <f t="shared" si="80"/>
        <v/>
      </c>
      <c r="CD31" s="468" t="str">
        <f t="shared" si="81"/>
        <v/>
      </c>
      <c r="CE31" s="344"/>
      <c r="CF31" s="38" t="str">
        <f t="shared" si="82"/>
        <v/>
      </c>
      <c r="CG31" s="238">
        <v>0</v>
      </c>
      <c r="CH31" s="54" t="str">
        <f t="shared" si="83"/>
        <v/>
      </c>
      <c r="CI31" s="467">
        <f>+Расходы!L257/1000</f>
        <v>0</v>
      </c>
      <c r="CJ31" s="54" t="str">
        <f t="shared" si="84"/>
        <v/>
      </c>
      <c r="CK31" s="468" t="str">
        <f t="shared" si="85"/>
        <v/>
      </c>
      <c r="CL31" s="468" t="str">
        <f t="shared" si="86"/>
        <v/>
      </c>
      <c r="CM31" s="344"/>
      <c r="CN31" s="38" t="str">
        <f t="shared" si="87"/>
        <v/>
      </c>
      <c r="CO31" s="238">
        <v>0</v>
      </c>
      <c r="CP31" s="54" t="str">
        <f t="shared" si="88"/>
        <v/>
      </c>
      <c r="CQ31" s="467">
        <f>+Расходы!M257/1000</f>
        <v>0</v>
      </c>
      <c r="CR31" s="54" t="str">
        <f t="shared" si="89"/>
        <v/>
      </c>
      <c r="CS31" s="468" t="str">
        <f t="shared" si="90"/>
        <v/>
      </c>
      <c r="CT31" s="468" t="str">
        <f t="shared" si="91"/>
        <v/>
      </c>
      <c r="CU31" s="344">
        <f t="shared" si="24"/>
        <v>0</v>
      </c>
      <c r="CV31" s="38" t="str">
        <f t="shared" si="25"/>
        <v/>
      </c>
      <c r="CW31" s="238">
        <f t="shared" si="26"/>
        <v>0</v>
      </c>
      <c r="CX31" s="54">
        <f t="shared" si="27"/>
        <v>0</v>
      </c>
      <c r="CY31" s="467">
        <f t="shared" si="28"/>
        <v>0</v>
      </c>
      <c r="CZ31" s="54">
        <f t="shared" si="29"/>
        <v>0</v>
      </c>
      <c r="DA31" s="468" t="str">
        <f t="shared" si="30"/>
        <v/>
      </c>
      <c r="DB31" s="468" t="str">
        <f t="shared" si="31"/>
        <v/>
      </c>
    </row>
    <row r="32" spans="2:106" s="103" customFormat="1" ht="13.9" customHeight="1" outlineLevel="2">
      <c r="B32" s="104" t="str">
        <f>+Расходы!A258</f>
        <v>Излишки кухня</v>
      </c>
      <c r="C32" s="238"/>
      <c r="D32" s="34" t="str">
        <f t="shared" si="32"/>
        <v/>
      </c>
      <c r="E32" s="238"/>
      <c r="F32" s="54" t="str">
        <f t="shared" si="33"/>
        <v/>
      </c>
      <c r="G32" s="467">
        <f>+Расходы!B258/1000</f>
        <v>0</v>
      </c>
      <c r="H32" s="54" t="str">
        <f t="shared" si="34"/>
        <v/>
      </c>
      <c r="I32" s="468" t="str">
        <f t="shared" si="35"/>
        <v/>
      </c>
      <c r="J32" s="468" t="str">
        <f t="shared" si="36"/>
        <v/>
      </c>
      <c r="K32" s="238"/>
      <c r="L32" s="34" t="str">
        <f t="shared" si="37"/>
        <v/>
      </c>
      <c r="M32" s="238"/>
      <c r="N32" s="54" t="str">
        <f t="shared" si="38"/>
        <v/>
      </c>
      <c r="O32" s="467">
        <f>+Расходы!C258/1000</f>
        <v>0</v>
      </c>
      <c r="P32" s="54" t="str">
        <f t="shared" si="39"/>
        <v/>
      </c>
      <c r="Q32" s="468" t="str">
        <f t="shared" si="40"/>
        <v/>
      </c>
      <c r="R32" s="468" t="str">
        <f t="shared" si="41"/>
        <v/>
      </c>
      <c r="S32" s="238"/>
      <c r="T32" s="34" t="str">
        <f t="shared" si="42"/>
        <v/>
      </c>
      <c r="U32" s="238">
        <v>0</v>
      </c>
      <c r="V32" s="54" t="str">
        <f t="shared" si="43"/>
        <v/>
      </c>
      <c r="W32" s="467">
        <f>+Расходы!D258/1000</f>
        <v>-27.988169999999997</v>
      </c>
      <c r="X32" s="54">
        <f t="shared" si="44"/>
        <v>-4.7198384458422568E-3</v>
      </c>
      <c r="Y32" s="468" t="str">
        <f t="shared" si="45"/>
        <v/>
      </c>
      <c r="Z32" s="468" t="str">
        <f t="shared" si="46"/>
        <v/>
      </c>
      <c r="AA32" s="238"/>
      <c r="AB32" s="34" t="str">
        <f t="shared" si="47"/>
        <v/>
      </c>
      <c r="AC32" s="238">
        <v>0</v>
      </c>
      <c r="AD32" s="54" t="str">
        <f t="shared" si="48"/>
        <v/>
      </c>
      <c r="AE32" s="467">
        <f>+Расходы!E258/1000</f>
        <v>-95.472839999999991</v>
      </c>
      <c r="AF32" s="54">
        <f t="shared" si="49"/>
        <v>-6.9621124172330297E-3</v>
      </c>
      <c r="AG32" s="468" t="str">
        <f t="shared" si="50"/>
        <v/>
      </c>
      <c r="AH32" s="468" t="str">
        <f t="shared" si="51"/>
        <v/>
      </c>
      <c r="AI32" s="238"/>
      <c r="AJ32" s="34" t="str">
        <f t="shared" si="52"/>
        <v/>
      </c>
      <c r="AK32" s="238">
        <v>0</v>
      </c>
      <c r="AL32" s="54" t="str">
        <f t="shared" si="53"/>
        <v/>
      </c>
      <c r="AM32" s="467">
        <f>+Расходы!F258/1000</f>
        <v>-99.079139999999995</v>
      </c>
      <c r="AN32" s="54">
        <f t="shared" si="54"/>
        <v>-6.3057166259668194E-3</v>
      </c>
      <c r="AO32" s="468" t="str">
        <f t="shared" si="55"/>
        <v/>
      </c>
      <c r="AP32" s="468" t="str">
        <f t="shared" si="56"/>
        <v/>
      </c>
      <c r="AQ32" s="344"/>
      <c r="AR32" s="38" t="str">
        <f t="shared" si="57"/>
        <v/>
      </c>
      <c r="AS32" s="238">
        <v>0</v>
      </c>
      <c r="AT32" s="54" t="str">
        <f t="shared" si="58"/>
        <v/>
      </c>
      <c r="AU32" s="467">
        <f>+Расходы!G258/1000</f>
        <v>-98.996949999999998</v>
      </c>
      <c r="AV32" s="54">
        <f t="shared" si="59"/>
        <v>-6.9455210918471025E-3</v>
      </c>
      <c r="AW32" s="468" t="str">
        <f t="shared" si="60"/>
        <v/>
      </c>
      <c r="AX32" s="468" t="str">
        <f t="shared" si="61"/>
        <v/>
      </c>
      <c r="AY32" s="344"/>
      <c r="AZ32" s="38" t="str">
        <f t="shared" si="62"/>
        <v/>
      </c>
      <c r="BA32" s="238">
        <v>0</v>
      </c>
      <c r="BB32" s="54" t="str">
        <f t="shared" si="63"/>
        <v/>
      </c>
      <c r="BC32" s="467">
        <f>+Расходы!H258/1000</f>
        <v>0</v>
      </c>
      <c r="BD32" s="54" t="str">
        <f t="shared" si="64"/>
        <v/>
      </c>
      <c r="BE32" s="468" t="str">
        <f t="shared" si="65"/>
        <v/>
      </c>
      <c r="BF32" s="468" t="str">
        <f t="shared" si="66"/>
        <v/>
      </c>
      <c r="BG32" s="344"/>
      <c r="BH32" s="38" t="str">
        <f t="shared" si="67"/>
        <v/>
      </c>
      <c r="BI32" s="238">
        <v>0</v>
      </c>
      <c r="BJ32" s="54" t="str">
        <f t="shared" si="68"/>
        <v/>
      </c>
      <c r="BK32" s="467">
        <f>+Расходы!I258/1000</f>
        <v>0</v>
      </c>
      <c r="BL32" s="54" t="str">
        <f t="shared" si="69"/>
        <v/>
      </c>
      <c r="BM32" s="468" t="str">
        <f t="shared" si="70"/>
        <v/>
      </c>
      <c r="BN32" s="468" t="str">
        <f t="shared" si="71"/>
        <v/>
      </c>
      <c r="BO32" s="344"/>
      <c r="BP32" s="38" t="str">
        <f t="shared" si="72"/>
        <v/>
      </c>
      <c r="BQ32" s="238">
        <v>0</v>
      </c>
      <c r="BR32" s="54" t="str">
        <f t="shared" si="73"/>
        <v/>
      </c>
      <c r="BS32" s="467">
        <f>+Расходы!J258/1000</f>
        <v>0</v>
      </c>
      <c r="BT32" s="54" t="str">
        <f t="shared" si="74"/>
        <v/>
      </c>
      <c r="BU32" s="468" t="str">
        <f t="shared" si="75"/>
        <v/>
      </c>
      <c r="BV32" s="468" t="str">
        <f t="shared" si="76"/>
        <v/>
      </c>
      <c r="BW32" s="344"/>
      <c r="BX32" s="38" t="str">
        <f t="shared" si="77"/>
        <v/>
      </c>
      <c r="BY32" s="238">
        <v>0</v>
      </c>
      <c r="BZ32" s="54" t="str">
        <f t="shared" si="78"/>
        <v/>
      </c>
      <c r="CA32" s="467">
        <f>+Расходы!K258/1000</f>
        <v>0</v>
      </c>
      <c r="CB32" s="54" t="str">
        <f t="shared" si="79"/>
        <v/>
      </c>
      <c r="CC32" s="468" t="str">
        <f t="shared" si="80"/>
        <v/>
      </c>
      <c r="CD32" s="468" t="str">
        <f t="shared" si="81"/>
        <v/>
      </c>
      <c r="CE32" s="344"/>
      <c r="CF32" s="38" t="str">
        <f t="shared" si="82"/>
        <v/>
      </c>
      <c r="CG32" s="238">
        <v>0</v>
      </c>
      <c r="CH32" s="54" t="str">
        <f t="shared" si="83"/>
        <v/>
      </c>
      <c r="CI32" s="467">
        <f>+Расходы!L258/1000</f>
        <v>0</v>
      </c>
      <c r="CJ32" s="54" t="str">
        <f t="shared" si="84"/>
        <v/>
      </c>
      <c r="CK32" s="468" t="str">
        <f t="shared" si="85"/>
        <v/>
      </c>
      <c r="CL32" s="468" t="str">
        <f t="shared" si="86"/>
        <v/>
      </c>
      <c r="CM32" s="344"/>
      <c r="CN32" s="38" t="str">
        <f t="shared" si="87"/>
        <v/>
      </c>
      <c r="CO32" s="238">
        <v>0</v>
      </c>
      <c r="CP32" s="54" t="str">
        <f t="shared" si="88"/>
        <v/>
      </c>
      <c r="CQ32" s="467">
        <f>+Расходы!M258/1000</f>
        <v>0</v>
      </c>
      <c r="CR32" s="54" t="str">
        <f t="shared" si="89"/>
        <v/>
      </c>
      <c r="CS32" s="468" t="str">
        <f t="shared" si="90"/>
        <v/>
      </c>
      <c r="CT32" s="468" t="str">
        <f t="shared" si="91"/>
        <v/>
      </c>
      <c r="CU32" s="344">
        <f t="shared" si="24"/>
        <v>0</v>
      </c>
      <c r="CV32" s="38" t="str">
        <f t="shared" si="25"/>
        <v/>
      </c>
      <c r="CW32" s="238">
        <f t="shared" si="26"/>
        <v>0</v>
      </c>
      <c r="CX32" s="54">
        <f t="shared" si="27"/>
        <v>0</v>
      </c>
      <c r="CY32" s="467">
        <f t="shared" si="28"/>
        <v>-321.53710000000001</v>
      </c>
      <c r="CZ32" s="54">
        <f t="shared" si="29"/>
        <v>-6.4814214005870421E-3</v>
      </c>
      <c r="DA32" s="468" t="str">
        <f t="shared" si="30"/>
        <v/>
      </c>
      <c r="DB32" s="468" t="str">
        <f t="shared" si="31"/>
        <v/>
      </c>
    </row>
    <row r="33" spans="2:106" s="103" customFormat="1" ht="13.9" customHeight="1" outlineLevel="2">
      <c r="B33" s="104" t="str">
        <f>+Расходы!A259</f>
        <v>Недостача кухня</v>
      </c>
      <c r="C33" s="238"/>
      <c r="D33" s="34" t="str">
        <f t="shared" si="32"/>
        <v/>
      </c>
      <c r="E33" s="238"/>
      <c r="F33" s="54" t="str">
        <f t="shared" si="33"/>
        <v/>
      </c>
      <c r="G33" s="467">
        <f>+Расходы!B259/1000</f>
        <v>0</v>
      </c>
      <c r="H33" s="54" t="str">
        <f t="shared" si="34"/>
        <v/>
      </c>
      <c r="I33" s="468" t="str">
        <f t="shared" si="35"/>
        <v/>
      </c>
      <c r="J33" s="468" t="str">
        <f t="shared" si="36"/>
        <v/>
      </c>
      <c r="K33" s="238"/>
      <c r="L33" s="34" t="str">
        <f t="shared" si="37"/>
        <v/>
      </c>
      <c r="M33" s="238"/>
      <c r="N33" s="54" t="str">
        <f t="shared" si="38"/>
        <v/>
      </c>
      <c r="O33" s="467">
        <f>+Расходы!C259/1000</f>
        <v>0</v>
      </c>
      <c r="P33" s="54" t="str">
        <f t="shared" si="39"/>
        <v/>
      </c>
      <c r="Q33" s="468" t="str">
        <f t="shared" si="40"/>
        <v/>
      </c>
      <c r="R33" s="468" t="str">
        <f t="shared" si="41"/>
        <v/>
      </c>
      <c r="S33" s="238"/>
      <c r="T33" s="34" t="str">
        <f t="shared" si="42"/>
        <v/>
      </c>
      <c r="U33" s="238">
        <v>0</v>
      </c>
      <c r="V33" s="54" t="str">
        <f t="shared" si="43"/>
        <v/>
      </c>
      <c r="W33" s="467">
        <f>+Расходы!E259/1000</f>
        <v>170.31923</v>
      </c>
      <c r="X33" s="54">
        <f t="shared" si="44"/>
        <v>2.8722108298622238E-2</v>
      </c>
      <c r="Y33" s="468" t="str">
        <f t="shared" si="45"/>
        <v/>
      </c>
      <c r="Z33" s="468" t="str">
        <f t="shared" si="46"/>
        <v/>
      </c>
      <c r="AA33" s="238"/>
      <c r="AB33" s="34" t="str">
        <f t="shared" si="47"/>
        <v/>
      </c>
      <c r="AC33" s="238">
        <v>0</v>
      </c>
      <c r="AD33" s="54" t="str">
        <f t="shared" si="48"/>
        <v/>
      </c>
      <c r="AE33" s="467">
        <f>+Расходы!E259/1000</f>
        <v>170.31923</v>
      </c>
      <c r="AF33" s="54">
        <f t="shared" si="49"/>
        <v>1.2420093778257445E-2</v>
      </c>
      <c r="AG33" s="468" t="str">
        <f t="shared" si="50"/>
        <v/>
      </c>
      <c r="AH33" s="468" t="str">
        <f t="shared" si="51"/>
        <v/>
      </c>
      <c r="AI33" s="238"/>
      <c r="AJ33" s="34" t="str">
        <f t="shared" si="52"/>
        <v/>
      </c>
      <c r="AK33" s="238">
        <v>0</v>
      </c>
      <c r="AL33" s="54" t="str">
        <f t="shared" si="53"/>
        <v/>
      </c>
      <c r="AM33" s="467">
        <f>+Расходы!F259/1000</f>
        <v>157.02642</v>
      </c>
      <c r="AN33" s="54">
        <f t="shared" si="54"/>
        <v>9.9936687713483262E-3</v>
      </c>
      <c r="AO33" s="468" t="str">
        <f t="shared" si="55"/>
        <v/>
      </c>
      <c r="AP33" s="468" t="str">
        <f t="shared" si="56"/>
        <v/>
      </c>
      <c r="AQ33" s="344"/>
      <c r="AR33" s="38" t="str">
        <f t="shared" si="57"/>
        <v/>
      </c>
      <c r="AS33" s="238">
        <v>0</v>
      </c>
      <c r="AT33" s="54" t="str">
        <f t="shared" si="58"/>
        <v/>
      </c>
      <c r="AU33" s="467">
        <f>+Расходы!G259/1000</f>
        <v>95.806330000000003</v>
      </c>
      <c r="AV33" s="54">
        <f t="shared" si="59"/>
        <v>6.7216705741688391E-3</v>
      </c>
      <c r="AW33" s="468" t="str">
        <f t="shared" si="60"/>
        <v/>
      </c>
      <c r="AX33" s="468" t="str">
        <f t="shared" si="61"/>
        <v/>
      </c>
      <c r="AY33" s="344"/>
      <c r="AZ33" s="38" t="str">
        <f t="shared" si="62"/>
        <v/>
      </c>
      <c r="BA33" s="238">
        <v>0</v>
      </c>
      <c r="BB33" s="54" t="str">
        <f t="shared" si="63"/>
        <v/>
      </c>
      <c r="BC33" s="467">
        <f>+Расходы!H259/1000</f>
        <v>0</v>
      </c>
      <c r="BD33" s="54" t="str">
        <f t="shared" si="64"/>
        <v/>
      </c>
      <c r="BE33" s="468" t="str">
        <f t="shared" si="65"/>
        <v/>
      </c>
      <c r="BF33" s="468" t="str">
        <f t="shared" si="66"/>
        <v/>
      </c>
      <c r="BG33" s="344"/>
      <c r="BH33" s="38" t="str">
        <f t="shared" si="67"/>
        <v/>
      </c>
      <c r="BI33" s="238">
        <v>0</v>
      </c>
      <c r="BJ33" s="54" t="str">
        <f t="shared" si="68"/>
        <v/>
      </c>
      <c r="BK33" s="467">
        <f>+Расходы!I259/1000</f>
        <v>0</v>
      </c>
      <c r="BL33" s="54" t="str">
        <f t="shared" si="69"/>
        <v/>
      </c>
      <c r="BM33" s="468" t="str">
        <f t="shared" si="70"/>
        <v/>
      </c>
      <c r="BN33" s="468" t="str">
        <f t="shared" si="71"/>
        <v/>
      </c>
      <c r="BO33" s="344"/>
      <c r="BP33" s="38" t="str">
        <f t="shared" si="72"/>
        <v/>
      </c>
      <c r="BQ33" s="238">
        <v>0</v>
      </c>
      <c r="BR33" s="54" t="str">
        <f t="shared" si="73"/>
        <v/>
      </c>
      <c r="BS33" s="467">
        <f>+Расходы!J259/1000</f>
        <v>0</v>
      </c>
      <c r="BT33" s="54" t="str">
        <f t="shared" si="74"/>
        <v/>
      </c>
      <c r="BU33" s="468" t="str">
        <f t="shared" si="75"/>
        <v/>
      </c>
      <c r="BV33" s="468" t="str">
        <f t="shared" si="76"/>
        <v/>
      </c>
      <c r="BW33" s="344"/>
      <c r="BX33" s="38" t="str">
        <f t="shared" si="77"/>
        <v/>
      </c>
      <c r="BY33" s="238">
        <v>0</v>
      </c>
      <c r="BZ33" s="54" t="str">
        <f t="shared" si="78"/>
        <v/>
      </c>
      <c r="CA33" s="467">
        <f>+Расходы!K259/1000</f>
        <v>0</v>
      </c>
      <c r="CB33" s="54" t="str">
        <f t="shared" si="79"/>
        <v/>
      </c>
      <c r="CC33" s="468" t="str">
        <f t="shared" si="80"/>
        <v/>
      </c>
      <c r="CD33" s="468" t="str">
        <f t="shared" si="81"/>
        <v/>
      </c>
      <c r="CE33" s="344"/>
      <c r="CF33" s="38" t="str">
        <f t="shared" si="82"/>
        <v/>
      </c>
      <c r="CG33" s="238">
        <v>0</v>
      </c>
      <c r="CH33" s="54" t="str">
        <f t="shared" si="83"/>
        <v/>
      </c>
      <c r="CI33" s="467">
        <f>+Расходы!L259/1000</f>
        <v>0</v>
      </c>
      <c r="CJ33" s="54" t="str">
        <f t="shared" si="84"/>
        <v/>
      </c>
      <c r="CK33" s="468" t="str">
        <f t="shared" si="85"/>
        <v/>
      </c>
      <c r="CL33" s="468" t="str">
        <f t="shared" si="86"/>
        <v/>
      </c>
      <c r="CM33" s="344"/>
      <c r="CN33" s="38" t="str">
        <f t="shared" si="87"/>
        <v/>
      </c>
      <c r="CO33" s="238">
        <v>0</v>
      </c>
      <c r="CP33" s="54" t="str">
        <f t="shared" si="88"/>
        <v/>
      </c>
      <c r="CQ33" s="467">
        <f>+Расходы!M259/1000</f>
        <v>0</v>
      </c>
      <c r="CR33" s="54" t="str">
        <f t="shared" si="89"/>
        <v/>
      </c>
      <c r="CS33" s="468" t="str">
        <f t="shared" si="90"/>
        <v/>
      </c>
      <c r="CT33" s="468" t="str">
        <f t="shared" si="91"/>
        <v/>
      </c>
      <c r="CU33" s="344">
        <f t="shared" si="24"/>
        <v>0</v>
      </c>
      <c r="CV33" s="38" t="str">
        <f t="shared" si="25"/>
        <v/>
      </c>
      <c r="CW33" s="238">
        <f t="shared" si="26"/>
        <v>0</v>
      </c>
      <c r="CX33" s="54">
        <f t="shared" si="27"/>
        <v>0</v>
      </c>
      <c r="CY33" s="467">
        <f t="shared" si="28"/>
        <v>593.47121000000004</v>
      </c>
      <c r="CZ33" s="54">
        <f t="shared" si="29"/>
        <v>1.196296477490867E-2</v>
      </c>
      <c r="DA33" s="468" t="str">
        <f t="shared" si="30"/>
        <v/>
      </c>
      <c r="DB33" s="468" t="str">
        <f t="shared" si="31"/>
        <v/>
      </c>
    </row>
    <row r="34" spans="2:106" s="103" customFormat="1" ht="13.9" customHeight="1" outlineLevel="2">
      <c r="B34" s="104" t="str">
        <f>+Расходы!A260</f>
        <v>Проработка кухня</v>
      </c>
      <c r="C34" s="238"/>
      <c r="D34" s="34" t="str">
        <f t="shared" si="32"/>
        <v/>
      </c>
      <c r="E34" s="238"/>
      <c r="F34" s="54" t="str">
        <f t="shared" si="33"/>
        <v/>
      </c>
      <c r="G34" s="467">
        <f>+Расходы!B260/1000</f>
        <v>0</v>
      </c>
      <c r="H34" s="54" t="str">
        <f t="shared" si="34"/>
        <v/>
      </c>
      <c r="I34" s="468" t="str">
        <f t="shared" si="35"/>
        <v/>
      </c>
      <c r="J34" s="468" t="str">
        <f t="shared" si="36"/>
        <v/>
      </c>
      <c r="K34" s="238"/>
      <c r="L34" s="34" t="str">
        <f t="shared" si="37"/>
        <v/>
      </c>
      <c r="M34" s="238"/>
      <c r="N34" s="54" t="str">
        <f t="shared" si="38"/>
        <v/>
      </c>
      <c r="O34" s="467">
        <f>+Расходы!C260/1000</f>
        <v>0</v>
      </c>
      <c r="P34" s="54" t="str">
        <f t="shared" si="39"/>
        <v/>
      </c>
      <c r="Q34" s="468" t="str">
        <f t="shared" si="40"/>
        <v/>
      </c>
      <c r="R34" s="468" t="str">
        <f t="shared" si="41"/>
        <v/>
      </c>
      <c r="S34" s="238"/>
      <c r="T34" s="34" t="str">
        <f t="shared" si="42"/>
        <v/>
      </c>
      <c r="U34" s="238">
        <v>0</v>
      </c>
      <c r="V34" s="54" t="str">
        <f t="shared" si="43"/>
        <v/>
      </c>
      <c r="W34" s="467">
        <f>+Расходы!D260/1000</f>
        <v>266.23507000000001</v>
      </c>
      <c r="X34" s="54">
        <f t="shared" si="44"/>
        <v>4.4897058972326688E-2</v>
      </c>
      <c r="Y34" s="468" t="str">
        <f t="shared" si="45"/>
        <v/>
      </c>
      <c r="Z34" s="468" t="str">
        <f t="shared" si="46"/>
        <v/>
      </c>
      <c r="AA34" s="238"/>
      <c r="AB34" s="34" t="str">
        <f t="shared" si="47"/>
        <v/>
      </c>
      <c r="AC34" s="238">
        <v>0</v>
      </c>
      <c r="AD34" s="54" t="str">
        <f t="shared" si="48"/>
        <v/>
      </c>
      <c r="AE34" s="467">
        <f>+Расходы!E260/1000</f>
        <v>16.834099999999999</v>
      </c>
      <c r="AF34" s="54">
        <f t="shared" si="49"/>
        <v>1.2275836420383279E-3</v>
      </c>
      <c r="AG34" s="468" t="str">
        <f t="shared" si="50"/>
        <v/>
      </c>
      <c r="AH34" s="468" t="str">
        <f t="shared" si="51"/>
        <v/>
      </c>
      <c r="AI34" s="238"/>
      <c r="AJ34" s="34" t="str">
        <f t="shared" si="52"/>
        <v/>
      </c>
      <c r="AK34" s="238">
        <v>0</v>
      </c>
      <c r="AL34" s="54" t="str">
        <f t="shared" si="53"/>
        <v/>
      </c>
      <c r="AM34" s="467">
        <f>+Расходы!F260/1000</f>
        <v>10.699549999999999</v>
      </c>
      <c r="AN34" s="54">
        <f t="shared" si="54"/>
        <v>6.8095393566560314E-4</v>
      </c>
      <c r="AO34" s="468" t="str">
        <f t="shared" si="55"/>
        <v/>
      </c>
      <c r="AP34" s="468" t="str">
        <f t="shared" si="56"/>
        <v/>
      </c>
      <c r="AQ34" s="344"/>
      <c r="AR34" s="38" t="str">
        <f t="shared" si="57"/>
        <v/>
      </c>
      <c r="AS34" s="238">
        <v>0</v>
      </c>
      <c r="AT34" s="54" t="str">
        <f t="shared" si="58"/>
        <v/>
      </c>
      <c r="AU34" s="467">
        <f>+Расходы!G260/1000</f>
        <v>2.1679299999999997</v>
      </c>
      <c r="AV34" s="54">
        <f t="shared" si="59"/>
        <v>1.5209967115803152E-4</v>
      </c>
      <c r="AW34" s="468" t="str">
        <f t="shared" si="60"/>
        <v/>
      </c>
      <c r="AX34" s="468" t="str">
        <f t="shared" si="61"/>
        <v/>
      </c>
      <c r="AY34" s="344"/>
      <c r="AZ34" s="38" t="str">
        <f t="shared" si="62"/>
        <v/>
      </c>
      <c r="BA34" s="238">
        <v>0</v>
      </c>
      <c r="BB34" s="54" t="str">
        <f t="shared" si="63"/>
        <v/>
      </c>
      <c r="BC34" s="467">
        <f>+Расходы!H260/1000</f>
        <v>0</v>
      </c>
      <c r="BD34" s="54" t="str">
        <f t="shared" si="64"/>
        <v/>
      </c>
      <c r="BE34" s="468" t="str">
        <f t="shared" si="65"/>
        <v/>
      </c>
      <c r="BF34" s="468" t="str">
        <f t="shared" si="66"/>
        <v/>
      </c>
      <c r="BG34" s="344"/>
      <c r="BH34" s="38" t="str">
        <f t="shared" si="67"/>
        <v/>
      </c>
      <c r="BI34" s="238">
        <v>0</v>
      </c>
      <c r="BJ34" s="54" t="str">
        <f t="shared" si="68"/>
        <v/>
      </c>
      <c r="BK34" s="467">
        <f>+Расходы!I260/1000</f>
        <v>0</v>
      </c>
      <c r="BL34" s="54" t="str">
        <f t="shared" si="69"/>
        <v/>
      </c>
      <c r="BM34" s="468" t="str">
        <f t="shared" si="70"/>
        <v/>
      </c>
      <c r="BN34" s="468" t="str">
        <f t="shared" si="71"/>
        <v/>
      </c>
      <c r="BO34" s="344"/>
      <c r="BP34" s="38" t="str">
        <f t="shared" si="72"/>
        <v/>
      </c>
      <c r="BQ34" s="238">
        <v>0</v>
      </c>
      <c r="BR34" s="54" t="str">
        <f t="shared" si="73"/>
        <v/>
      </c>
      <c r="BS34" s="467">
        <f>+Расходы!J260/1000</f>
        <v>0</v>
      </c>
      <c r="BT34" s="54" t="str">
        <f t="shared" si="74"/>
        <v/>
      </c>
      <c r="BU34" s="468" t="str">
        <f t="shared" si="75"/>
        <v/>
      </c>
      <c r="BV34" s="468" t="str">
        <f t="shared" si="76"/>
        <v/>
      </c>
      <c r="BW34" s="344"/>
      <c r="BX34" s="38" t="str">
        <f t="shared" si="77"/>
        <v/>
      </c>
      <c r="BY34" s="238">
        <v>0</v>
      </c>
      <c r="BZ34" s="54" t="str">
        <f t="shared" si="78"/>
        <v/>
      </c>
      <c r="CA34" s="467">
        <f>+Расходы!K260/1000</f>
        <v>0</v>
      </c>
      <c r="CB34" s="54" t="str">
        <f t="shared" si="79"/>
        <v/>
      </c>
      <c r="CC34" s="468" t="str">
        <f t="shared" si="80"/>
        <v/>
      </c>
      <c r="CD34" s="468" t="str">
        <f t="shared" si="81"/>
        <v/>
      </c>
      <c r="CE34" s="344"/>
      <c r="CF34" s="38" t="str">
        <f t="shared" si="82"/>
        <v/>
      </c>
      <c r="CG34" s="238">
        <v>0</v>
      </c>
      <c r="CH34" s="54" t="str">
        <f t="shared" si="83"/>
        <v/>
      </c>
      <c r="CI34" s="467">
        <f>+Расходы!L260/1000</f>
        <v>0</v>
      </c>
      <c r="CJ34" s="54" t="str">
        <f t="shared" si="84"/>
        <v/>
      </c>
      <c r="CK34" s="468" t="str">
        <f t="shared" si="85"/>
        <v/>
      </c>
      <c r="CL34" s="468" t="str">
        <f t="shared" si="86"/>
        <v/>
      </c>
      <c r="CM34" s="344"/>
      <c r="CN34" s="38" t="str">
        <f t="shared" si="87"/>
        <v/>
      </c>
      <c r="CO34" s="238">
        <v>0</v>
      </c>
      <c r="CP34" s="54" t="str">
        <f t="shared" si="88"/>
        <v/>
      </c>
      <c r="CQ34" s="467">
        <f>+Расходы!M260/1000</f>
        <v>0</v>
      </c>
      <c r="CR34" s="54" t="str">
        <f t="shared" si="89"/>
        <v/>
      </c>
      <c r="CS34" s="468" t="str">
        <f t="shared" si="90"/>
        <v/>
      </c>
      <c r="CT34" s="468" t="str">
        <f t="shared" si="91"/>
        <v/>
      </c>
      <c r="CU34" s="344">
        <f t="shared" si="24"/>
        <v>0</v>
      </c>
      <c r="CV34" s="38" t="str">
        <f t="shared" si="25"/>
        <v/>
      </c>
      <c r="CW34" s="238">
        <f t="shared" si="26"/>
        <v>0</v>
      </c>
      <c r="CX34" s="54">
        <f t="shared" si="27"/>
        <v>0</v>
      </c>
      <c r="CY34" s="467">
        <f t="shared" si="28"/>
        <v>295.93664999999999</v>
      </c>
      <c r="CZ34" s="54">
        <f t="shared" si="29"/>
        <v>5.9653773593406076E-3</v>
      </c>
      <c r="DA34" s="468" t="str">
        <f t="shared" si="30"/>
        <v/>
      </c>
      <c r="DB34" s="468" t="str">
        <f t="shared" si="31"/>
        <v/>
      </c>
    </row>
    <row r="35" spans="2:106" s="103" customFormat="1" ht="13.9" customHeight="1" outlineLevel="2">
      <c r="B35" s="104" t="str">
        <f>+Расходы!A261</f>
        <v>Списание продуктов кухня</v>
      </c>
      <c r="C35" s="238"/>
      <c r="D35" s="34" t="str">
        <f t="shared" si="32"/>
        <v/>
      </c>
      <c r="E35" s="238"/>
      <c r="F35" s="54" t="str">
        <f t="shared" si="33"/>
        <v/>
      </c>
      <c r="G35" s="467">
        <f>+Расходы!B261/1000</f>
        <v>0</v>
      </c>
      <c r="H35" s="54" t="str">
        <f t="shared" si="34"/>
        <v/>
      </c>
      <c r="I35" s="468" t="str">
        <f t="shared" si="35"/>
        <v/>
      </c>
      <c r="J35" s="468" t="str">
        <f t="shared" si="36"/>
        <v/>
      </c>
      <c r="K35" s="238"/>
      <c r="L35" s="34" t="str">
        <f t="shared" si="37"/>
        <v/>
      </c>
      <c r="M35" s="238"/>
      <c r="N35" s="54" t="str">
        <f t="shared" si="38"/>
        <v/>
      </c>
      <c r="O35" s="467">
        <f>+Расходы!C261/1000</f>
        <v>0</v>
      </c>
      <c r="P35" s="54" t="str">
        <f t="shared" si="39"/>
        <v/>
      </c>
      <c r="Q35" s="468" t="str">
        <f t="shared" si="40"/>
        <v/>
      </c>
      <c r="R35" s="468" t="str">
        <f t="shared" si="41"/>
        <v/>
      </c>
      <c r="S35" s="238"/>
      <c r="T35" s="34" t="str">
        <f t="shared" si="42"/>
        <v/>
      </c>
      <c r="U35" s="238">
        <v>0</v>
      </c>
      <c r="V35" s="54" t="str">
        <f t="shared" si="43"/>
        <v/>
      </c>
      <c r="W35" s="467">
        <f>+Расходы!E261/1000</f>
        <v>90.469359999999995</v>
      </c>
      <c r="X35" s="54">
        <f t="shared" si="44"/>
        <v>1.525647312770873E-2</v>
      </c>
      <c r="Y35" s="468" t="str">
        <f t="shared" si="45"/>
        <v/>
      </c>
      <c r="Z35" s="468" t="str">
        <f t="shared" si="46"/>
        <v/>
      </c>
      <c r="AA35" s="238"/>
      <c r="AB35" s="34" t="str">
        <f t="shared" si="47"/>
        <v/>
      </c>
      <c r="AC35" s="238">
        <v>0</v>
      </c>
      <c r="AD35" s="54" t="str">
        <f t="shared" si="48"/>
        <v/>
      </c>
      <c r="AE35" s="467">
        <f>+Расходы!E261/1000</f>
        <v>90.469359999999995</v>
      </c>
      <c r="AF35" s="54">
        <f t="shared" si="49"/>
        <v>6.5972464486771859E-3</v>
      </c>
      <c r="AG35" s="468" t="str">
        <f t="shared" si="50"/>
        <v/>
      </c>
      <c r="AH35" s="468" t="str">
        <f t="shared" si="51"/>
        <v/>
      </c>
      <c r="AI35" s="238"/>
      <c r="AJ35" s="34" t="str">
        <f t="shared" si="52"/>
        <v/>
      </c>
      <c r="AK35" s="238">
        <v>0</v>
      </c>
      <c r="AL35" s="54" t="str">
        <f t="shared" si="53"/>
        <v/>
      </c>
      <c r="AM35" s="467">
        <f>+Расходы!F261/1000</f>
        <v>71.664190000000005</v>
      </c>
      <c r="AN35" s="54">
        <f t="shared" si="54"/>
        <v>4.5609406215016118E-3</v>
      </c>
      <c r="AO35" s="468" t="str">
        <f t="shared" si="55"/>
        <v/>
      </c>
      <c r="AP35" s="468" t="str">
        <f t="shared" si="56"/>
        <v/>
      </c>
      <c r="AQ35" s="344"/>
      <c r="AR35" s="38" t="str">
        <f t="shared" si="57"/>
        <v/>
      </c>
      <c r="AS35" s="238">
        <v>0</v>
      </c>
      <c r="AT35" s="54" t="str">
        <f t="shared" si="58"/>
        <v/>
      </c>
      <c r="AU35" s="467">
        <f>+Расходы!G261/1000</f>
        <v>122.59278</v>
      </c>
      <c r="AV35" s="54">
        <f t="shared" si="59"/>
        <v>8.6009795170272595E-3</v>
      </c>
      <c r="AW35" s="468" t="str">
        <f t="shared" si="60"/>
        <v/>
      </c>
      <c r="AX35" s="468" t="str">
        <f t="shared" si="61"/>
        <v/>
      </c>
      <c r="AY35" s="344"/>
      <c r="AZ35" s="38" t="str">
        <f t="shared" si="62"/>
        <v/>
      </c>
      <c r="BA35" s="238">
        <v>0</v>
      </c>
      <c r="BB35" s="54" t="str">
        <f t="shared" si="63"/>
        <v/>
      </c>
      <c r="BC35" s="467">
        <f>+Расходы!H261/1000</f>
        <v>0</v>
      </c>
      <c r="BD35" s="54" t="str">
        <f t="shared" si="64"/>
        <v/>
      </c>
      <c r="BE35" s="468" t="str">
        <f t="shared" si="65"/>
        <v/>
      </c>
      <c r="BF35" s="468" t="str">
        <f t="shared" si="66"/>
        <v/>
      </c>
      <c r="BG35" s="344"/>
      <c r="BH35" s="38" t="str">
        <f t="shared" si="67"/>
        <v/>
      </c>
      <c r="BI35" s="238">
        <v>0</v>
      </c>
      <c r="BJ35" s="54" t="str">
        <f t="shared" si="68"/>
        <v/>
      </c>
      <c r="BK35" s="467">
        <f>+Расходы!I261/1000</f>
        <v>0</v>
      </c>
      <c r="BL35" s="54" t="str">
        <f t="shared" si="69"/>
        <v/>
      </c>
      <c r="BM35" s="468" t="str">
        <f t="shared" si="70"/>
        <v/>
      </c>
      <c r="BN35" s="468" t="str">
        <f t="shared" si="71"/>
        <v/>
      </c>
      <c r="BO35" s="344"/>
      <c r="BP35" s="38" t="str">
        <f t="shared" si="72"/>
        <v/>
      </c>
      <c r="BQ35" s="238">
        <v>0</v>
      </c>
      <c r="BR35" s="54" t="str">
        <f t="shared" si="73"/>
        <v/>
      </c>
      <c r="BS35" s="467">
        <f>+Расходы!J261/1000</f>
        <v>0</v>
      </c>
      <c r="BT35" s="54" t="str">
        <f t="shared" si="74"/>
        <v/>
      </c>
      <c r="BU35" s="468" t="str">
        <f t="shared" si="75"/>
        <v/>
      </c>
      <c r="BV35" s="468" t="str">
        <f t="shared" si="76"/>
        <v/>
      </c>
      <c r="BW35" s="344"/>
      <c r="BX35" s="38" t="str">
        <f t="shared" si="77"/>
        <v/>
      </c>
      <c r="BY35" s="238">
        <v>0</v>
      </c>
      <c r="BZ35" s="54" t="str">
        <f t="shared" si="78"/>
        <v/>
      </c>
      <c r="CA35" s="467">
        <f>+Расходы!K261/1000</f>
        <v>0</v>
      </c>
      <c r="CB35" s="54" t="str">
        <f t="shared" si="79"/>
        <v/>
      </c>
      <c r="CC35" s="468" t="str">
        <f t="shared" si="80"/>
        <v/>
      </c>
      <c r="CD35" s="468" t="str">
        <f t="shared" si="81"/>
        <v/>
      </c>
      <c r="CE35" s="344"/>
      <c r="CF35" s="38" t="str">
        <f t="shared" si="82"/>
        <v/>
      </c>
      <c r="CG35" s="238">
        <v>0</v>
      </c>
      <c r="CH35" s="54" t="str">
        <f t="shared" si="83"/>
        <v/>
      </c>
      <c r="CI35" s="467">
        <f>+Расходы!L261/1000</f>
        <v>0</v>
      </c>
      <c r="CJ35" s="54" t="str">
        <f t="shared" si="84"/>
        <v/>
      </c>
      <c r="CK35" s="468" t="str">
        <f t="shared" si="85"/>
        <v/>
      </c>
      <c r="CL35" s="468" t="str">
        <f t="shared" si="86"/>
        <v/>
      </c>
      <c r="CM35" s="344"/>
      <c r="CN35" s="38" t="str">
        <f t="shared" si="87"/>
        <v/>
      </c>
      <c r="CO35" s="238">
        <v>0</v>
      </c>
      <c r="CP35" s="54" t="str">
        <f t="shared" si="88"/>
        <v/>
      </c>
      <c r="CQ35" s="467">
        <f>+Расходы!M261/1000</f>
        <v>0</v>
      </c>
      <c r="CR35" s="54" t="str">
        <f t="shared" si="89"/>
        <v/>
      </c>
      <c r="CS35" s="468" t="str">
        <f t="shared" si="90"/>
        <v/>
      </c>
      <c r="CT35" s="468" t="str">
        <f t="shared" si="91"/>
        <v/>
      </c>
      <c r="CU35" s="344">
        <f t="shared" si="24"/>
        <v>0</v>
      </c>
      <c r="CV35" s="38" t="str">
        <f t="shared" si="25"/>
        <v/>
      </c>
      <c r="CW35" s="238">
        <f t="shared" si="26"/>
        <v>0</v>
      </c>
      <c r="CX35" s="54">
        <f t="shared" si="27"/>
        <v>0</v>
      </c>
      <c r="CY35" s="467">
        <f t="shared" si="28"/>
        <v>375.19569000000001</v>
      </c>
      <c r="CZ35" s="54">
        <f t="shared" si="29"/>
        <v>7.5630506544159962E-3</v>
      </c>
      <c r="DA35" s="468" t="str">
        <f t="shared" si="30"/>
        <v/>
      </c>
      <c r="DB35" s="468" t="str">
        <f t="shared" si="31"/>
        <v/>
      </c>
    </row>
    <row r="36" spans="2:106" s="103" customFormat="1" ht="13.9" customHeight="1" outlineLevel="2">
      <c r="B36" s="104" t="str">
        <f>+Расходы!A262</f>
        <v>Хлеб</v>
      </c>
      <c r="C36" s="238"/>
      <c r="D36" s="34" t="str">
        <f t="shared" si="32"/>
        <v/>
      </c>
      <c r="E36" s="238"/>
      <c r="F36" s="54" t="str">
        <f t="shared" si="33"/>
        <v/>
      </c>
      <c r="G36" s="467">
        <f>+Расходы!B262/1000</f>
        <v>0</v>
      </c>
      <c r="H36" s="54" t="str">
        <f t="shared" si="34"/>
        <v/>
      </c>
      <c r="I36" s="468" t="str">
        <f t="shared" si="35"/>
        <v/>
      </c>
      <c r="J36" s="468" t="str">
        <f t="shared" si="36"/>
        <v/>
      </c>
      <c r="K36" s="238"/>
      <c r="L36" s="34" t="str">
        <f t="shared" si="37"/>
        <v/>
      </c>
      <c r="M36" s="238"/>
      <c r="N36" s="54" t="str">
        <f t="shared" si="38"/>
        <v/>
      </c>
      <c r="O36" s="467">
        <f>+Расходы!C262/1000</f>
        <v>0</v>
      </c>
      <c r="P36" s="54" t="str">
        <f t="shared" si="39"/>
        <v/>
      </c>
      <c r="Q36" s="468" t="str">
        <f t="shared" si="40"/>
        <v/>
      </c>
      <c r="R36" s="468" t="str">
        <f t="shared" si="41"/>
        <v/>
      </c>
      <c r="S36" s="238"/>
      <c r="T36" s="34" t="str">
        <f t="shared" si="42"/>
        <v/>
      </c>
      <c r="U36" s="238">
        <v>0</v>
      </c>
      <c r="V36" s="54" t="str">
        <f t="shared" si="43"/>
        <v/>
      </c>
      <c r="W36" s="467">
        <f>+Расходы!D262/1000</f>
        <v>0</v>
      </c>
      <c r="X36" s="54" t="str">
        <f t="shared" si="44"/>
        <v/>
      </c>
      <c r="Y36" s="468" t="str">
        <f t="shared" si="45"/>
        <v/>
      </c>
      <c r="Z36" s="468" t="str">
        <f t="shared" si="46"/>
        <v/>
      </c>
      <c r="AA36" s="238"/>
      <c r="AB36" s="34" t="str">
        <f t="shared" si="47"/>
        <v/>
      </c>
      <c r="AC36" s="238">
        <v>0</v>
      </c>
      <c r="AD36" s="54" t="str">
        <f t="shared" si="48"/>
        <v/>
      </c>
      <c r="AE36" s="467">
        <f>+Расходы!E262/1000</f>
        <v>0</v>
      </c>
      <c r="AF36" s="54" t="str">
        <f t="shared" si="49"/>
        <v/>
      </c>
      <c r="AG36" s="468" t="str">
        <f t="shared" si="50"/>
        <v/>
      </c>
      <c r="AH36" s="468" t="str">
        <f t="shared" si="51"/>
        <v/>
      </c>
      <c r="AI36" s="238"/>
      <c r="AJ36" s="34" t="str">
        <f t="shared" si="52"/>
        <v/>
      </c>
      <c r="AK36" s="238">
        <v>0</v>
      </c>
      <c r="AL36" s="54" t="str">
        <f t="shared" si="53"/>
        <v/>
      </c>
      <c r="AM36" s="467">
        <f>+Расходы!F262/1000</f>
        <v>0</v>
      </c>
      <c r="AN36" s="54" t="str">
        <f t="shared" si="54"/>
        <v/>
      </c>
      <c r="AO36" s="468" t="str">
        <f t="shared" si="55"/>
        <v/>
      </c>
      <c r="AP36" s="468" t="str">
        <f t="shared" si="56"/>
        <v/>
      </c>
      <c r="AQ36" s="344"/>
      <c r="AR36" s="38" t="str">
        <f t="shared" si="57"/>
        <v/>
      </c>
      <c r="AS36" s="238">
        <v>0</v>
      </c>
      <c r="AT36" s="54" t="str">
        <f t="shared" si="58"/>
        <v/>
      </c>
      <c r="AU36" s="467">
        <f>+Расходы!G262/1000</f>
        <v>0</v>
      </c>
      <c r="AV36" s="54" t="str">
        <f t="shared" si="59"/>
        <v/>
      </c>
      <c r="AW36" s="468" t="str">
        <f t="shared" si="60"/>
        <v/>
      </c>
      <c r="AX36" s="468" t="str">
        <f t="shared" si="61"/>
        <v/>
      </c>
      <c r="AY36" s="344"/>
      <c r="AZ36" s="38" t="str">
        <f t="shared" si="62"/>
        <v/>
      </c>
      <c r="BA36" s="238">
        <v>0</v>
      </c>
      <c r="BB36" s="54" t="str">
        <f t="shared" si="63"/>
        <v/>
      </c>
      <c r="BC36" s="467">
        <f>+Расходы!H262/1000</f>
        <v>0</v>
      </c>
      <c r="BD36" s="54" t="str">
        <f t="shared" si="64"/>
        <v/>
      </c>
      <c r="BE36" s="468" t="str">
        <f t="shared" si="65"/>
        <v/>
      </c>
      <c r="BF36" s="468" t="str">
        <f t="shared" si="66"/>
        <v/>
      </c>
      <c r="BG36" s="344"/>
      <c r="BH36" s="38" t="str">
        <f t="shared" si="67"/>
        <v/>
      </c>
      <c r="BI36" s="238">
        <v>0</v>
      </c>
      <c r="BJ36" s="54" t="str">
        <f t="shared" si="68"/>
        <v/>
      </c>
      <c r="BK36" s="467">
        <f>+Расходы!I262/1000</f>
        <v>0</v>
      </c>
      <c r="BL36" s="54" t="str">
        <f t="shared" si="69"/>
        <v/>
      </c>
      <c r="BM36" s="468" t="str">
        <f t="shared" si="70"/>
        <v/>
      </c>
      <c r="BN36" s="468" t="str">
        <f t="shared" si="71"/>
        <v/>
      </c>
      <c r="BO36" s="344"/>
      <c r="BP36" s="38" t="str">
        <f t="shared" si="72"/>
        <v/>
      </c>
      <c r="BQ36" s="238">
        <v>0</v>
      </c>
      <c r="BR36" s="54" t="str">
        <f t="shared" si="73"/>
        <v/>
      </c>
      <c r="BS36" s="467">
        <f>+Расходы!J262/1000</f>
        <v>0</v>
      </c>
      <c r="BT36" s="54" t="str">
        <f t="shared" si="74"/>
        <v/>
      </c>
      <c r="BU36" s="468" t="str">
        <f t="shared" si="75"/>
        <v/>
      </c>
      <c r="BV36" s="468" t="str">
        <f t="shared" si="76"/>
        <v/>
      </c>
      <c r="BW36" s="344"/>
      <c r="BX36" s="38" t="str">
        <f t="shared" si="77"/>
        <v/>
      </c>
      <c r="BY36" s="238">
        <v>0</v>
      </c>
      <c r="BZ36" s="54" t="str">
        <f t="shared" si="78"/>
        <v/>
      </c>
      <c r="CA36" s="467">
        <f>+Расходы!K262/1000</f>
        <v>0</v>
      </c>
      <c r="CB36" s="54" t="str">
        <f t="shared" si="79"/>
        <v/>
      </c>
      <c r="CC36" s="468" t="str">
        <f t="shared" si="80"/>
        <v/>
      </c>
      <c r="CD36" s="468" t="str">
        <f t="shared" si="81"/>
        <v/>
      </c>
      <c r="CE36" s="344"/>
      <c r="CF36" s="38" t="str">
        <f t="shared" si="82"/>
        <v/>
      </c>
      <c r="CG36" s="238">
        <v>0</v>
      </c>
      <c r="CH36" s="54" t="str">
        <f t="shared" si="83"/>
        <v/>
      </c>
      <c r="CI36" s="467">
        <f>+Расходы!L262/1000</f>
        <v>0</v>
      </c>
      <c r="CJ36" s="54" t="str">
        <f t="shared" si="84"/>
        <v/>
      </c>
      <c r="CK36" s="468" t="str">
        <f t="shared" si="85"/>
        <v/>
      </c>
      <c r="CL36" s="468" t="str">
        <f t="shared" si="86"/>
        <v/>
      </c>
      <c r="CM36" s="344"/>
      <c r="CN36" s="38" t="str">
        <f t="shared" si="87"/>
        <v/>
      </c>
      <c r="CO36" s="238">
        <v>0</v>
      </c>
      <c r="CP36" s="54" t="str">
        <f t="shared" si="88"/>
        <v/>
      </c>
      <c r="CQ36" s="467">
        <f>+Расходы!M262/1000</f>
        <v>0</v>
      </c>
      <c r="CR36" s="54" t="str">
        <f t="shared" si="89"/>
        <v/>
      </c>
      <c r="CS36" s="468" t="str">
        <f t="shared" si="90"/>
        <v/>
      </c>
      <c r="CT36" s="468" t="str">
        <f t="shared" si="91"/>
        <v/>
      </c>
      <c r="CU36" s="344">
        <f t="shared" si="24"/>
        <v>0</v>
      </c>
      <c r="CV36" s="38" t="str">
        <f t="shared" si="25"/>
        <v/>
      </c>
      <c r="CW36" s="238">
        <f t="shared" si="26"/>
        <v>0</v>
      </c>
      <c r="CX36" s="54">
        <f t="shared" si="27"/>
        <v>0</v>
      </c>
      <c r="CY36" s="467">
        <f t="shared" si="28"/>
        <v>0</v>
      </c>
      <c r="CZ36" s="54">
        <f t="shared" si="29"/>
        <v>0</v>
      </c>
      <c r="DA36" s="468" t="str">
        <f t="shared" si="30"/>
        <v/>
      </c>
      <c r="DB36" s="468" t="str">
        <f t="shared" si="31"/>
        <v/>
      </c>
    </row>
    <row r="37" spans="2:106" s="101" customFormat="1" ht="13.9" customHeight="1" outlineLevel="1">
      <c r="B37" s="102" t="str">
        <f>+Расходы!A263</f>
        <v>Производственные издержки общие</v>
      </c>
      <c r="C37" s="464">
        <f>SUM(C38:C39)</f>
        <v>0</v>
      </c>
      <c r="D37" s="39" t="str">
        <f t="shared" si="32"/>
        <v/>
      </c>
      <c r="E37" s="464">
        <f>SUM(E38:E39)</f>
        <v>0</v>
      </c>
      <c r="F37" s="39" t="str">
        <f t="shared" si="33"/>
        <v/>
      </c>
      <c r="G37" s="464">
        <f>+Расходы!B263/1000</f>
        <v>0</v>
      </c>
      <c r="H37" s="39" t="str">
        <f t="shared" si="34"/>
        <v/>
      </c>
      <c r="I37" s="465" t="str">
        <f t="shared" si="35"/>
        <v/>
      </c>
      <c r="J37" s="465" t="str">
        <f t="shared" si="36"/>
        <v/>
      </c>
      <c r="K37" s="464">
        <f>SUM(K38:K39)</f>
        <v>0</v>
      </c>
      <c r="L37" s="39" t="str">
        <f t="shared" si="37"/>
        <v/>
      </c>
      <c r="M37" s="464">
        <f>SUM(M38:M39)</f>
        <v>0</v>
      </c>
      <c r="N37" s="39" t="str">
        <f t="shared" si="38"/>
        <v/>
      </c>
      <c r="O37" s="464">
        <f>+Расходы!C263/1000</f>
        <v>0</v>
      </c>
      <c r="P37" s="39" t="str">
        <f t="shared" si="39"/>
        <v/>
      </c>
      <c r="Q37" s="465" t="str">
        <f t="shared" si="40"/>
        <v/>
      </c>
      <c r="R37" s="465" t="str">
        <f t="shared" si="41"/>
        <v/>
      </c>
      <c r="S37" s="464">
        <f>SUM(S38:S39)</f>
        <v>0</v>
      </c>
      <c r="T37" s="39" t="str">
        <f t="shared" si="42"/>
        <v/>
      </c>
      <c r="U37" s="464">
        <f>SUM(U38:U39)</f>
        <v>0</v>
      </c>
      <c r="V37" s="39" t="str">
        <f t="shared" si="43"/>
        <v/>
      </c>
      <c r="W37" s="464">
        <f>+Расходы!D263/1000</f>
        <v>59.772890000000004</v>
      </c>
      <c r="X37" s="39">
        <f t="shared" si="44"/>
        <v>1.0079915344272248E-2</v>
      </c>
      <c r="Y37" s="465" t="str">
        <f t="shared" si="45"/>
        <v/>
      </c>
      <c r="Z37" s="465" t="str">
        <f t="shared" si="46"/>
        <v/>
      </c>
      <c r="AA37" s="464">
        <f>SUM(AA38:AA39)</f>
        <v>0</v>
      </c>
      <c r="AB37" s="39" t="str">
        <f t="shared" si="47"/>
        <v/>
      </c>
      <c r="AC37" s="464">
        <f>SUM(AC38:AC39)</f>
        <v>0</v>
      </c>
      <c r="AD37" s="39" t="str">
        <f t="shared" si="48"/>
        <v/>
      </c>
      <c r="AE37" s="464">
        <f>+Расходы!E263/1000</f>
        <v>54.852239999999995</v>
      </c>
      <c r="AF37" s="39">
        <f t="shared" si="49"/>
        <v>3.9999591634337708E-3</v>
      </c>
      <c r="AG37" s="465" t="str">
        <f t="shared" si="50"/>
        <v/>
      </c>
      <c r="AH37" s="465" t="str">
        <f t="shared" si="51"/>
        <v/>
      </c>
      <c r="AI37" s="464">
        <f>SUM(AI38:AI39)</f>
        <v>0</v>
      </c>
      <c r="AJ37" s="39" t="str">
        <f t="shared" si="52"/>
        <v/>
      </c>
      <c r="AK37" s="464">
        <f>SUM(AK38:AK39)</f>
        <v>0</v>
      </c>
      <c r="AL37" s="39" t="str">
        <f t="shared" si="53"/>
        <v/>
      </c>
      <c r="AM37" s="464">
        <f>+Расходы!F263/1000</f>
        <v>127.95838000000001</v>
      </c>
      <c r="AN37" s="39">
        <f t="shared" si="54"/>
        <v>8.143684777621004E-3</v>
      </c>
      <c r="AO37" s="465" t="str">
        <f t="shared" si="55"/>
        <v/>
      </c>
      <c r="AP37" s="465" t="str">
        <f t="shared" si="56"/>
        <v/>
      </c>
      <c r="AQ37" s="466">
        <f>SUM(AQ38:AQ39)</f>
        <v>0</v>
      </c>
      <c r="AR37" s="39" t="str">
        <f t="shared" si="57"/>
        <v/>
      </c>
      <c r="AS37" s="464">
        <f>SUM(AS38:AS39)</f>
        <v>0</v>
      </c>
      <c r="AT37" s="39" t="str">
        <f t="shared" si="58"/>
        <v/>
      </c>
      <c r="AU37" s="464">
        <f>+Расходы!G263/1000</f>
        <v>29.527339999999999</v>
      </c>
      <c r="AV37" s="39">
        <f t="shared" si="59"/>
        <v>2.0716068803750078E-3</v>
      </c>
      <c r="AW37" s="465" t="str">
        <f t="shared" si="60"/>
        <v/>
      </c>
      <c r="AX37" s="465" t="str">
        <f t="shared" si="61"/>
        <v/>
      </c>
      <c r="AY37" s="466">
        <f>SUM(AY38:AY39)</f>
        <v>0</v>
      </c>
      <c r="AZ37" s="39" t="str">
        <f t="shared" si="62"/>
        <v/>
      </c>
      <c r="BA37" s="464">
        <f>SUM(BA38:BA39)</f>
        <v>0</v>
      </c>
      <c r="BB37" s="39" t="str">
        <f t="shared" si="63"/>
        <v/>
      </c>
      <c r="BC37" s="464">
        <f>+Расходы!H263/1000</f>
        <v>0</v>
      </c>
      <c r="BD37" s="39" t="str">
        <f t="shared" si="64"/>
        <v/>
      </c>
      <c r="BE37" s="465" t="str">
        <f t="shared" si="65"/>
        <v/>
      </c>
      <c r="BF37" s="465" t="str">
        <f t="shared" si="66"/>
        <v/>
      </c>
      <c r="BG37" s="466">
        <f>SUM(BG38:BG39)</f>
        <v>0</v>
      </c>
      <c r="BH37" s="39" t="str">
        <f t="shared" si="67"/>
        <v/>
      </c>
      <c r="BI37" s="464">
        <f>SUM(BI38:BI39)</f>
        <v>0</v>
      </c>
      <c r="BJ37" s="39" t="str">
        <f t="shared" si="68"/>
        <v/>
      </c>
      <c r="BK37" s="464">
        <f>+Расходы!I263/1000</f>
        <v>0</v>
      </c>
      <c r="BL37" s="39" t="str">
        <f t="shared" si="69"/>
        <v/>
      </c>
      <c r="BM37" s="465" t="str">
        <f t="shared" si="70"/>
        <v/>
      </c>
      <c r="BN37" s="465" t="str">
        <f t="shared" si="71"/>
        <v/>
      </c>
      <c r="BO37" s="466">
        <f>SUM(BO38:BO39)</f>
        <v>0</v>
      </c>
      <c r="BP37" s="39" t="str">
        <f t="shared" si="72"/>
        <v/>
      </c>
      <c r="BQ37" s="464">
        <f>SUM(BQ38:BQ39)</f>
        <v>0</v>
      </c>
      <c r="BR37" s="39" t="str">
        <f t="shared" si="73"/>
        <v/>
      </c>
      <c r="BS37" s="464">
        <f>+Расходы!J263/1000</f>
        <v>0</v>
      </c>
      <c r="BT37" s="39" t="str">
        <f t="shared" si="74"/>
        <v/>
      </c>
      <c r="BU37" s="465" t="str">
        <f t="shared" si="75"/>
        <v/>
      </c>
      <c r="BV37" s="465" t="str">
        <f t="shared" si="76"/>
        <v/>
      </c>
      <c r="BW37" s="466">
        <f>SUM(BW38:BW39)</f>
        <v>0</v>
      </c>
      <c r="BX37" s="39" t="str">
        <f t="shared" si="77"/>
        <v/>
      </c>
      <c r="BY37" s="464">
        <f>SUM(BY38:BY39)</f>
        <v>0</v>
      </c>
      <c r="BZ37" s="39" t="str">
        <f t="shared" si="78"/>
        <v/>
      </c>
      <c r="CA37" s="464">
        <f>+Расходы!K263/1000</f>
        <v>0</v>
      </c>
      <c r="CB37" s="39" t="str">
        <f t="shared" si="79"/>
        <v/>
      </c>
      <c r="CC37" s="465" t="str">
        <f t="shared" si="80"/>
        <v/>
      </c>
      <c r="CD37" s="465" t="str">
        <f t="shared" si="81"/>
        <v/>
      </c>
      <c r="CE37" s="466">
        <f>SUM(CE38:CE39)</f>
        <v>0</v>
      </c>
      <c r="CF37" s="39" t="str">
        <f t="shared" si="82"/>
        <v/>
      </c>
      <c r="CG37" s="464">
        <f>SUM(CG38:CG39)</f>
        <v>0</v>
      </c>
      <c r="CH37" s="39" t="str">
        <f t="shared" si="83"/>
        <v/>
      </c>
      <c r="CI37" s="464">
        <f>+Расходы!L263/1000</f>
        <v>0</v>
      </c>
      <c r="CJ37" s="39" t="str">
        <f t="shared" si="84"/>
        <v/>
      </c>
      <c r="CK37" s="465" t="str">
        <f t="shared" si="85"/>
        <v/>
      </c>
      <c r="CL37" s="465" t="str">
        <f t="shared" si="86"/>
        <v/>
      </c>
      <c r="CM37" s="466">
        <f>SUM(CM38:CM39)</f>
        <v>0</v>
      </c>
      <c r="CN37" s="39" t="str">
        <f t="shared" si="87"/>
        <v/>
      </c>
      <c r="CO37" s="464">
        <f>SUM(CO38:CO39)</f>
        <v>0</v>
      </c>
      <c r="CP37" s="39" t="str">
        <f t="shared" si="88"/>
        <v/>
      </c>
      <c r="CQ37" s="464">
        <f>+Расходы!M263/1000</f>
        <v>0</v>
      </c>
      <c r="CR37" s="39" t="str">
        <f t="shared" si="89"/>
        <v/>
      </c>
      <c r="CS37" s="465" t="str">
        <f t="shared" si="90"/>
        <v/>
      </c>
      <c r="CT37" s="465" t="str">
        <f t="shared" si="91"/>
        <v/>
      </c>
      <c r="CU37" s="466">
        <f t="shared" si="24"/>
        <v>0</v>
      </c>
      <c r="CV37" s="39" t="str">
        <f t="shared" si="25"/>
        <v/>
      </c>
      <c r="CW37" s="464">
        <f t="shared" si="26"/>
        <v>0</v>
      </c>
      <c r="CX37" s="39">
        <f t="shared" si="27"/>
        <v>0</v>
      </c>
      <c r="CY37" s="464">
        <f t="shared" si="28"/>
        <v>272.11084999999997</v>
      </c>
      <c r="CZ37" s="39">
        <f t="shared" si="29"/>
        <v>5.4851060313784328E-3</v>
      </c>
      <c r="DA37" s="465" t="str">
        <f t="shared" si="30"/>
        <v/>
      </c>
      <c r="DB37" s="465" t="str">
        <f t="shared" si="31"/>
        <v/>
      </c>
    </row>
    <row r="38" spans="2:106" s="103" customFormat="1" ht="13.9" customHeight="1" outlineLevel="2">
      <c r="B38" s="104" t="str">
        <f>+Расходы!A264</f>
        <v>Недовольный гость</v>
      </c>
      <c r="C38" s="238"/>
      <c r="D38" s="54" t="str">
        <f t="shared" si="32"/>
        <v/>
      </c>
      <c r="E38" s="238"/>
      <c r="F38" s="54" t="str">
        <f t="shared" si="33"/>
        <v/>
      </c>
      <c r="G38" s="467">
        <f>+Расходы!B264/1000</f>
        <v>0</v>
      </c>
      <c r="H38" s="54" t="str">
        <f t="shared" si="34"/>
        <v/>
      </c>
      <c r="I38" s="468" t="str">
        <f t="shared" si="35"/>
        <v/>
      </c>
      <c r="J38" s="468" t="str">
        <f t="shared" si="36"/>
        <v/>
      </c>
      <c r="K38" s="238"/>
      <c r="L38" s="54" t="str">
        <f t="shared" si="37"/>
        <v/>
      </c>
      <c r="M38" s="238"/>
      <c r="N38" s="54" t="str">
        <f t="shared" si="38"/>
        <v/>
      </c>
      <c r="O38" s="467">
        <f>+Расходы!C264/1000</f>
        <v>0</v>
      </c>
      <c r="P38" s="54" t="str">
        <f t="shared" si="39"/>
        <v/>
      </c>
      <c r="Q38" s="468" t="str">
        <f t="shared" si="40"/>
        <v/>
      </c>
      <c r="R38" s="468" t="str">
        <f t="shared" si="41"/>
        <v/>
      </c>
      <c r="S38" s="238"/>
      <c r="T38" s="54" t="str">
        <f t="shared" si="42"/>
        <v/>
      </c>
      <c r="U38" s="238">
        <v>0</v>
      </c>
      <c r="V38" s="54" t="str">
        <f t="shared" si="43"/>
        <v/>
      </c>
      <c r="W38" s="467">
        <f>+Расходы!D264/1000</f>
        <v>51.232550000000003</v>
      </c>
      <c r="X38" s="54">
        <f t="shared" si="44"/>
        <v>8.6396988144825382E-3</v>
      </c>
      <c r="Y38" s="468" t="str">
        <f t="shared" si="45"/>
        <v/>
      </c>
      <c r="Z38" s="468" t="str">
        <f t="shared" si="46"/>
        <v/>
      </c>
      <c r="AA38" s="238"/>
      <c r="AB38" s="54" t="str">
        <f t="shared" si="47"/>
        <v/>
      </c>
      <c r="AC38" s="238">
        <v>0</v>
      </c>
      <c r="AD38" s="54" t="str">
        <f t="shared" si="48"/>
        <v/>
      </c>
      <c r="AE38" s="467">
        <f>+Расходы!E264/1000</f>
        <v>28.99287</v>
      </c>
      <c r="AF38" s="54">
        <f t="shared" si="49"/>
        <v>2.1142308141061167E-3</v>
      </c>
      <c r="AG38" s="468" t="str">
        <f t="shared" si="50"/>
        <v/>
      </c>
      <c r="AH38" s="468" t="str">
        <f t="shared" si="51"/>
        <v/>
      </c>
      <c r="AI38" s="238"/>
      <c r="AJ38" s="54" t="str">
        <f t="shared" si="52"/>
        <v/>
      </c>
      <c r="AK38" s="238">
        <v>0</v>
      </c>
      <c r="AL38" s="54" t="str">
        <f t="shared" si="53"/>
        <v/>
      </c>
      <c r="AM38" s="467">
        <f>+Расходы!F264/1000</f>
        <v>69.313999999999993</v>
      </c>
      <c r="AN38" s="54">
        <f t="shared" si="54"/>
        <v>4.4113669356866054E-3</v>
      </c>
      <c r="AO38" s="468" t="str">
        <f t="shared" si="55"/>
        <v/>
      </c>
      <c r="AP38" s="468" t="str">
        <f t="shared" si="56"/>
        <v/>
      </c>
      <c r="AQ38" s="344"/>
      <c r="AR38" s="54" t="str">
        <f t="shared" si="57"/>
        <v/>
      </c>
      <c r="AS38" s="238">
        <v>0</v>
      </c>
      <c r="AT38" s="54" t="str">
        <f t="shared" si="58"/>
        <v/>
      </c>
      <c r="AU38" s="467">
        <f>+Расходы!G264/1000</f>
        <v>15.135429999999999</v>
      </c>
      <c r="AV38" s="54">
        <f t="shared" si="59"/>
        <v>1.0618857277842942E-3</v>
      </c>
      <c r="AW38" s="468" t="str">
        <f t="shared" si="60"/>
        <v/>
      </c>
      <c r="AX38" s="468" t="str">
        <f t="shared" si="61"/>
        <v/>
      </c>
      <c r="AY38" s="344"/>
      <c r="AZ38" s="54" t="str">
        <f t="shared" si="62"/>
        <v/>
      </c>
      <c r="BA38" s="238">
        <v>0</v>
      </c>
      <c r="BB38" s="54" t="str">
        <f t="shared" si="63"/>
        <v/>
      </c>
      <c r="BC38" s="467">
        <f>+Расходы!H264/1000</f>
        <v>0</v>
      </c>
      <c r="BD38" s="54" t="str">
        <f t="shared" si="64"/>
        <v/>
      </c>
      <c r="BE38" s="468" t="str">
        <f t="shared" si="65"/>
        <v/>
      </c>
      <c r="BF38" s="468" t="str">
        <f t="shared" si="66"/>
        <v/>
      </c>
      <c r="BG38" s="344"/>
      <c r="BH38" s="54" t="str">
        <f t="shared" si="67"/>
        <v/>
      </c>
      <c r="BI38" s="238">
        <v>0</v>
      </c>
      <c r="BJ38" s="54" t="str">
        <f t="shared" si="68"/>
        <v/>
      </c>
      <c r="BK38" s="467">
        <f>+Расходы!I264/1000</f>
        <v>0</v>
      </c>
      <c r="BL38" s="54" t="str">
        <f t="shared" si="69"/>
        <v/>
      </c>
      <c r="BM38" s="468" t="str">
        <f t="shared" si="70"/>
        <v/>
      </c>
      <c r="BN38" s="468" t="str">
        <f t="shared" si="71"/>
        <v/>
      </c>
      <c r="BO38" s="344"/>
      <c r="BP38" s="54" t="str">
        <f t="shared" si="72"/>
        <v/>
      </c>
      <c r="BQ38" s="238">
        <v>0</v>
      </c>
      <c r="BR38" s="54" t="str">
        <f t="shared" si="73"/>
        <v/>
      </c>
      <c r="BS38" s="467">
        <f>+Расходы!J264/1000</f>
        <v>0</v>
      </c>
      <c r="BT38" s="54" t="str">
        <f t="shared" si="74"/>
        <v/>
      </c>
      <c r="BU38" s="468" t="str">
        <f t="shared" si="75"/>
        <v/>
      </c>
      <c r="BV38" s="468" t="str">
        <f t="shared" si="76"/>
        <v/>
      </c>
      <c r="BW38" s="344"/>
      <c r="BX38" s="54" t="str">
        <f t="shared" si="77"/>
        <v/>
      </c>
      <c r="BY38" s="238">
        <v>0</v>
      </c>
      <c r="BZ38" s="54" t="str">
        <f t="shared" si="78"/>
        <v/>
      </c>
      <c r="CA38" s="467">
        <f>+Расходы!K264/1000</f>
        <v>0</v>
      </c>
      <c r="CB38" s="54" t="str">
        <f t="shared" si="79"/>
        <v/>
      </c>
      <c r="CC38" s="468" t="str">
        <f t="shared" si="80"/>
        <v/>
      </c>
      <c r="CD38" s="468" t="str">
        <f t="shared" si="81"/>
        <v/>
      </c>
      <c r="CE38" s="344"/>
      <c r="CF38" s="54" t="str">
        <f t="shared" si="82"/>
        <v/>
      </c>
      <c r="CG38" s="238">
        <v>0</v>
      </c>
      <c r="CH38" s="54" t="str">
        <f t="shared" si="83"/>
        <v/>
      </c>
      <c r="CI38" s="467">
        <f>+Расходы!L264/1000</f>
        <v>0</v>
      </c>
      <c r="CJ38" s="54" t="str">
        <f t="shared" si="84"/>
        <v/>
      </c>
      <c r="CK38" s="468" t="str">
        <f t="shared" si="85"/>
        <v/>
      </c>
      <c r="CL38" s="468" t="str">
        <f t="shared" si="86"/>
        <v/>
      </c>
      <c r="CM38" s="344"/>
      <c r="CN38" s="54" t="str">
        <f t="shared" si="87"/>
        <v/>
      </c>
      <c r="CO38" s="238">
        <v>0</v>
      </c>
      <c r="CP38" s="54" t="str">
        <f t="shared" si="88"/>
        <v/>
      </c>
      <c r="CQ38" s="467">
        <f>+Расходы!M264/1000</f>
        <v>0</v>
      </c>
      <c r="CR38" s="54" t="str">
        <f t="shared" si="89"/>
        <v/>
      </c>
      <c r="CS38" s="468" t="str">
        <f t="shared" si="90"/>
        <v/>
      </c>
      <c r="CT38" s="468" t="str">
        <f t="shared" si="91"/>
        <v/>
      </c>
      <c r="CU38" s="344">
        <f t="shared" si="24"/>
        <v>0</v>
      </c>
      <c r="CV38" s="54" t="str">
        <f t="shared" si="25"/>
        <v/>
      </c>
      <c r="CW38" s="238">
        <f t="shared" si="26"/>
        <v>0</v>
      </c>
      <c r="CX38" s="54">
        <f t="shared" si="27"/>
        <v>0</v>
      </c>
      <c r="CY38" s="467">
        <f t="shared" si="28"/>
        <v>164.67484999999999</v>
      </c>
      <c r="CZ38" s="54">
        <f t="shared" si="29"/>
        <v>3.3194523957840662E-3</v>
      </c>
      <c r="DA38" s="468" t="str">
        <f t="shared" si="30"/>
        <v/>
      </c>
      <c r="DB38" s="468" t="str">
        <f t="shared" si="31"/>
        <v/>
      </c>
    </row>
    <row r="39" spans="2:106" s="103" customFormat="1" ht="13.9" customHeight="1" outlineLevel="2">
      <c r="B39" s="104" t="str">
        <f>+Расходы!A265</f>
        <v>Прочая себестоимость</v>
      </c>
      <c r="C39" s="238"/>
      <c r="D39" s="54" t="str">
        <f t="shared" si="32"/>
        <v/>
      </c>
      <c r="E39" s="238"/>
      <c r="F39" s="54" t="str">
        <f t="shared" si="33"/>
        <v/>
      </c>
      <c r="G39" s="467">
        <f>+Расходы!B265/1000</f>
        <v>0</v>
      </c>
      <c r="H39" s="54" t="str">
        <f t="shared" si="34"/>
        <v/>
      </c>
      <c r="I39" s="468" t="str">
        <f t="shared" si="35"/>
        <v/>
      </c>
      <c r="J39" s="468" t="str">
        <f t="shared" si="36"/>
        <v/>
      </c>
      <c r="K39" s="238"/>
      <c r="L39" s="54" t="str">
        <f t="shared" si="37"/>
        <v/>
      </c>
      <c r="M39" s="238"/>
      <c r="N39" s="54" t="str">
        <f t="shared" si="38"/>
        <v/>
      </c>
      <c r="O39" s="467">
        <f>+Расходы!C265/1000</f>
        <v>0</v>
      </c>
      <c r="P39" s="54" t="str">
        <f t="shared" si="39"/>
        <v/>
      </c>
      <c r="Q39" s="468" t="str">
        <f t="shared" si="40"/>
        <v/>
      </c>
      <c r="R39" s="468" t="str">
        <f t="shared" si="41"/>
        <v/>
      </c>
      <c r="S39" s="238"/>
      <c r="T39" s="54" t="str">
        <f t="shared" si="42"/>
        <v/>
      </c>
      <c r="U39" s="238">
        <v>0</v>
      </c>
      <c r="V39" s="54" t="str">
        <f t="shared" si="43"/>
        <v/>
      </c>
      <c r="W39" s="467">
        <f>+Расходы!E265/1000</f>
        <v>18.690159999999999</v>
      </c>
      <c r="X39" s="54">
        <f t="shared" si="44"/>
        <v>3.1518507900639135E-3</v>
      </c>
      <c r="Y39" s="468" t="str">
        <f t="shared" si="45"/>
        <v/>
      </c>
      <c r="Z39" s="468" t="str">
        <f t="shared" si="46"/>
        <v/>
      </c>
      <c r="AA39" s="238"/>
      <c r="AB39" s="54" t="str">
        <f t="shared" si="47"/>
        <v/>
      </c>
      <c r="AC39" s="238">
        <v>0</v>
      </c>
      <c r="AD39" s="54" t="str">
        <f t="shared" si="48"/>
        <v/>
      </c>
      <c r="AE39" s="467">
        <f>+Расходы!E265/1000</f>
        <v>18.690159999999999</v>
      </c>
      <c r="AF39" s="54">
        <f t="shared" si="49"/>
        <v>1.3629320654551817E-3</v>
      </c>
      <c r="AG39" s="468" t="str">
        <f t="shared" si="50"/>
        <v/>
      </c>
      <c r="AH39" s="468" t="str">
        <f t="shared" si="51"/>
        <v/>
      </c>
      <c r="AI39" s="238"/>
      <c r="AJ39" s="54" t="str">
        <f t="shared" si="52"/>
        <v/>
      </c>
      <c r="AK39" s="238">
        <v>0</v>
      </c>
      <c r="AL39" s="54" t="str">
        <f t="shared" si="53"/>
        <v/>
      </c>
      <c r="AM39" s="467">
        <f>+Расходы!F265/1000</f>
        <v>9.2943799999999985</v>
      </c>
      <c r="AN39" s="54">
        <f t="shared" si="54"/>
        <v>5.915243763122438E-4</v>
      </c>
      <c r="AO39" s="468" t="str">
        <f t="shared" si="55"/>
        <v/>
      </c>
      <c r="AP39" s="468" t="str">
        <f t="shared" si="56"/>
        <v/>
      </c>
      <c r="AQ39" s="344"/>
      <c r="AR39" s="54" t="str">
        <f t="shared" si="57"/>
        <v/>
      </c>
      <c r="AS39" s="238">
        <v>0</v>
      </c>
      <c r="AT39" s="54" t="str">
        <f t="shared" si="58"/>
        <v/>
      </c>
      <c r="AU39" s="467">
        <f>+Расходы!G265/1000</f>
        <v>4.7021800000000002</v>
      </c>
      <c r="AV39" s="54">
        <f t="shared" si="59"/>
        <v>3.2989996527834053E-4</v>
      </c>
      <c r="AW39" s="468" t="str">
        <f t="shared" si="60"/>
        <v/>
      </c>
      <c r="AX39" s="468" t="str">
        <f t="shared" si="61"/>
        <v/>
      </c>
      <c r="AY39" s="344"/>
      <c r="AZ39" s="54" t="str">
        <f t="shared" si="62"/>
        <v/>
      </c>
      <c r="BA39" s="238">
        <v>0</v>
      </c>
      <c r="BB39" s="54" t="str">
        <f t="shared" si="63"/>
        <v/>
      </c>
      <c r="BC39" s="467">
        <f>+Расходы!H265/1000</f>
        <v>0</v>
      </c>
      <c r="BD39" s="54" t="str">
        <f t="shared" si="64"/>
        <v/>
      </c>
      <c r="BE39" s="468" t="str">
        <f t="shared" si="65"/>
        <v/>
      </c>
      <c r="BF39" s="468" t="str">
        <f t="shared" si="66"/>
        <v/>
      </c>
      <c r="BG39" s="344"/>
      <c r="BH39" s="54" t="str">
        <f t="shared" si="67"/>
        <v/>
      </c>
      <c r="BI39" s="238">
        <v>0</v>
      </c>
      <c r="BJ39" s="54" t="str">
        <f t="shared" si="68"/>
        <v/>
      </c>
      <c r="BK39" s="467">
        <f>+Расходы!I265/1000</f>
        <v>0</v>
      </c>
      <c r="BL39" s="54" t="str">
        <f t="shared" si="69"/>
        <v/>
      </c>
      <c r="BM39" s="468" t="str">
        <f t="shared" si="70"/>
        <v/>
      </c>
      <c r="BN39" s="468" t="str">
        <f t="shared" si="71"/>
        <v/>
      </c>
      <c r="BO39" s="344"/>
      <c r="BP39" s="54" t="str">
        <f t="shared" si="72"/>
        <v/>
      </c>
      <c r="BQ39" s="238">
        <v>0</v>
      </c>
      <c r="BR39" s="54" t="str">
        <f t="shared" si="73"/>
        <v/>
      </c>
      <c r="BS39" s="467">
        <f>+Расходы!J265/1000</f>
        <v>0</v>
      </c>
      <c r="BT39" s="54" t="str">
        <f t="shared" si="74"/>
        <v/>
      </c>
      <c r="BU39" s="468" t="str">
        <f t="shared" si="75"/>
        <v/>
      </c>
      <c r="BV39" s="468" t="str">
        <f t="shared" si="76"/>
        <v/>
      </c>
      <c r="BW39" s="344"/>
      <c r="BX39" s="54" t="str">
        <f t="shared" si="77"/>
        <v/>
      </c>
      <c r="BY39" s="238">
        <v>0</v>
      </c>
      <c r="BZ39" s="54" t="str">
        <f t="shared" si="78"/>
        <v/>
      </c>
      <c r="CA39" s="467">
        <f>+Расходы!K265/1000</f>
        <v>0</v>
      </c>
      <c r="CB39" s="54" t="str">
        <f t="shared" si="79"/>
        <v/>
      </c>
      <c r="CC39" s="468" t="str">
        <f t="shared" si="80"/>
        <v/>
      </c>
      <c r="CD39" s="468" t="str">
        <f t="shared" si="81"/>
        <v/>
      </c>
      <c r="CE39" s="344"/>
      <c r="CF39" s="54" t="str">
        <f t="shared" si="82"/>
        <v/>
      </c>
      <c r="CG39" s="238">
        <v>0</v>
      </c>
      <c r="CH39" s="54" t="str">
        <f t="shared" si="83"/>
        <v/>
      </c>
      <c r="CI39" s="467">
        <f>+Расходы!L265/1000</f>
        <v>0</v>
      </c>
      <c r="CJ39" s="54" t="str">
        <f t="shared" si="84"/>
        <v/>
      </c>
      <c r="CK39" s="468" t="str">
        <f t="shared" si="85"/>
        <v/>
      </c>
      <c r="CL39" s="468" t="str">
        <f t="shared" si="86"/>
        <v/>
      </c>
      <c r="CM39" s="344"/>
      <c r="CN39" s="54" t="str">
        <f t="shared" si="87"/>
        <v/>
      </c>
      <c r="CO39" s="238">
        <v>0</v>
      </c>
      <c r="CP39" s="54" t="str">
        <f t="shared" si="88"/>
        <v/>
      </c>
      <c r="CQ39" s="467">
        <f>+Расходы!M265/1000</f>
        <v>0</v>
      </c>
      <c r="CR39" s="54" t="str">
        <f t="shared" si="89"/>
        <v/>
      </c>
      <c r="CS39" s="468" t="str">
        <f t="shared" si="90"/>
        <v/>
      </c>
      <c r="CT39" s="468" t="str">
        <f t="shared" si="91"/>
        <v/>
      </c>
      <c r="CU39" s="344">
        <f t="shared" si="24"/>
        <v>0</v>
      </c>
      <c r="CV39" s="54" t="str">
        <f t="shared" si="25"/>
        <v/>
      </c>
      <c r="CW39" s="238">
        <f t="shared" si="26"/>
        <v>0</v>
      </c>
      <c r="CX39" s="54">
        <f t="shared" si="27"/>
        <v>0</v>
      </c>
      <c r="CY39" s="467">
        <f t="shared" si="28"/>
        <v>51.376879999999993</v>
      </c>
      <c r="CZ39" s="54">
        <f t="shared" si="29"/>
        <v>1.0356354197614904E-3</v>
      </c>
      <c r="DA39" s="468" t="str">
        <f t="shared" si="30"/>
        <v/>
      </c>
      <c r="DB39" s="468" t="str">
        <f t="shared" si="31"/>
        <v/>
      </c>
    </row>
    <row r="40" spans="2:106" s="103" customFormat="1" ht="13.9" customHeight="1" outlineLevel="2">
      <c r="B40" s="104" t="str">
        <f>+Расходы!A266</f>
        <v>Списание ГП по приказу</v>
      </c>
      <c r="C40" s="238"/>
      <c r="D40" s="34" t="str">
        <f t="shared" si="32"/>
        <v/>
      </c>
      <c r="E40" s="238"/>
      <c r="F40" s="54" t="str">
        <f t="shared" si="33"/>
        <v/>
      </c>
      <c r="G40" s="467">
        <f>+Расходы!B266/1000</f>
        <v>0</v>
      </c>
      <c r="H40" s="54" t="str">
        <f t="shared" si="34"/>
        <v/>
      </c>
      <c r="I40" s="468" t="str">
        <f t="shared" si="35"/>
        <v/>
      </c>
      <c r="J40" s="468" t="str">
        <f t="shared" si="36"/>
        <v/>
      </c>
      <c r="K40" s="238"/>
      <c r="L40" s="34" t="str">
        <f t="shared" si="37"/>
        <v/>
      </c>
      <c r="M40" s="238"/>
      <c r="N40" s="54" t="str">
        <f t="shared" si="38"/>
        <v/>
      </c>
      <c r="O40" s="467">
        <f>+Расходы!C266/1000</f>
        <v>0</v>
      </c>
      <c r="P40" s="54" t="str">
        <f t="shared" si="39"/>
        <v/>
      </c>
      <c r="Q40" s="468" t="str">
        <f t="shared" si="40"/>
        <v/>
      </c>
      <c r="R40" s="468" t="str">
        <f t="shared" si="41"/>
        <v/>
      </c>
      <c r="S40" s="238"/>
      <c r="T40" s="34" t="str">
        <f t="shared" si="42"/>
        <v/>
      </c>
      <c r="U40" s="238">
        <v>0</v>
      </c>
      <c r="V40" s="54" t="str">
        <f t="shared" si="43"/>
        <v/>
      </c>
      <c r="W40" s="467">
        <f>+Расходы!E266/1000</f>
        <v>7.1692099999999996</v>
      </c>
      <c r="X40" s="54">
        <f t="shared" si="44"/>
        <v>1.2089934062969022E-3</v>
      </c>
      <c r="Y40" s="468" t="str">
        <f t="shared" si="45"/>
        <v/>
      </c>
      <c r="Z40" s="468" t="str">
        <f t="shared" si="46"/>
        <v/>
      </c>
      <c r="AA40" s="238"/>
      <c r="AB40" s="34" t="str">
        <f t="shared" si="47"/>
        <v/>
      </c>
      <c r="AC40" s="238">
        <v>0</v>
      </c>
      <c r="AD40" s="54" t="str">
        <f t="shared" si="48"/>
        <v/>
      </c>
      <c r="AE40" s="467">
        <f>+Расходы!E266/1000</f>
        <v>7.1692099999999996</v>
      </c>
      <c r="AF40" s="54">
        <f t="shared" si="49"/>
        <v>5.2279628387247323E-4</v>
      </c>
      <c r="AG40" s="468" t="str">
        <f t="shared" si="50"/>
        <v/>
      </c>
      <c r="AH40" s="468" t="str">
        <f t="shared" si="51"/>
        <v/>
      </c>
      <c r="AI40" s="238"/>
      <c r="AJ40" s="34" t="str">
        <f t="shared" si="52"/>
        <v/>
      </c>
      <c r="AK40" s="238">
        <v>0</v>
      </c>
      <c r="AL40" s="54" t="str">
        <f t="shared" si="53"/>
        <v/>
      </c>
      <c r="AM40" s="467">
        <f>+Расходы!F266/1000</f>
        <v>49.35</v>
      </c>
      <c r="AN40" s="54">
        <f t="shared" si="54"/>
        <v>3.1407934656221539E-3</v>
      </c>
      <c r="AO40" s="468" t="str">
        <f t="shared" si="55"/>
        <v/>
      </c>
      <c r="AP40" s="468" t="str">
        <f t="shared" si="56"/>
        <v/>
      </c>
      <c r="AQ40" s="344"/>
      <c r="AR40" s="38" t="str">
        <f t="shared" si="57"/>
        <v/>
      </c>
      <c r="AS40" s="238">
        <v>0</v>
      </c>
      <c r="AT40" s="54" t="str">
        <f t="shared" si="58"/>
        <v/>
      </c>
      <c r="AU40" s="467">
        <f>+Расходы!G266/1000</f>
        <v>9.6897299999999991</v>
      </c>
      <c r="AV40" s="54">
        <f t="shared" si="59"/>
        <v>6.7982118731237302E-4</v>
      </c>
      <c r="AW40" s="468" t="str">
        <f t="shared" si="60"/>
        <v/>
      </c>
      <c r="AX40" s="468" t="str">
        <f t="shared" si="61"/>
        <v/>
      </c>
      <c r="AY40" s="344"/>
      <c r="AZ40" s="38" t="str">
        <f t="shared" si="62"/>
        <v/>
      </c>
      <c r="BA40" s="238">
        <v>0</v>
      </c>
      <c r="BB40" s="54" t="str">
        <f t="shared" si="63"/>
        <v/>
      </c>
      <c r="BC40" s="467">
        <f>+Расходы!H266/1000</f>
        <v>0</v>
      </c>
      <c r="BD40" s="54" t="str">
        <f t="shared" si="64"/>
        <v/>
      </c>
      <c r="BE40" s="468" t="str">
        <f t="shared" si="65"/>
        <v/>
      </c>
      <c r="BF40" s="468" t="str">
        <f t="shared" si="66"/>
        <v/>
      </c>
      <c r="BG40" s="344"/>
      <c r="BH40" s="38" t="str">
        <f t="shared" si="67"/>
        <v/>
      </c>
      <c r="BI40" s="238">
        <v>0</v>
      </c>
      <c r="BJ40" s="54" t="str">
        <f t="shared" si="68"/>
        <v/>
      </c>
      <c r="BK40" s="467">
        <f>+Расходы!I266/1000</f>
        <v>0</v>
      </c>
      <c r="BL40" s="54" t="str">
        <f t="shared" si="69"/>
        <v/>
      </c>
      <c r="BM40" s="468" t="str">
        <f t="shared" si="70"/>
        <v/>
      </c>
      <c r="BN40" s="468" t="str">
        <f t="shared" si="71"/>
        <v/>
      </c>
      <c r="BO40" s="344"/>
      <c r="BP40" s="38" t="str">
        <f t="shared" si="72"/>
        <v/>
      </c>
      <c r="BQ40" s="238">
        <v>0</v>
      </c>
      <c r="BR40" s="54" t="str">
        <f t="shared" si="73"/>
        <v/>
      </c>
      <c r="BS40" s="467">
        <f>+Расходы!J266/1000</f>
        <v>0</v>
      </c>
      <c r="BT40" s="54" t="str">
        <f t="shared" si="74"/>
        <v/>
      </c>
      <c r="BU40" s="468" t="str">
        <f t="shared" si="75"/>
        <v/>
      </c>
      <c r="BV40" s="468" t="str">
        <f t="shared" si="76"/>
        <v/>
      </c>
      <c r="BW40" s="344"/>
      <c r="BX40" s="38" t="str">
        <f t="shared" si="77"/>
        <v/>
      </c>
      <c r="BY40" s="238">
        <v>0</v>
      </c>
      <c r="BZ40" s="54" t="str">
        <f t="shared" si="78"/>
        <v/>
      </c>
      <c r="CA40" s="467">
        <f>+Расходы!K266/1000</f>
        <v>0</v>
      </c>
      <c r="CB40" s="54" t="str">
        <f t="shared" si="79"/>
        <v/>
      </c>
      <c r="CC40" s="468" t="str">
        <f t="shared" si="80"/>
        <v/>
      </c>
      <c r="CD40" s="468" t="str">
        <f t="shared" si="81"/>
        <v/>
      </c>
      <c r="CE40" s="344"/>
      <c r="CF40" s="38" t="str">
        <f t="shared" si="82"/>
        <v/>
      </c>
      <c r="CG40" s="238">
        <v>0</v>
      </c>
      <c r="CH40" s="54" t="str">
        <f t="shared" si="83"/>
        <v/>
      </c>
      <c r="CI40" s="467">
        <f>+Расходы!L266/1000</f>
        <v>0</v>
      </c>
      <c r="CJ40" s="54" t="str">
        <f t="shared" si="84"/>
        <v/>
      </c>
      <c r="CK40" s="468" t="str">
        <f t="shared" si="85"/>
        <v/>
      </c>
      <c r="CL40" s="468" t="str">
        <f t="shared" si="86"/>
        <v/>
      </c>
      <c r="CM40" s="344"/>
      <c r="CN40" s="38" t="str">
        <f t="shared" si="87"/>
        <v/>
      </c>
      <c r="CO40" s="238">
        <v>0</v>
      </c>
      <c r="CP40" s="54" t="str">
        <f t="shared" si="88"/>
        <v/>
      </c>
      <c r="CQ40" s="467">
        <f>+Расходы!M266/1000</f>
        <v>0</v>
      </c>
      <c r="CR40" s="54" t="str">
        <f t="shared" si="89"/>
        <v/>
      </c>
      <c r="CS40" s="468" t="str">
        <f t="shared" si="90"/>
        <v/>
      </c>
      <c r="CT40" s="468" t="str">
        <f t="shared" si="91"/>
        <v/>
      </c>
      <c r="CU40" s="344">
        <f t="shared" si="24"/>
        <v>0</v>
      </c>
      <c r="CV40" s="38" t="str">
        <f t="shared" si="25"/>
        <v/>
      </c>
      <c r="CW40" s="238">
        <f t="shared" si="26"/>
        <v>0</v>
      </c>
      <c r="CX40" s="54">
        <f t="shared" si="27"/>
        <v>0</v>
      </c>
      <c r="CY40" s="467">
        <f t="shared" si="28"/>
        <v>73.378150000000005</v>
      </c>
      <c r="CZ40" s="54">
        <f t="shared" si="29"/>
        <v>1.4791285725519266E-3</v>
      </c>
      <c r="DA40" s="468" t="str">
        <f t="shared" si="30"/>
        <v/>
      </c>
      <c r="DB40" s="468" t="str">
        <f t="shared" si="31"/>
        <v/>
      </c>
    </row>
    <row r="41" spans="2:106" s="105" customFormat="1" ht="18" customHeight="1">
      <c r="B41" s="106" t="s">
        <v>24</v>
      </c>
      <c r="C41" s="347">
        <f>SUM(C42:C44)</f>
        <v>0</v>
      </c>
      <c r="D41" s="60" t="str">
        <f>IFERROR(C41/C$4,"")</f>
        <v/>
      </c>
      <c r="E41" s="347">
        <f>SUM(E42:E44)</f>
        <v>0</v>
      </c>
      <c r="F41" s="60" t="str">
        <f>IFERROR(E41/E$4,"")</f>
        <v/>
      </c>
      <c r="G41" s="347">
        <f>SUM(G42:G44)</f>
        <v>0</v>
      </c>
      <c r="H41" s="60" t="str">
        <f>IFERROR(G41/G$4,"")</f>
        <v/>
      </c>
      <c r="I41" s="469" t="str">
        <f t="shared" si="35"/>
        <v/>
      </c>
      <c r="J41" s="469" t="str">
        <f t="shared" si="36"/>
        <v/>
      </c>
      <c r="K41" s="347">
        <f>SUM(K42:K44)</f>
        <v>0</v>
      </c>
      <c r="L41" s="60" t="str">
        <f>IFERROR(K41/K$4,"")</f>
        <v/>
      </c>
      <c r="M41" s="347">
        <f>SUM(M42:M44)</f>
        <v>0</v>
      </c>
      <c r="N41" s="60" t="str">
        <f>IFERROR(M41/M$4,"")</f>
        <v/>
      </c>
      <c r="O41" s="347">
        <f>SUM(O42:O44)</f>
        <v>0</v>
      </c>
      <c r="P41" s="60" t="str">
        <f>IFERROR(O41/O$4,"")</f>
        <v/>
      </c>
      <c r="Q41" s="469" t="str">
        <f t="shared" si="40"/>
        <v/>
      </c>
      <c r="R41" s="469" t="str">
        <f t="shared" si="41"/>
        <v/>
      </c>
      <c r="S41" s="347">
        <f>SUM(S42:S44)</f>
        <v>0</v>
      </c>
      <c r="T41" s="60" t="str">
        <f>IFERROR(S41/S$4,"")</f>
        <v/>
      </c>
      <c r="U41" s="347">
        <f>SUM(U42:U44)</f>
        <v>0</v>
      </c>
      <c r="V41" s="60" t="str">
        <f>IFERROR(U41/U$4,"")</f>
        <v/>
      </c>
      <c r="W41" s="347">
        <f>SUM(W42:W44)</f>
        <v>3873.2001799999998</v>
      </c>
      <c r="X41" s="60">
        <f>IFERROR(W41/W$4,"")</f>
        <v>0.65316450193089259</v>
      </c>
      <c r="Y41" s="469" t="str">
        <f t="shared" si="45"/>
        <v/>
      </c>
      <c r="Z41" s="469" t="str">
        <f t="shared" si="46"/>
        <v/>
      </c>
      <c r="AA41" s="347">
        <f>SUM(AA42:AA44)</f>
        <v>0</v>
      </c>
      <c r="AB41" s="60" t="str">
        <f>IFERROR(AA41/AA$4,"")</f>
        <v/>
      </c>
      <c r="AC41" s="347">
        <f>SUM(AC42:AC44)</f>
        <v>10253.880000000001</v>
      </c>
      <c r="AD41" s="60">
        <f>IFERROR(AC41/AC$4,"")</f>
        <v>0.75000000000000011</v>
      </c>
      <c r="AE41" s="347">
        <f>SUM(AE42:AE44)</f>
        <v>9730.7998500000012</v>
      </c>
      <c r="AF41" s="60">
        <f>IFERROR(AE41/AE$4,"")</f>
        <v>0.70959366522766387</v>
      </c>
      <c r="AG41" s="469">
        <f t="shared" si="50"/>
        <v>-5.1012899507308473E-2</v>
      </c>
      <c r="AH41" s="469" t="str">
        <f t="shared" si="51"/>
        <v/>
      </c>
      <c r="AI41" s="347">
        <f>SUM(AI42:AI44)</f>
        <v>0</v>
      </c>
      <c r="AJ41" s="60" t="str">
        <f>IFERROR(AI41/AI$4,"")</f>
        <v/>
      </c>
      <c r="AK41" s="347">
        <f>SUM(AK42:AK44)</f>
        <v>10479</v>
      </c>
      <c r="AL41" s="60">
        <f>IFERROR(AK41/AK$4,"")</f>
        <v>0.75</v>
      </c>
      <c r="AM41" s="347">
        <f>SUM(AM42:AM44)</f>
        <v>11092.33872</v>
      </c>
      <c r="AN41" s="60">
        <f>IFERROR(AM41/AM$4,"")</f>
        <v>0.70595227903229196</v>
      </c>
      <c r="AO41" s="469">
        <f t="shared" si="55"/>
        <v>5.8530271972516479E-2</v>
      </c>
      <c r="AP41" s="469" t="str">
        <f t="shared" si="56"/>
        <v/>
      </c>
      <c r="AQ41" s="347">
        <f>SUM(AQ42:AQ44)</f>
        <v>0</v>
      </c>
      <c r="AR41" s="60" t="str">
        <f>IFERROR(AQ41/AQ$4,"")</f>
        <v/>
      </c>
      <c r="AS41" s="347">
        <f>SUM(AS42:AS44)</f>
        <v>10858.800000000001</v>
      </c>
      <c r="AT41" s="60">
        <f>IFERROR(AS41/AS$4,"")</f>
        <v>0.72007957559681701</v>
      </c>
      <c r="AU41" s="347">
        <f>SUM(AU42:AU44)</f>
        <v>10141.694670000001</v>
      </c>
      <c r="AV41" s="60">
        <f>IFERROR(AU41/AU$4,"")</f>
        <v>0.71153054955287354</v>
      </c>
      <c r="AW41" s="469">
        <f t="shared" si="60"/>
        <v>-6.6039095480163623E-2</v>
      </c>
      <c r="AX41" s="469" t="str">
        <f t="shared" si="61"/>
        <v/>
      </c>
      <c r="AY41" s="347">
        <f>SUM(AY42:AY44)</f>
        <v>0</v>
      </c>
      <c r="AZ41" s="60" t="str">
        <f>IFERROR(AY41/AY$4,"")</f>
        <v/>
      </c>
      <c r="BA41" s="347">
        <f>SUM(BA42:BA44)</f>
        <v>11282.4</v>
      </c>
      <c r="BB41" s="60">
        <f>IFERROR(BA41/BA$4,"")</f>
        <v>0.72011488750598374</v>
      </c>
      <c r="BC41" s="347">
        <f>SUM(BC42:BC44)</f>
        <v>0</v>
      </c>
      <c r="BD41" s="60" t="str">
        <f>IFERROR(BC41/BC$4,"")</f>
        <v/>
      </c>
      <c r="BE41" s="469">
        <f t="shared" si="65"/>
        <v>-1</v>
      </c>
      <c r="BF41" s="469" t="str">
        <f t="shared" si="66"/>
        <v/>
      </c>
      <c r="BG41" s="347">
        <f>SUM(BG42:BG44)</f>
        <v>0</v>
      </c>
      <c r="BH41" s="60" t="str">
        <f>IFERROR(BG41/BG$4,"")</f>
        <v/>
      </c>
      <c r="BI41" s="347">
        <f>SUM(BI42:BI44)</f>
        <v>11282.4</v>
      </c>
      <c r="BJ41" s="60">
        <f>IFERROR(BI41/BI$4,"")</f>
        <v>0.72011488750598374</v>
      </c>
      <c r="BK41" s="347">
        <f>SUM(BK42:BK44)</f>
        <v>0</v>
      </c>
      <c r="BL41" s="60" t="str">
        <f>IFERROR(BK41/BK$4,"")</f>
        <v/>
      </c>
      <c r="BM41" s="469">
        <f t="shared" si="70"/>
        <v>-1</v>
      </c>
      <c r="BN41" s="469" t="str">
        <f t="shared" si="71"/>
        <v/>
      </c>
      <c r="BO41" s="347">
        <f>SUM(BO42:BO44)</f>
        <v>0</v>
      </c>
      <c r="BP41" s="60" t="str">
        <f>IFERROR(BO41/BO$4,"")</f>
        <v/>
      </c>
      <c r="BQ41" s="347">
        <f>SUM(BQ42:BQ44)</f>
        <v>10427.599999999999</v>
      </c>
      <c r="BR41" s="60">
        <f>IFERROR(BQ41/BQ$4,"")</f>
        <v>0.72013812154696122</v>
      </c>
      <c r="BS41" s="347">
        <f>SUM(BS42:BS44)</f>
        <v>0</v>
      </c>
      <c r="BT41" s="60" t="str">
        <f>IFERROR(BS41/BS$4,"")</f>
        <v/>
      </c>
      <c r="BU41" s="469">
        <f t="shared" si="75"/>
        <v>-1</v>
      </c>
      <c r="BV41" s="469" t="str">
        <f t="shared" si="76"/>
        <v/>
      </c>
      <c r="BW41" s="347">
        <f>SUM(BW42:BW44)</f>
        <v>0</v>
      </c>
      <c r="BX41" s="60" t="str">
        <f>IFERROR(BW41/BW$4,"")</f>
        <v/>
      </c>
      <c r="BY41" s="347">
        <f>SUM(BY42:BY44)</f>
        <v>10901.395764815585</v>
      </c>
      <c r="BZ41" s="60">
        <f>IFERROR(BY41/BY$4,"")</f>
        <v>0.7740252768975826</v>
      </c>
      <c r="CA41" s="347">
        <f>SUM(CA42:CA44)</f>
        <v>0</v>
      </c>
      <c r="CB41" s="60" t="str">
        <f>IFERROR(CA41/CA$4,"")</f>
        <v/>
      </c>
      <c r="CC41" s="469">
        <f t="shared" si="80"/>
        <v>-1</v>
      </c>
      <c r="CD41" s="469" t="str">
        <f t="shared" si="81"/>
        <v/>
      </c>
      <c r="CE41" s="347">
        <f>SUM(CE42:CE44)</f>
        <v>0</v>
      </c>
      <c r="CF41" s="60" t="str">
        <f>IFERROR(CE41/CE$4,"")</f>
        <v/>
      </c>
      <c r="CG41" s="347">
        <f>SUM(CG42:CG44)</f>
        <v>11202.869829827479</v>
      </c>
      <c r="CH41" s="60">
        <f>IFERROR(CG41/CG$4,"")</f>
        <v>0.77043195169077605</v>
      </c>
      <c r="CI41" s="347">
        <f>SUM(CI42:CI44)</f>
        <v>0</v>
      </c>
      <c r="CJ41" s="60" t="str">
        <f>IFERROR(CI41/CI$4,"")</f>
        <v/>
      </c>
      <c r="CK41" s="469">
        <f t="shared" si="85"/>
        <v>-1</v>
      </c>
      <c r="CL41" s="469" t="str">
        <f t="shared" si="86"/>
        <v/>
      </c>
      <c r="CM41" s="347">
        <f>SUM(CM42:CM44)</f>
        <v>0</v>
      </c>
      <c r="CN41" s="60" t="str">
        <f>IFERROR(CM41/CM$4,"")</f>
        <v/>
      </c>
      <c r="CO41" s="347">
        <f>SUM(CO42:CO44)</f>
        <v>11890.497283849252</v>
      </c>
      <c r="CP41" s="60">
        <f>IFERROR(CO41/CO$4,"")</f>
        <v>0.76980677351045168</v>
      </c>
      <c r="CQ41" s="347">
        <f>SUM(CQ42:CQ44)</f>
        <v>0</v>
      </c>
      <c r="CR41" s="60" t="str">
        <f>IFERROR(CQ41/CQ$4,"")</f>
        <v/>
      </c>
      <c r="CS41" s="469">
        <f t="shared" si="90"/>
        <v>-1</v>
      </c>
      <c r="CT41" s="469" t="str">
        <f t="shared" si="91"/>
        <v/>
      </c>
      <c r="CU41" s="347">
        <f t="shared" si="24"/>
        <v>0</v>
      </c>
      <c r="CV41" s="60" t="str">
        <f t="shared" si="25"/>
        <v/>
      </c>
      <c r="CW41" s="347">
        <f t="shared" si="26"/>
        <v>98578.842878492316</v>
      </c>
      <c r="CX41" s="60">
        <f t="shared" si="27"/>
        <v>0.74337426362269166</v>
      </c>
      <c r="CY41" s="347">
        <f t="shared" si="28"/>
        <v>34838.033420000007</v>
      </c>
      <c r="CZ41" s="60">
        <f t="shared" si="29"/>
        <v>0.7022517008542859</v>
      </c>
      <c r="DA41" s="469">
        <f t="shared" si="30"/>
        <v>-0.64659725755818465</v>
      </c>
      <c r="DB41" s="469" t="str">
        <f t="shared" si="31"/>
        <v/>
      </c>
    </row>
    <row r="42" spans="2:106" s="103" customFormat="1" ht="13.15" customHeight="1">
      <c r="B42" s="107" t="s">
        <v>16</v>
      </c>
      <c r="C42" s="344">
        <f>SUM(C5-C18-C21)</f>
        <v>0</v>
      </c>
      <c r="D42" s="34" t="str">
        <f>IFERROR(C42/C$5,"")</f>
        <v/>
      </c>
      <c r="E42" s="344">
        <f>SUM(E5-E18-E21)</f>
        <v>0</v>
      </c>
      <c r="F42" s="34" t="str">
        <f>IFERROR(E42/E$5,"")</f>
        <v/>
      </c>
      <c r="G42" s="344">
        <f>SUM(G5-G18-G21)</f>
        <v>0</v>
      </c>
      <c r="H42" s="34" t="str">
        <f>IFERROR(G42/G$5,"")</f>
        <v/>
      </c>
      <c r="I42" s="470" t="str">
        <f t="shared" si="35"/>
        <v/>
      </c>
      <c r="J42" s="470" t="str">
        <f t="shared" si="36"/>
        <v/>
      </c>
      <c r="K42" s="344">
        <f>SUM(K5-K18-K21)</f>
        <v>0</v>
      </c>
      <c r="L42" s="34" t="str">
        <f>IFERROR(K42/K$5,"")</f>
        <v/>
      </c>
      <c r="M42" s="344">
        <f>SUM(M5-M18-M21)</f>
        <v>0</v>
      </c>
      <c r="N42" s="34" t="str">
        <f>IFERROR(M42/M$5,"")</f>
        <v/>
      </c>
      <c r="O42" s="344">
        <f>SUM(O5-O18-O21)</f>
        <v>0</v>
      </c>
      <c r="P42" s="34" t="str">
        <f>IFERROR(O42/O$5,"")</f>
        <v/>
      </c>
      <c r="Q42" s="470" t="str">
        <f t="shared" si="40"/>
        <v/>
      </c>
      <c r="R42" s="470" t="str">
        <f t="shared" si="41"/>
        <v/>
      </c>
      <c r="S42" s="344">
        <f>SUM(S5-S18-S21)</f>
        <v>0</v>
      </c>
      <c r="T42" s="34" t="str">
        <f>IFERROR(S42/S$5,"")</f>
        <v/>
      </c>
      <c r="U42" s="344">
        <f>SUM(U5-U18-U21)</f>
        <v>0</v>
      </c>
      <c r="V42" s="34" t="str">
        <f>IFERROR(U42/U$5,"")</f>
        <v/>
      </c>
      <c r="W42" s="344">
        <f>SUM(W5-W18-W21)</f>
        <v>3873.2001799999998</v>
      </c>
      <c r="X42" s="34">
        <f>IFERROR(W42/W$5,"")</f>
        <v>0.65316450193089259</v>
      </c>
      <c r="Y42" s="470" t="str">
        <f t="shared" si="45"/>
        <v/>
      </c>
      <c r="Z42" s="470" t="str">
        <f t="shared" si="46"/>
        <v/>
      </c>
      <c r="AA42" s="344">
        <f>SUM(AA5-AA18-AA21)</f>
        <v>0</v>
      </c>
      <c r="AB42" s="34" t="str">
        <f>IFERROR(AA42/AA$5,"")</f>
        <v/>
      </c>
      <c r="AC42" s="344">
        <f>SUM(AC5-AC18-AC21)</f>
        <v>10253.880000000001</v>
      </c>
      <c r="AD42" s="34">
        <f>IFERROR(AC42/AC$5,"")</f>
        <v>0.75000000000000011</v>
      </c>
      <c r="AE42" s="344">
        <f>SUM(AE5-AE18-AE21)</f>
        <v>9730.7998500000012</v>
      </c>
      <c r="AF42" s="34">
        <f>IFERROR(AE42/AE$5,"")</f>
        <v>0.70959366522766387</v>
      </c>
      <c r="AG42" s="470">
        <f t="shared" si="50"/>
        <v>-5.1012899507308473E-2</v>
      </c>
      <c r="AH42" s="470" t="str">
        <f t="shared" si="51"/>
        <v/>
      </c>
      <c r="AI42" s="344">
        <f>SUM(AI5-AI18-AI21)</f>
        <v>0</v>
      </c>
      <c r="AJ42" s="34" t="str">
        <f>IFERROR(AI42/AI$5,"")</f>
        <v/>
      </c>
      <c r="AK42" s="344">
        <f>SUM(AK5-AK18-AK21)</f>
        <v>10254</v>
      </c>
      <c r="AL42" s="34">
        <f>IFERROR(AK42/AK$5,"")</f>
        <v>0.75</v>
      </c>
      <c r="AM42" s="344">
        <f>SUM(AM5-AM18-AM21)</f>
        <v>11092.33872</v>
      </c>
      <c r="AN42" s="34">
        <f>IFERROR(AM42/AM$5,"")</f>
        <v>0.70595227903229196</v>
      </c>
      <c r="AO42" s="470">
        <f t="shared" si="55"/>
        <v>8.1757238150965472E-2</v>
      </c>
      <c r="AP42" s="470" t="str">
        <f t="shared" si="56"/>
        <v/>
      </c>
      <c r="AQ42" s="344">
        <f>SUM(AQ5-AQ18-AQ21)</f>
        <v>0</v>
      </c>
      <c r="AR42" s="38" t="str">
        <f>IFERROR(AQ42/AQ$5,"")</f>
        <v/>
      </c>
      <c r="AS42" s="344">
        <f>SUM(AS5-AS18-AS21)</f>
        <v>10771.2</v>
      </c>
      <c r="AT42" s="34">
        <f>IFERROR(AS42/AS$5,"")</f>
        <v>0.72000000000000008</v>
      </c>
      <c r="AU42" s="344">
        <f>SUM(AU5-AU18-AU21)</f>
        <v>10141.694670000001</v>
      </c>
      <c r="AV42" s="34">
        <f>IFERROR(AU42/AU$5,"")</f>
        <v>0.71153054955287354</v>
      </c>
      <c r="AW42" s="470">
        <f t="shared" si="60"/>
        <v>-5.8443379567736153E-2</v>
      </c>
      <c r="AX42" s="470" t="str">
        <f t="shared" si="61"/>
        <v/>
      </c>
      <c r="AY42" s="344">
        <f>SUM(AY5-AY18-AY21)</f>
        <v>0</v>
      </c>
      <c r="AZ42" s="38" t="str">
        <f>IFERROR(AY42/AY$5,"")</f>
        <v/>
      </c>
      <c r="BA42" s="344">
        <f>SUM(BA5-BA18-BA21)</f>
        <v>11151</v>
      </c>
      <c r="BB42" s="34">
        <f>IFERROR(BA42/BA$5,"")</f>
        <v>0.72</v>
      </c>
      <c r="BC42" s="344">
        <f>SUM(BC5-BC18-BC21)</f>
        <v>0</v>
      </c>
      <c r="BD42" s="34" t="str">
        <f>IFERROR(BC42/BC$5,"")</f>
        <v/>
      </c>
      <c r="BE42" s="470">
        <f t="shared" si="65"/>
        <v>-1</v>
      </c>
      <c r="BF42" s="470" t="str">
        <f t="shared" si="66"/>
        <v/>
      </c>
      <c r="BG42" s="344">
        <f>SUM(BG5-BG18-BG21)</f>
        <v>0</v>
      </c>
      <c r="BH42" s="38" t="str">
        <f>IFERROR(BG42/BG$5,"")</f>
        <v/>
      </c>
      <c r="BI42" s="344">
        <f>SUM(BI5-BI18-BI21)</f>
        <v>11151</v>
      </c>
      <c r="BJ42" s="34">
        <f>IFERROR(BI42/BI$5,"")</f>
        <v>0.72</v>
      </c>
      <c r="BK42" s="344">
        <f>SUM(BK5-BK18-BK21)</f>
        <v>0</v>
      </c>
      <c r="BL42" s="34" t="str">
        <f>IFERROR(BK42/BK$5,"")</f>
        <v/>
      </c>
      <c r="BM42" s="470">
        <f t="shared" si="70"/>
        <v>-1</v>
      </c>
      <c r="BN42" s="470" t="str">
        <f t="shared" si="71"/>
        <v/>
      </c>
      <c r="BO42" s="344">
        <f>SUM(BO5-BO18-BO21)</f>
        <v>0</v>
      </c>
      <c r="BP42" s="38" t="str">
        <f>IFERROR(BO42/BO$5,"")</f>
        <v/>
      </c>
      <c r="BQ42" s="344">
        <f>SUM(BQ5-BQ18-BQ21)</f>
        <v>10281.599999999999</v>
      </c>
      <c r="BR42" s="34">
        <f>IFERROR(BQ42/BQ$5,"")</f>
        <v>0.71999999999999986</v>
      </c>
      <c r="BS42" s="344">
        <f>SUM(BS5-BS18-BS21)</f>
        <v>0</v>
      </c>
      <c r="BT42" s="34" t="str">
        <f>IFERROR(BS42/BS$5,"")</f>
        <v/>
      </c>
      <c r="BU42" s="470">
        <f t="shared" si="75"/>
        <v>-1</v>
      </c>
      <c r="BV42" s="470" t="str">
        <f t="shared" si="76"/>
        <v/>
      </c>
      <c r="BW42" s="344">
        <f>SUM(BW5-BW18-BW21)</f>
        <v>0</v>
      </c>
      <c r="BX42" s="38" t="str">
        <f>IFERROR(BW42/BW$5,"")</f>
        <v/>
      </c>
      <c r="BY42" s="344">
        <f>SUM(BY5-BY18-BY21)</f>
        <v>8041.4671011857936</v>
      </c>
      <c r="BZ42" s="34">
        <f>IFERROR(BY42/BY$5,"")</f>
        <v>0.77426347880588808</v>
      </c>
      <c r="CA42" s="344">
        <f>SUM(CA5-CA18-CA21)</f>
        <v>0</v>
      </c>
      <c r="CB42" s="34" t="str">
        <f>IFERROR(CA42/CA$5,"")</f>
        <v/>
      </c>
      <c r="CC42" s="470">
        <f t="shared" si="80"/>
        <v>-1</v>
      </c>
      <c r="CD42" s="470" t="str">
        <f t="shared" si="81"/>
        <v/>
      </c>
      <c r="CE42" s="344">
        <f>SUM(CE5-CE18-CE21)</f>
        <v>0</v>
      </c>
      <c r="CF42" s="38" t="str">
        <f>IFERROR(CE42/CE$5,"")</f>
        <v/>
      </c>
      <c r="CG42" s="344">
        <f>SUM(CG5-CG18-CG21)</f>
        <v>8560.4872700556807</v>
      </c>
      <c r="CH42" s="34">
        <f>IFERROR(CG42/CG$5,"")</f>
        <v>0.77039382967452996</v>
      </c>
      <c r="CI42" s="344">
        <f>SUM(CI5-CI18-CI21)</f>
        <v>0</v>
      </c>
      <c r="CJ42" s="34" t="str">
        <f>IFERROR(CI42/CI$5,"")</f>
        <v/>
      </c>
      <c r="CK42" s="470">
        <f t="shared" si="85"/>
        <v>-1</v>
      </c>
      <c r="CL42" s="470" t="str">
        <f t="shared" si="86"/>
        <v/>
      </c>
      <c r="CM42" s="344">
        <f>SUM(CM5-CM18-CM21)</f>
        <v>0</v>
      </c>
      <c r="CN42" s="38" t="str">
        <f>IFERROR(CM42/CM$5,"")</f>
        <v/>
      </c>
      <c r="CO42" s="344">
        <f>SUM(CO5-CO18-CO21)</f>
        <v>8694.335088890266</v>
      </c>
      <c r="CP42" s="34">
        <f>IFERROR(CO42/CO$5,"")</f>
        <v>0.77022135306264805</v>
      </c>
      <c r="CQ42" s="344">
        <f>SUM(CQ5-CQ18-CQ21)</f>
        <v>0</v>
      </c>
      <c r="CR42" s="34" t="str">
        <f>IFERROR(CQ42/CQ$5,"")</f>
        <v/>
      </c>
      <c r="CS42" s="470">
        <f t="shared" si="90"/>
        <v>-1</v>
      </c>
      <c r="CT42" s="470" t="str">
        <f t="shared" si="91"/>
        <v/>
      </c>
      <c r="CU42" s="344">
        <f t="shared" si="24"/>
        <v>0</v>
      </c>
      <c r="CV42" s="38" t="str">
        <f t="shared" si="25"/>
        <v/>
      </c>
      <c r="CW42" s="344">
        <f t="shared" si="26"/>
        <v>89158.969460131731</v>
      </c>
      <c r="CX42" s="34">
        <f t="shared" si="27"/>
        <v>0.67233983816870257</v>
      </c>
      <c r="CY42" s="344">
        <f t="shared" si="28"/>
        <v>34838.033420000007</v>
      </c>
      <c r="CZ42" s="34">
        <f t="shared" si="29"/>
        <v>0.7022517008542859</v>
      </c>
      <c r="DA42" s="470">
        <f t="shared" si="30"/>
        <v>-0.60925935291818112</v>
      </c>
      <c r="DB42" s="470" t="str">
        <f t="shared" si="31"/>
        <v/>
      </c>
    </row>
    <row r="43" spans="2:106" s="103" customFormat="1" ht="13.15" customHeight="1">
      <c r="B43" s="107" t="s">
        <v>17</v>
      </c>
      <c r="C43" s="344">
        <f>SUM(C6-C19)</f>
        <v>0</v>
      </c>
      <c r="D43" s="34" t="str">
        <f>IFERROR(C43/C$6,"")</f>
        <v/>
      </c>
      <c r="E43" s="344">
        <f>SUM(E6-E19)</f>
        <v>0</v>
      </c>
      <c r="F43" s="34" t="str">
        <f>IFERROR(E43/E$6,"")</f>
        <v/>
      </c>
      <c r="G43" s="344">
        <f>SUM(G6-G19)</f>
        <v>0</v>
      </c>
      <c r="H43" s="34" t="str">
        <f>IFERROR(G43/G$6,"")</f>
        <v/>
      </c>
      <c r="I43" s="470" t="str">
        <f t="shared" si="35"/>
        <v/>
      </c>
      <c r="J43" s="470" t="str">
        <f t="shared" si="36"/>
        <v/>
      </c>
      <c r="K43" s="344">
        <f>SUM(K6-K19)</f>
        <v>0</v>
      </c>
      <c r="L43" s="34" t="str">
        <f>IFERROR(K43/K$6,"")</f>
        <v/>
      </c>
      <c r="M43" s="344">
        <f>SUM(M6-M19)</f>
        <v>0</v>
      </c>
      <c r="N43" s="34" t="str">
        <f>IFERROR(M43/M$6,"")</f>
        <v/>
      </c>
      <c r="O43" s="344">
        <f>SUM(O6-O19)</f>
        <v>0</v>
      </c>
      <c r="P43" s="34" t="str">
        <f>IFERROR(O43/O$6,"")</f>
        <v/>
      </c>
      <c r="Q43" s="470" t="str">
        <f t="shared" si="40"/>
        <v/>
      </c>
      <c r="R43" s="470" t="str">
        <f t="shared" si="41"/>
        <v/>
      </c>
      <c r="S43" s="344">
        <f>SUM(S6-S19)</f>
        <v>0</v>
      </c>
      <c r="T43" s="34" t="str">
        <f>IFERROR(S43/S$6,"")</f>
        <v/>
      </c>
      <c r="U43" s="344">
        <f>SUM(U6-U19)</f>
        <v>0</v>
      </c>
      <c r="V43" s="34" t="str">
        <f>IFERROR(U43/U$6,"")</f>
        <v/>
      </c>
      <c r="W43" s="344">
        <f>SUM(W6-W19)</f>
        <v>0</v>
      </c>
      <c r="X43" s="34" t="str">
        <f>IFERROR(W43/W$6,"")</f>
        <v/>
      </c>
      <c r="Y43" s="470" t="str">
        <f t="shared" si="45"/>
        <v/>
      </c>
      <c r="Z43" s="470" t="str">
        <f t="shared" si="46"/>
        <v/>
      </c>
      <c r="AA43" s="344">
        <f>SUM(AA6-AA19)</f>
        <v>0</v>
      </c>
      <c r="AB43" s="34" t="str">
        <f>IFERROR(AA43/AA$6,"")</f>
        <v/>
      </c>
      <c r="AC43" s="344">
        <f>SUM(AC6-AC19)</f>
        <v>0</v>
      </c>
      <c r="AD43" s="34" t="str">
        <f>IFERROR(AC43/AC$6,"")</f>
        <v/>
      </c>
      <c r="AE43" s="344">
        <f>SUM(AE6-AE19)</f>
        <v>0</v>
      </c>
      <c r="AF43" s="34" t="str">
        <f>IFERROR(AE43/AE$6,"")</f>
        <v/>
      </c>
      <c r="AG43" s="470" t="str">
        <f t="shared" si="50"/>
        <v/>
      </c>
      <c r="AH43" s="470" t="str">
        <f t="shared" si="51"/>
        <v/>
      </c>
      <c r="AI43" s="344">
        <f>SUM(AI6-AI19)</f>
        <v>0</v>
      </c>
      <c r="AJ43" s="34" t="str">
        <f>IFERROR(AI43/AI$6,"")</f>
        <v/>
      </c>
      <c r="AK43" s="344">
        <f>SUM(AK6-AK19)</f>
        <v>225</v>
      </c>
      <c r="AL43" s="34">
        <f>IFERROR(AK43/AK$6,"")</f>
        <v>0.75</v>
      </c>
      <c r="AM43" s="344">
        <f>SUM(AM6-AM19)</f>
        <v>0</v>
      </c>
      <c r="AN43" s="34" t="str">
        <f>IFERROR(AM43/AM$6,"")</f>
        <v/>
      </c>
      <c r="AO43" s="470">
        <f t="shared" si="55"/>
        <v>-1</v>
      </c>
      <c r="AP43" s="470" t="str">
        <f t="shared" si="56"/>
        <v/>
      </c>
      <c r="AQ43" s="344">
        <f>SUM(AQ6-AQ19)</f>
        <v>0</v>
      </c>
      <c r="AR43" s="38" t="str">
        <f>IFERROR(AQ43/AQ$6,"")</f>
        <v/>
      </c>
      <c r="AS43" s="344">
        <f>SUM(AS6-AS19)</f>
        <v>87.6</v>
      </c>
      <c r="AT43" s="34">
        <f>IFERROR(AS43/AS$6,"")</f>
        <v>0.73</v>
      </c>
      <c r="AU43" s="344">
        <f>SUM(AU6-AU19)</f>
        <v>0</v>
      </c>
      <c r="AV43" s="34" t="str">
        <f>IFERROR(AU43/AU$6,"")</f>
        <v/>
      </c>
      <c r="AW43" s="470">
        <f t="shared" si="60"/>
        <v>-1</v>
      </c>
      <c r="AX43" s="470" t="str">
        <f t="shared" si="61"/>
        <v/>
      </c>
      <c r="AY43" s="344">
        <f>SUM(AY6-AY19)</f>
        <v>0</v>
      </c>
      <c r="AZ43" s="38" t="str">
        <f>IFERROR(AY43/AY$6,"")</f>
        <v/>
      </c>
      <c r="BA43" s="344">
        <f>SUM(BA6-BA19)</f>
        <v>131.4</v>
      </c>
      <c r="BB43" s="34">
        <f>IFERROR(BA43/BA$6,"")</f>
        <v>0.73</v>
      </c>
      <c r="BC43" s="344">
        <f>SUM(BC6-BC19)</f>
        <v>0</v>
      </c>
      <c r="BD43" s="34" t="str">
        <f>IFERROR(BC43/BC$6,"")</f>
        <v/>
      </c>
      <c r="BE43" s="470">
        <f t="shared" si="65"/>
        <v>-1</v>
      </c>
      <c r="BF43" s="470" t="str">
        <f t="shared" si="66"/>
        <v/>
      </c>
      <c r="BG43" s="344">
        <f>SUM(BG6-BG19)</f>
        <v>0</v>
      </c>
      <c r="BH43" s="38" t="str">
        <f>IFERROR(BG43/BG$6,"")</f>
        <v/>
      </c>
      <c r="BI43" s="344">
        <f>SUM(BI6-BI19)</f>
        <v>131.4</v>
      </c>
      <c r="BJ43" s="34">
        <f>IFERROR(BI43/BI$6,"")</f>
        <v>0.73</v>
      </c>
      <c r="BK43" s="344">
        <f>SUM(BK6-BK19)</f>
        <v>0</v>
      </c>
      <c r="BL43" s="34" t="str">
        <f>IFERROR(BK43/BK$6,"")</f>
        <v/>
      </c>
      <c r="BM43" s="470">
        <f t="shared" si="70"/>
        <v>-1</v>
      </c>
      <c r="BN43" s="470" t="str">
        <f t="shared" si="71"/>
        <v/>
      </c>
      <c r="BO43" s="344">
        <f>SUM(BO6-BO19)</f>
        <v>0</v>
      </c>
      <c r="BP43" s="38" t="str">
        <f>IFERROR(BO43/BO$6,"")</f>
        <v/>
      </c>
      <c r="BQ43" s="344">
        <f>SUM(BQ6-BQ19)</f>
        <v>146</v>
      </c>
      <c r="BR43" s="34">
        <f>IFERROR(BQ43/BQ$6,"")</f>
        <v>0.73</v>
      </c>
      <c r="BS43" s="344">
        <f>SUM(BS6-BS19)</f>
        <v>0</v>
      </c>
      <c r="BT43" s="34" t="str">
        <f>IFERROR(BS43/BS$6,"")</f>
        <v/>
      </c>
      <c r="BU43" s="470">
        <f t="shared" si="75"/>
        <v>-1</v>
      </c>
      <c r="BV43" s="470" t="str">
        <f t="shared" si="76"/>
        <v/>
      </c>
      <c r="BW43" s="344">
        <f>SUM(BW6-BW19)</f>
        <v>0</v>
      </c>
      <c r="BX43" s="38" t="str">
        <f>IFERROR(BW43/BW$6,"")</f>
        <v/>
      </c>
      <c r="BY43" s="344">
        <f>SUM(BY6-BY19)</f>
        <v>2859.9286636297907</v>
      </c>
      <c r="BZ43" s="34">
        <f>IFERROR(BY43/BY$6,"")</f>
        <v>0.7733562922145607</v>
      </c>
      <c r="CA43" s="344">
        <f>SUM(CA6-CA19)</f>
        <v>0</v>
      </c>
      <c r="CB43" s="34" t="str">
        <f>IFERROR(CA43/CA$6,"")</f>
        <v/>
      </c>
      <c r="CC43" s="470">
        <f t="shared" si="80"/>
        <v>-1</v>
      </c>
      <c r="CD43" s="470" t="str">
        <f t="shared" si="81"/>
        <v/>
      </c>
      <c r="CE43" s="344">
        <f>SUM(CE6-CE19)</f>
        <v>0</v>
      </c>
      <c r="CF43" s="38" t="str">
        <f>IFERROR(CE43/CE$6,"")</f>
        <v/>
      </c>
      <c r="CG43" s="344">
        <f>SUM(CG6-CG19)</f>
        <v>2642.3825597717996</v>
      </c>
      <c r="CH43" s="34">
        <f>IFERROR(CG43/CG$6,"")</f>
        <v>0.77055548093143533</v>
      </c>
      <c r="CI43" s="344">
        <f>SUM(CI6-CI19)</f>
        <v>0</v>
      </c>
      <c r="CJ43" s="34" t="str">
        <f>IFERROR(CI43/CI$6,"")</f>
        <v/>
      </c>
      <c r="CK43" s="470">
        <f t="shared" si="85"/>
        <v>-1</v>
      </c>
      <c r="CL43" s="470" t="str">
        <f t="shared" si="86"/>
        <v/>
      </c>
      <c r="CM43" s="344">
        <f>SUM(CM6-CM19)</f>
        <v>0</v>
      </c>
      <c r="CN43" s="38" t="str">
        <f>IFERROR(CM43/CM$6,"")</f>
        <v/>
      </c>
      <c r="CO43" s="344">
        <f>SUM(CO6-CO19)</f>
        <v>3196.1621949589867</v>
      </c>
      <c r="CP43" s="34">
        <f>IFERROR(CO43/CO$6,"")</f>
        <v>0.76868127172661849</v>
      </c>
      <c r="CQ43" s="344">
        <f>SUM(CQ6-CQ19)</f>
        <v>0</v>
      </c>
      <c r="CR43" s="34" t="str">
        <f>IFERROR(CQ43/CQ$6,"")</f>
        <v/>
      </c>
      <c r="CS43" s="470">
        <f t="shared" si="90"/>
        <v>-1</v>
      </c>
      <c r="CT43" s="470" t="str">
        <f t="shared" si="91"/>
        <v/>
      </c>
      <c r="CU43" s="344">
        <f t="shared" si="24"/>
        <v>0</v>
      </c>
      <c r="CV43" s="38" t="str">
        <f t="shared" si="25"/>
        <v/>
      </c>
      <c r="CW43" s="344">
        <f t="shared" si="26"/>
        <v>9419.8734183605775</v>
      </c>
      <c r="CX43" s="34">
        <f t="shared" si="27"/>
        <v>7.1034425453989053E-2</v>
      </c>
      <c r="CY43" s="344">
        <f t="shared" si="28"/>
        <v>0</v>
      </c>
      <c r="CZ43" s="34">
        <f t="shared" si="29"/>
        <v>0</v>
      </c>
      <c r="DA43" s="470">
        <f t="shared" si="30"/>
        <v>-1</v>
      </c>
      <c r="DB43" s="470" t="str">
        <f t="shared" si="31"/>
        <v/>
      </c>
    </row>
    <row r="44" spans="2:106" s="103" customFormat="1" ht="14.45" customHeight="1">
      <c r="B44" s="93" t="s">
        <v>18</v>
      </c>
      <c r="C44" s="344">
        <f>SUM(C7-C20)</f>
        <v>0</v>
      </c>
      <c r="D44" s="34" t="str">
        <f>IFERROR(C44/C$7,"")</f>
        <v/>
      </c>
      <c r="E44" s="344">
        <f>SUM(E7-E20)</f>
        <v>0</v>
      </c>
      <c r="F44" s="34" t="str">
        <f>IFERROR(E44/E$7,"")</f>
        <v/>
      </c>
      <c r="G44" s="344">
        <f>SUM(G7-G20)</f>
        <v>0</v>
      </c>
      <c r="H44" s="34" t="str">
        <f>IFERROR(G44/G$7,"")</f>
        <v/>
      </c>
      <c r="I44" s="459" t="str">
        <f t="shared" si="35"/>
        <v/>
      </c>
      <c r="J44" s="459" t="str">
        <f t="shared" si="36"/>
        <v/>
      </c>
      <c r="K44" s="344">
        <f>SUM(K7-K20)</f>
        <v>0</v>
      </c>
      <c r="L44" s="34" t="str">
        <f>IFERROR(K44/K$7,"")</f>
        <v/>
      </c>
      <c r="M44" s="344">
        <f>SUM(M7-M20)</f>
        <v>0</v>
      </c>
      <c r="N44" s="34" t="str">
        <f>IFERROR(M44/M$7,"")</f>
        <v/>
      </c>
      <c r="O44" s="344">
        <f>SUM(O7-O20)</f>
        <v>0</v>
      </c>
      <c r="P44" s="34" t="str">
        <f>IFERROR(O44/O$7,"")</f>
        <v/>
      </c>
      <c r="Q44" s="459" t="str">
        <f t="shared" si="40"/>
        <v/>
      </c>
      <c r="R44" s="459" t="str">
        <f t="shared" si="41"/>
        <v/>
      </c>
      <c r="S44" s="344">
        <f>SUM(S7-S20)</f>
        <v>0</v>
      </c>
      <c r="T44" s="34" t="str">
        <f>IFERROR(S44/S$7,"")</f>
        <v/>
      </c>
      <c r="U44" s="344">
        <f>SUM(U7-U20)</f>
        <v>0</v>
      </c>
      <c r="V44" s="34" t="str">
        <f>IFERROR(U44/U$7,"")</f>
        <v/>
      </c>
      <c r="W44" s="344">
        <f>SUM(W7-W20)</f>
        <v>0</v>
      </c>
      <c r="X44" s="34" t="str">
        <f>IFERROR(W44/W$7,"")</f>
        <v/>
      </c>
      <c r="Y44" s="459" t="str">
        <f t="shared" si="45"/>
        <v/>
      </c>
      <c r="Z44" s="459" t="str">
        <f t="shared" si="46"/>
        <v/>
      </c>
      <c r="AA44" s="344">
        <f>SUM(AA7-AA20)</f>
        <v>0</v>
      </c>
      <c r="AB44" s="34" t="str">
        <f>IFERROR(AA44/AA$7,"")</f>
        <v/>
      </c>
      <c r="AC44" s="344">
        <f>SUM(AC7-AC20)</f>
        <v>0</v>
      </c>
      <c r="AD44" s="34" t="str">
        <f>IFERROR(AC44/AC$7,"")</f>
        <v/>
      </c>
      <c r="AE44" s="344">
        <f>SUM(AE7-AE20)</f>
        <v>0</v>
      </c>
      <c r="AF44" s="34" t="str">
        <f>IFERROR(AE44/AE$7,"")</f>
        <v/>
      </c>
      <c r="AG44" s="459" t="str">
        <f t="shared" si="50"/>
        <v/>
      </c>
      <c r="AH44" s="459" t="str">
        <f t="shared" si="51"/>
        <v/>
      </c>
      <c r="AI44" s="344">
        <f>SUM(AI7-AI20)</f>
        <v>0</v>
      </c>
      <c r="AJ44" s="34" t="str">
        <f>IFERROR(AI44/AI$7,"")</f>
        <v/>
      </c>
      <c r="AK44" s="344">
        <f>SUM(AK7-AK20)</f>
        <v>0</v>
      </c>
      <c r="AL44" s="34" t="str">
        <f>IFERROR(AK44/AK$7,"")</f>
        <v/>
      </c>
      <c r="AM44" s="344">
        <f>SUM(AM7-AM20)</f>
        <v>0</v>
      </c>
      <c r="AN44" s="34" t="str">
        <f>IFERROR(AM44/AM$7,"")</f>
        <v/>
      </c>
      <c r="AO44" s="459" t="str">
        <f t="shared" si="55"/>
        <v/>
      </c>
      <c r="AP44" s="459" t="str">
        <f t="shared" si="56"/>
        <v/>
      </c>
      <c r="AQ44" s="344">
        <f>SUM(AQ7-AQ20)</f>
        <v>0</v>
      </c>
      <c r="AR44" s="38" t="str">
        <f>IFERROR(AQ44/AQ$7,"")</f>
        <v/>
      </c>
      <c r="AS44" s="344">
        <f>SUM(AS7-AS20)</f>
        <v>0</v>
      </c>
      <c r="AT44" s="34" t="str">
        <f>IFERROR(AS44/AS$7,"")</f>
        <v/>
      </c>
      <c r="AU44" s="344">
        <f>SUM(AU7-AU20)</f>
        <v>0</v>
      </c>
      <c r="AV44" s="34" t="str">
        <f>IFERROR(AU44/AU$7,"")</f>
        <v/>
      </c>
      <c r="AW44" s="459" t="str">
        <f t="shared" si="60"/>
        <v/>
      </c>
      <c r="AX44" s="459" t="str">
        <f t="shared" si="61"/>
        <v/>
      </c>
      <c r="AY44" s="344">
        <f>SUM(AY7-AY20)</f>
        <v>0</v>
      </c>
      <c r="AZ44" s="38" t="str">
        <f>IFERROR(AY44/AY$7,"")</f>
        <v/>
      </c>
      <c r="BA44" s="344">
        <f>SUM(BA7-BA20)</f>
        <v>0</v>
      </c>
      <c r="BB44" s="34" t="str">
        <f>IFERROR(BA44/BA$7,"")</f>
        <v/>
      </c>
      <c r="BC44" s="344">
        <f>SUM(BC7-BC20)</f>
        <v>0</v>
      </c>
      <c r="BD44" s="34" t="str">
        <f>IFERROR(BC44/BC$7,"")</f>
        <v/>
      </c>
      <c r="BE44" s="459" t="str">
        <f t="shared" si="65"/>
        <v/>
      </c>
      <c r="BF44" s="459" t="str">
        <f t="shared" si="66"/>
        <v/>
      </c>
      <c r="BG44" s="344">
        <f>SUM(BG7-BG20)</f>
        <v>0</v>
      </c>
      <c r="BH44" s="38" t="str">
        <f>IFERROR(BG44/BG$7,"")</f>
        <v/>
      </c>
      <c r="BI44" s="344">
        <f>SUM(BI7-BI20)</f>
        <v>0</v>
      </c>
      <c r="BJ44" s="34" t="str">
        <f>IFERROR(BI44/BI$7,"")</f>
        <v/>
      </c>
      <c r="BK44" s="344">
        <f>SUM(BK7-BK20)</f>
        <v>0</v>
      </c>
      <c r="BL44" s="34" t="str">
        <f>IFERROR(BK44/BK$7,"")</f>
        <v/>
      </c>
      <c r="BM44" s="459" t="str">
        <f t="shared" si="70"/>
        <v/>
      </c>
      <c r="BN44" s="459" t="str">
        <f t="shared" si="71"/>
        <v/>
      </c>
      <c r="BO44" s="344">
        <f>SUM(BO7-BO20)</f>
        <v>0</v>
      </c>
      <c r="BP44" s="38" t="str">
        <f>IFERROR(BO44/BO$7,"")</f>
        <v/>
      </c>
      <c r="BQ44" s="344">
        <f>SUM(BQ7-BQ20)</f>
        <v>0</v>
      </c>
      <c r="BR44" s="34" t="str">
        <f>IFERROR(BQ44/BQ$7,"")</f>
        <v/>
      </c>
      <c r="BS44" s="344">
        <f>SUM(BS7-BS20)</f>
        <v>0</v>
      </c>
      <c r="BT44" s="34" t="str">
        <f>IFERROR(BS44/BS$7,"")</f>
        <v/>
      </c>
      <c r="BU44" s="459" t="str">
        <f t="shared" si="75"/>
        <v/>
      </c>
      <c r="BV44" s="459" t="str">
        <f t="shared" si="76"/>
        <v/>
      </c>
      <c r="BW44" s="344">
        <f>SUM(BW7-BW20)</f>
        <v>0</v>
      </c>
      <c r="BX44" s="38" t="str">
        <f>IFERROR(BW44/BW$7,"")</f>
        <v/>
      </c>
      <c r="BY44" s="344">
        <f>SUM(BY7-BY20)</f>
        <v>0</v>
      </c>
      <c r="BZ44" s="34" t="str">
        <f>IFERROR(BY44/BY$7,"")</f>
        <v/>
      </c>
      <c r="CA44" s="344">
        <f>SUM(CA7-CA20)</f>
        <v>0</v>
      </c>
      <c r="CB44" s="34" t="str">
        <f>IFERROR(CA44/CA$7,"")</f>
        <v/>
      </c>
      <c r="CC44" s="459" t="str">
        <f t="shared" si="80"/>
        <v/>
      </c>
      <c r="CD44" s="459" t="str">
        <f t="shared" si="81"/>
        <v/>
      </c>
      <c r="CE44" s="344">
        <f>SUM(CE7-CE20)</f>
        <v>0</v>
      </c>
      <c r="CF44" s="38" t="str">
        <f>IFERROR(CE44/CE$7,"")</f>
        <v/>
      </c>
      <c r="CG44" s="344">
        <f>SUM(CG7-CG20)</f>
        <v>0</v>
      </c>
      <c r="CH44" s="34" t="str">
        <f>IFERROR(CG44/CG$7,"")</f>
        <v/>
      </c>
      <c r="CI44" s="344">
        <f>SUM(CI7-CI20)</f>
        <v>0</v>
      </c>
      <c r="CJ44" s="34" t="str">
        <f>IFERROR(CI44/CI$7,"")</f>
        <v/>
      </c>
      <c r="CK44" s="459" t="str">
        <f t="shared" si="85"/>
        <v/>
      </c>
      <c r="CL44" s="459" t="str">
        <f t="shared" si="86"/>
        <v/>
      </c>
      <c r="CM44" s="344">
        <f>SUM(CM7-CM20)</f>
        <v>0</v>
      </c>
      <c r="CN44" s="38" t="str">
        <f>IFERROR(CM44/CM$7,"")</f>
        <v/>
      </c>
      <c r="CO44" s="344">
        <f>SUM(CO7-CO20)</f>
        <v>0</v>
      </c>
      <c r="CP44" s="34" t="str">
        <f>IFERROR(CO44/CO$7,"")</f>
        <v/>
      </c>
      <c r="CQ44" s="344">
        <f>SUM(CQ7-CQ20)</f>
        <v>0</v>
      </c>
      <c r="CR44" s="34" t="str">
        <f>IFERROR(CQ44/CQ$7,"")</f>
        <v/>
      </c>
      <c r="CS44" s="459" t="str">
        <f t="shared" si="90"/>
        <v/>
      </c>
      <c r="CT44" s="459" t="str">
        <f t="shared" si="91"/>
        <v/>
      </c>
      <c r="CU44" s="344">
        <f t="shared" si="24"/>
        <v>0</v>
      </c>
      <c r="CV44" s="38" t="str">
        <f t="shared" si="25"/>
        <v/>
      </c>
      <c r="CW44" s="344">
        <f t="shared" si="26"/>
        <v>0</v>
      </c>
      <c r="CX44" s="34">
        <f t="shared" si="27"/>
        <v>0</v>
      </c>
      <c r="CY44" s="344">
        <f t="shared" si="28"/>
        <v>0</v>
      </c>
      <c r="CZ44" s="34">
        <f t="shared" si="29"/>
        <v>0</v>
      </c>
      <c r="DA44" s="459" t="str">
        <f t="shared" si="30"/>
        <v/>
      </c>
      <c r="DB44" s="459" t="str">
        <f t="shared" si="31"/>
        <v/>
      </c>
    </row>
    <row r="45" spans="2:106">
      <c r="B45" s="108" t="s">
        <v>25</v>
      </c>
      <c r="C45" s="348" t="str">
        <f>IFERROR((C4/C17-1)*100,"-")</f>
        <v>-</v>
      </c>
      <c r="D45" s="109"/>
      <c r="E45" s="348" t="str">
        <f>IFERROR((E4/E17-1)*100,"-")</f>
        <v>-</v>
      </c>
      <c r="F45" s="109"/>
      <c r="G45" s="348" t="str">
        <f>IFERROR((G4/G17-1)*100,"-")</f>
        <v>-</v>
      </c>
      <c r="H45" s="109"/>
      <c r="I45" s="471" t="str">
        <f>+IFERROR(G45-E45,"")</f>
        <v/>
      </c>
      <c r="J45" s="471" t="str">
        <f>+IFERROR(G45-C45,"")</f>
        <v/>
      </c>
      <c r="K45" s="348" t="str">
        <f>IFERROR((K4/K17-1)*100,"-")</f>
        <v>-</v>
      </c>
      <c r="L45" s="109"/>
      <c r="M45" s="348" t="str">
        <f>IFERROR((M4/M17-1)*100,"-")</f>
        <v>-</v>
      </c>
      <c r="N45" s="109"/>
      <c r="O45" s="348" t="str">
        <f>IFERROR((O4/O17-1)*100,"-")</f>
        <v>-</v>
      </c>
      <c r="P45" s="109"/>
      <c r="Q45" s="471" t="str">
        <f>+IFERROR(O45-M45,"")</f>
        <v/>
      </c>
      <c r="R45" s="471" t="str">
        <f>+IFERROR(O45-K45,"")</f>
        <v/>
      </c>
      <c r="S45" s="348" t="str">
        <f>IFERROR((S4/S17-1)*100,"-")</f>
        <v>-</v>
      </c>
      <c r="T45" s="109"/>
      <c r="U45" s="348" t="str">
        <f>IFERROR((U4/U17-1)*100,"-")</f>
        <v>-</v>
      </c>
      <c r="V45" s="109"/>
      <c r="W45" s="348">
        <f>IFERROR((W4/W17-1)*100,"-")</f>
        <v>270.48884734789868</v>
      </c>
      <c r="X45" s="109"/>
      <c r="Y45" s="471" t="str">
        <f>+IFERROR(W45-U45,"")</f>
        <v/>
      </c>
      <c r="Z45" s="471" t="str">
        <f>+IFERROR(W45-S45,"")</f>
        <v/>
      </c>
      <c r="AA45" s="348" t="str">
        <f>IFERROR((AA4/AA17-1)*100,"-")</f>
        <v>-</v>
      </c>
      <c r="AB45" s="109"/>
      <c r="AC45" s="348">
        <f>IFERROR((AC4/AC17-1)*100,"-")</f>
        <v>300</v>
      </c>
      <c r="AD45" s="109"/>
      <c r="AE45" s="348">
        <f>IFERROR((AE4/AE17-1)*100,"-")</f>
        <v>266.04483817039511</v>
      </c>
      <c r="AF45" s="109"/>
      <c r="AG45" s="471">
        <f>+IFERROR(AE45-AC45,"")</f>
        <v>-33.95516182960489</v>
      </c>
      <c r="AH45" s="471" t="str">
        <f>+IFERROR(AE45-AA45,"")</f>
        <v/>
      </c>
      <c r="AI45" s="348" t="str">
        <f>IFERROR((AI4/AI17-1)*100,"-")</f>
        <v>-</v>
      </c>
      <c r="AJ45" s="109"/>
      <c r="AK45" s="348">
        <f>IFERROR((AK4/AK17-1)*100,"-")</f>
        <v>300</v>
      </c>
      <c r="AL45" s="109"/>
      <c r="AM45" s="348">
        <f>IFERROR((AM4/AM17-1)*100,"-")</f>
        <v>261.76866738655434</v>
      </c>
      <c r="AN45" s="109"/>
      <c r="AO45" s="471">
        <f>+IFERROR(AM45-AK45,"")</f>
        <v>-38.231332613445659</v>
      </c>
      <c r="AP45" s="471" t="str">
        <f>+IFERROR(AM45-AI45,"")</f>
        <v/>
      </c>
      <c r="AQ45" s="348" t="str">
        <f>IFERROR((AQ4/AQ17-1)*100,"-")</f>
        <v>-</v>
      </c>
      <c r="AR45" s="109"/>
      <c r="AS45" s="348">
        <f>IFERROR((AS4/AS17-1)*100,"-")</f>
        <v>257.24438548280114</v>
      </c>
      <c r="AT45" s="109"/>
      <c r="AU45" s="348">
        <f>IFERROR((AU4/AU17-1)*100,"-")</f>
        <v>259.8618606821276</v>
      </c>
      <c r="AV45" s="109"/>
      <c r="AW45" s="471">
        <f>+IFERROR(AU45-AS45,"")</f>
        <v>2.6174751993264636</v>
      </c>
      <c r="AX45" s="471" t="str">
        <f>+IFERROR(AU45-AQ45,"")</f>
        <v/>
      </c>
      <c r="AY45" s="348" t="str">
        <f>IFERROR((AY4/AY17-1)*100,"-")</f>
        <v>-</v>
      </c>
      <c r="AZ45" s="109"/>
      <c r="BA45" s="348">
        <f>IFERROR((BA4/BA17-1)*100,"-")</f>
        <v>257.28945748101523</v>
      </c>
      <c r="BB45" s="109"/>
      <c r="BC45" s="348" t="str">
        <f>IFERROR((BC4/BC17-1)*100,"-")</f>
        <v>-</v>
      </c>
      <c r="BD45" s="109"/>
      <c r="BE45" s="471" t="str">
        <f>+IFERROR(BC45-BA45,"")</f>
        <v/>
      </c>
      <c r="BF45" s="471" t="str">
        <f>+IFERROR(BC45-AY45,"")</f>
        <v/>
      </c>
      <c r="BG45" s="348" t="str">
        <f>IFERROR((BG4/BG17-1)*100,"-")</f>
        <v>-</v>
      </c>
      <c r="BH45" s="109"/>
      <c r="BI45" s="348">
        <f>IFERROR((BI4/BI17-1)*100,"-")</f>
        <v>257.28945748101523</v>
      </c>
      <c r="BJ45" s="109"/>
      <c r="BK45" s="348" t="str">
        <f>IFERROR((BK4/BK17-1)*100,"-")</f>
        <v>-</v>
      </c>
      <c r="BL45" s="109"/>
      <c r="BM45" s="471" t="str">
        <f>+IFERROR(BK45-BI45,"")</f>
        <v/>
      </c>
      <c r="BN45" s="471" t="str">
        <f>+IFERROR(BK45-BG45,"")</f>
        <v/>
      </c>
      <c r="BO45" s="348" t="str">
        <f>IFERROR((BO4/BO17-1)*100,"-")</f>
        <v>-</v>
      </c>
      <c r="BP45" s="109"/>
      <c r="BQ45" s="348">
        <f>IFERROR((BQ4/BQ17-1)*100,"-")</f>
        <v>257.31911953410315</v>
      </c>
      <c r="BR45" s="109"/>
      <c r="BS45" s="348" t="str">
        <f>IFERROR((BS4/BS17-1)*100,"-")</f>
        <v>-</v>
      </c>
      <c r="BT45" s="109"/>
      <c r="BU45" s="471" t="str">
        <f>+IFERROR(BS45-BQ45,"")</f>
        <v/>
      </c>
      <c r="BV45" s="471" t="str">
        <f>+IFERROR(BS45-BO45,"")</f>
        <v/>
      </c>
      <c r="BW45" s="348" t="str">
        <f>IFERROR((BW4/BW17-1)*100,"-")</f>
        <v>-</v>
      </c>
      <c r="BX45" s="109"/>
      <c r="BY45" s="348">
        <f>IFERROR((BY4/BY17-1)*100,"-")</f>
        <v>342.52737043814199</v>
      </c>
      <c r="BZ45" s="109"/>
      <c r="CA45" s="348" t="str">
        <f>IFERROR((CA4/CA17-1)*100,"-")</f>
        <v>-</v>
      </c>
      <c r="CB45" s="109"/>
      <c r="CC45" s="471" t="str">
        <f>+IFERROR(CA45-BY45,"")</f>
        <v/>
      </c>
      <c r="CD45" s="471" t="str">
        <f>+IFERROR(CA45-BW45,"")</f>
        <v/>
      </c>
      <c r="CE45" s="348" t="str">
        <f>IFERROR((CE4/CE17-1)*100,"-")</f>
        <v>-</v>
      </c>
      <c r="CF45" s="109"/>
      <c r="CG45" s="348">
        <f>IFERROR((CG4/CG17-1)*100,"-")</f>
        <v>335.60068893081274</v>
      </c>
      <c r="CH45" s="109"/>
      <c r="CI45" s="348" t="str">
        <f>IFERROR((CI4/CI17-1)*100,"-")</f>
        <v>-</v>
      </c>
      <c r="CJ45" s="109"/>
      <c r="CK45" s="471" t="str">
        <f>+IFERROR(CI45-CG45,"")</f>
        <v/>
      </c>
      <c r="CL45" s="471" t="str">
        <f>+IFERROR(CI45-CE45,"")</f>
        <v/>
      </c>
      <c r="CM45" s="348" t="str">
        <f>IFERROR((CM4/CM17-1)*100,"-")</f>
        <v>-</v>
      </c>
      <c r="CN45" s="109"/>
      <c r="CO45" s="348">
        <f>IFERROR((CO4/CO17-1)*100,"-")</f>
        <v>334.41764783874032</v>
      </c>
      <c r="CP45" s="109"/>
      <c r="CQ45" s="348" t="str">
        <f>IFERROR((CQ4/CQ17-1)*100,"-")</f>
        <v>-</v>
      </c>
      <c r="CR45" s="109"/>
      <c r="CS45" s="471" t="str">
        <f>+IFERROR(CQ45-CO45,"")</f>
        <v/>
      </c>
      <c r="CT45" s="471" t="str">
        <f>+IFERROR(CQ45-CM45,"")</f>
        <v/>
      </c>
      <c r="CU45" s="348">
        <f t="shared" si="24"/>
        <v>0</v>
      </c>
      <c r="CV45" s="109" t="str">
        <f t="shared" si="25"/>
        <v/>
      </c>
      <c r="CW45" s="348">
        <f t="shared" si="26"/>
        <v>2641.68812718663</v>
      </c>
      <c r="CX45" s="109">
        <f t="shared" si="27"/>
        <v>1.9920734601122179E-2</v>
      </c>
      <c r="CY45" s="348">
        <f t="shared" si="28"/>
        <v>1058.1642135869758</v>
      </c>
      <c r="CZ45" s="109">
        <f t="shared" si="29"/>
        <v>2.1330067912156893E-2</v>
      </c>
      <c r="DA45" s="471">
        <f t="shared" si="30"/>
        <v>-0.59943635938815021</v>
      </c>
      <c r="DB45" s="471" t="str">
        <f t="shared" si="31"/>
        <v/>
      </c>
    </row>
    <row r="46" spans="2:106" s="92" customFormat="1" ht="13.15" customHeight="1">
      <c r="B46" s="93" t="s">
        <v>16</v>
      </c>
      <c r="C46" s="238" t="str">
        <f>IFERROR((C5/C18-1)*100,"-")</f>
        <v>-</v>
      </c>
      <c r="D46" s="97"/>
      <c r="E46" s="238" t="str">
        <f>IFERROR((E5/E18-1)*100,"-")</f>
        <v>-</v>
      </c>
      <c r="F46" s="97"/>
      <c r="G46" s="238" t="str">
        <f>IFERROR((G5/G18-1)*100,"-")</f>
        <v>-</v>
      </c>
      <c r="H46" s="97"/>
      <c r="I46" s="472" t="str">
        <f>+IFERROR(G46-E46,"")</f>
        <v/>
      </c>
      <c r="J46" s="472" t="str">
        <f>+IFERROR(G46-C46,"")</f>
        <v/>
      </c>
      <c r="K46" s="238" t="str">
        <f>IFERROR((K5/K18-1)*100,"-")</f>
        <v>-</v>
      </c>
      <c r="L46" s="97"/>
      <c r="M46" s="238" t="str">
        <f>IFERROR((M5/M18-1)*100,"-")</f>
        <v>-</v>
      </c>
      <c r="N46" s="97"/>
      <c r="O46" s="238" t="str">
        <f>IFERROR((O5/O18-1)*100,"-")</f>
        <v>-</v>
      </c>
      <c r="P46" s="97"/>
      <c r="Q46" s="472" t="str">
        <f>+IFERROR(O46-M46,"")</f>
        <v/>
      </c>
      <c r="R46" s="472" t="str">
        <f>+IFERROR(O46-K46,"")</f>
        <v/>
      </c>
      <c r="S46" s="238" t="str">
        <f>IFERROR((S5/S18-1)*100,"-")</f>
        <v>-</v>
      </c>
      <c r="T46" s="97"/>
      <c r="U46" s="238" t="str">
        <f>IFERROR((U5/U18-1)*100,"-")</f>
        <v>-</v>
      </c>
      <c r="V46" s="97"/>
      <c r="W46" s="238">
        <f>IFERROR((W5/W18-1)*100,"-")</f>
        <v>270.48884734789868</v>
      </c>
      <c r="X46" s="97"/>
      <c r="Y46" s="472" t="str">
        <f>+IFERROR(W46-U46,"")</f>
        <v/>
      </c>
      <c r="Z46" s="472" t="str">
        <f>+IFERROR(W46-S46,"")</f>
        <v/>
      </c>
      <c r="AA46" s="238" t="str">
        <f>IFERROR((AA5/AA18-1)*100,"-")</f>
        <v>-</v>
      </c>
      <c r="AB46" s="97"/>
      <c r="AC46" s="238">
        <f>IFERROR((AC5/AC18-1)*100,"-")</f>
        <v>300</v>
      </c>
      <c r="AD46" s="97"/>
      <c r="AE46" s="238">
        <f>IFERROR((AE5/AE18-1)*100,"-")</f>
        <v>266.04483817039511</v>
      </c>
      <c r="AF46" s="97"/>
      <c r="AG46" s="472">
        <f>+IFERROR(AE46-AC46,"")</f>
        <v>-33.95516182960489</v>
      </c>
      <c r="AH46" s="472" t="str">
        <f>+IFERROR(AE46-AA46,"")</f>
        <v/>
      </c>
      <c r="AI46" s="238" t="str">
        <f>IFERROR((AI5/AI18-1)*100,"-")</f>
        <v>-</v>
      </c>
      <c r="AJ46" s="97"/>
      <c r="AK46" s="238">
        <f>IFERROR((AK5/AK18-1)*100,"-")</f>
        <v>300</v>
      </c>
      <c r="AL46" s="97"/>
      <c r="AM46" s="238">
        <f>IFERROR((AM5/AM18-1)*100,"-")</f>
        <v>261.76866738655434</v>
      </c>
      <c r="AN46" s="97"/>
      <c r="AO46" s="472">
        <f>+IFERROR(AM46-AK46,"")</f>
        <v>-38.231332613445659</v>
      </c>
      <c r="AP46" s="472" t="str">
        <f>+IFERROR(AM46-AI46,"")</f>
        <v/>
      </c>
      <c r="AQ46" s="344" t="str">
        <f>IFERROR((AQ5/AQ18-1)*100,"-")</f>
        <v>-</v>
      </c>
      <c r="AR46" s="230"/>
      <c r="AS46" s="238">
        <f>IFERROR((AS5/AS18-1)*100,"-")</f>
        <v>257.14285714285711</v>
      </c>
      <c r="AT46" s="97"/>
      <c r="AU46" s="238">
        <f>IFERROR((AU5/AU18-1)*100,"-")</f>
        <v>259.8618606821276</v>
      </c>
      <c r="AV46" s="97"/>
      <c r="AW46" s="472">
        <f>+IFERROR(AU46-AS46,"")</f>
        <v>2.7190035392704885</v>
      </c>
      <c r="AX46" s="472" t="str">
        <f>+IFERROR(AU46-AQ46,"")</f>
        <v/>
      </c>
      <c r="AY46" s="344" t="str">
        <f>IFERROR((AY5/AY18-1)*100,"-")</f>
        <v>-</v>
      </c>
      <c r="AZ46" s="230"/>
      <c r="BA46" s="238">
        <f>IFERROR((BA5/BA18-1)*100,"-")</f>
        <v>257.14285714285717</v>
      </c>
      <c r="BB46" s="97"/>
      <c r="BC46" s="238" t="str">
        <f>IFERROR((BC5/BC18-1)*100,"-")</f>
        <v>-</v>
      </c>
      <c r="BD46" s="97"/>
      <c r="BE46" s="472" t="str">
        <f>+IFERROR(BC46-BA46,"")</f>
        <v/>
      </c>
      <c r="BF46" s="472" t="str">
        <f>+IFERROR(BC46-AY46,"")</f>
        <v/>
      </c>
      <c r="BG46" s="344" t="str">
        <f>IFERROR((BG5/BG18-1)*100,"-")</f>
        <v>-</v>
      </c>
      <c r="BH46" s="230"/>
      <c r="BI46" s="238">
        <f>IFERROR((BI5/BI18-1)*100,"-")</f>
        <v>257.14285714285717</v>
      </c>
      <c r="BJ46" s="97"/>
      <c r="BK46" s="238" t="str">
        <f>IFERROR((BK5/BK18-1)*100,"-")</f>
        <v>-</v>
      </c>
      <c r="BL46" s="97"/>
      <c r="BM46" s="472" t="str">
        <f>+IFERROR(BK46-BI46,"")</f>
        <v/>
      </c>
      <c r="BN46" s="472" t="str">
        <f>+IFERROR(BK46-BG46,"")</f>
        <v/>
      </c>
      <c r="BO46" s="344" t="str">
        <f>IFERROR((BO5/BO18-1)*100,"-")</f>
        <v>-</v>
      </c>
      <c r="BP46" s="230"/>
      <c r="BQ46" s="238">
        <f>IFERROR((BQ5/BQ18-1)*100,"-")</f>
        <v>257.14285714285705</v>
      </c>
      <c r="BR46" s="97"/>
      <c r="BS46" s="238" t="str">
        <f>IFERROR((BS5/BS18-1)*100,"-")</f>
        <v>-</v>
      </c>
      <c r="BT46" s="97"/>
      <c r="BU46" s="472" t="str">
        <f>+IFERROR(BS46-BQ46,"")</f>
        <v/>
      </c>
      <c r="BV46" s="472" t="str">
        <f>+IFERROR(BS46-BO46,"")</f>
        <v/>
      </c>
      <c r="BW46" s="344" t="str">
        <f>IFERROR((BW5/BW18-1)*100,"-")</f>
        <v>-</v>
      </c>
      <c r="BX46" s="230"/>
      <c r="BY46" s="238">
        <f>IFERROR((BY5/BY18-1)*100,"-")</f>
        <v>342.99433459422158</v>
      </c>
      <c r="BZ46" s="97"/>
      <c r="CA46" s="238" t="str">
        <f>IFERROR((CA5/CA18-1)*100,"-")</f>
        <v>-</v>
      </c>
      <c r="CB46" s="97"/>
      <c r="CC46" s="472" t="str">
        <f>+IFERROR(CA46-BY46,"")</f>
        <v/>
      </c>
      <c r="CD46" s="472" t="str">
        <f>+IFERROR(CA46-BW46,"")</f>
        <v/>
      </c>
      <c r="CE46" s="344" t="str">
        <f>IFERROR((CE5/CE18-1)*100,"-")</f>
        <v>-</v>
      </c>
      <c r="CF46" s="230"/>
      <c r="CG46" s="238">
        <f>IFERROR((CG5/CG18-1)*100,"-")</f>
        <v>335.52836519266265</v>
      </c>
      <c r="CH46" s="97"/>
      <c r="CI46" s="238" t="str">
        <f>IFERROR((CI5/CI18-1)*100,"-")</f>
        <v>-</v>
      </c>
      <c r="CJ46" s="97"/>
      <c r="CK46" s="472" t="str">
        <f>+IFERROR(CI46-CG46,"")</f>
        <v/>
      </c>
      <c r="CL46" s="472" t="str">
        <f>+IFERROR(CI46-CE46,"")</f>
        <v/>
      </c>
      <c r="CM46" s="344" t="str">
        <f>IFERROR((CM5/CM18-1)*100,"-")</f>
        <v>-</v>
      </c>
      <c r="CN46" s="230"/>
      <c r="CO46" s="238">
        <f>IFERROR((CO5/CO18-1)*100,"-")</f>
        <v>335.20144858048752</v>
      </c>
      <c r="CP46" s="97"/>
      <c r="CQ46" s="238" t="str">
        <f>IFERROR((CQ5/CQ18-1)*100,"-")</f>
        <v>-</v>
      </c>
      <c r="CR46" s="97"/>
      <c r="CS46" s="472" t="str">
        <f>+IFERROR(CQ46-CO46,"")</f>
        <v/>
      </c>
      <c r="CT46" s="472" t="str">
        <f>+IFERROR(CQ46-CM46,"")</f>
        <v/>
      </c>
      <c r="CU46" s="344">
        <f t="shared" si="24"/>
        <v>0</v>
      </c>
      <c r="CV46" s="230" t="str">
        <f t="shared" si="25"/>
        <v/>
      </c>
      <c r="CW46" s="238">
        <f t="shared" si="26"/>
        <v>2642.2955769388</v>
      </c>
      <c r="CX46" s="97">
        <f t="shared" si="27"/>
        <v>1.9925315325535466E-2</v>
      </c>
      <c r="CY46" s="238">
        <f t="shared" si="28"/>
        <v>1058.1642135869758</v>
      </c>
      <c r="CZ46" s="97">
        <f t="shared" si="29"/>
        <v>2.1330067912156893E-2</v>
      </c>
      <c r="DA46" s="472">
        <f t="shared" si="30"/>
        <v>-0.59952844684662443</v>
      </c>
      <c r="DB46" s="472" t="str">
        <f t="shared" si="31"/>
        <v/>
      </c>
    </row>
    <row r="47" spans="2:106" s="92" customFormat="1" ht="13.15" customHeight="1">
      <c r="B47" s="93" t="s">
        <v>17</v>
      </c>
      <c r="C47" s="238" t="str">
        <f>IFERROR((C6/C19-1)*100,"-")</f>
        <v>-</v>
      </c>
      <c r="D47" s="97"/>
      <c r="E47" s="238" t="str">
        <f>IFERROR((E6/E19-1)*100,"-")</f>
        <v>-</v>
      </c>
      <c r="F47" s="97"/>
      <c r="G47" s="238" t="str">
        <f>IFERROR((G6/G19-1)*100,"-")</f>
        <v>-</v>
      </c>
      <c r="H47" s="97"/>
      <c r="I47" s="472" t="str">
        <f>+IFERROR(G47-E47,"")</f>
        <v/>
      </c>
      <c r="J47" s="472" t="str">
        <f>+IFERROR(G47-C47,"")</f>
        <v/>
      </c>
      <c r="K47" s="238" t="str">
        <f>IFERROR((K6/K19-1)*100,"-")</f>
        <v>-</v>
      </c>
      <c r="L47" s="97"/>
      <c r="M47" s="238" t="str">
        <f>IFERROR((M6/M19-1)*100,"-")</f>
        <v>-</v>
      </c>
      <c r="N47" s="97"/>
      <c r="O47" s="238" t="str">
        <f>IFERROR((O6/O19-1)*100,"-")</f>
        <v>-</v>
      </c>
      <c r="P47" s="97"/>
      <c r="Q47" s="472" t="str">
        <f>+IFERROR(O47-M47,"")</f>
        <v/>
      </c>
      <c r="R47" s="472" t="str">
        <f>+IFERROR(O47-K47,"")</f>
        <v/>
      </c>
      <c r="S47" s="238" t="str">
        <f>IFERROR((S6/S19-1)*100,"-")</f>
        <v>-</v>
      </c>
      <c r="T47" s="97"/>
      <c r="U47" s="238" t="str">
        <f>IFERROR((U6/U19-1)*100,"-")</f>
        <v>-</v>
      </c>
      <c r="V47" s="97"/>
      <c r="W47" s="238" t="str">
        <f>IFERROR((W6/W19-1)*100,"-")</f>
        <v>-</v>
      </c>
      <c r="X47" s="97"/>
      <c r="Y47" s="472" t="str">
        <f>+IFERROR(W47-U47,"")</f>
        <v/>
      </c>
      <c r="Z47" s="472" t="str">
        <f>+IFERROR(W47-S47,"")</f>
        <v/>
      </c>
      <c r="AA47" s="238" t="str">
        <f>IFERROR((AA6/AA19-1)*100,"-")</f>
        <v>-</v>
      </c>
      <c r="AB47" s="97"/>
      <c r="AC47" s="238" t="str">
        <f>IFERROR((AC6/AC19-1)*100,"-")</f>
        <v>-</v>
      </c>
      <c r="AD47" s="97"/>
      <c r="AE47" s="238" t="str">
        <f>IFERROR((AE6/AE19-1)*100,"-")</f>
        <v>-</v>
      </c>
      <c r="AF47" s="97"/>
      <c r="AG47" s="472" t="str">
        <f>+IFERROR(AE47-AC47,"")</f>
        <v/>
      </c>
      <c r="AH47" s="472" t="str">
        <f>+IFERROR(AE47-AA47,"")</f>
        <v/>
      </c>
      <c r="AI47" s="238" t="str">
        <f>IFERROR((AI6/AI19-1)*100,"-")</f>
        <v>-</v>
      </c>
      <c r="AJ47" s="97"/>
      <c r="AK47" s="238">
        <f>IFERROR((AK6/AK19-1)*100,"-")</f>
        <v>300</v>
      </c>
      <c r="AL47" s="97"/>
      <c r="AM47" s="238" t="str">
        <f>IFERROR((AM6/AM19-1)*100,"-")</f>
        <v>-</v>
      </c>
      <c r="AN47" s="97"/>
      <c r="AO47" s="472" t="str">
        <f>+IFERROR(AM47-AK47,"")</f>
        <v/>
      </c>
      <c r="AP47" s="472" t="str">
        <f>+IFERROR(AM47-AI47,"")</f>
        <v/>
      </c>
      <c r="AQ47" s="344" t="str">
        <f>IFERROR((AQ6/AQ19-1)*100,"-")</f>
        <v>-</v>
      </c>
      <c r="AR47" s="230"/>
      <c r="AS47" s="238">
        <f>IFERROR((AS6/AS19-1)*100,"-")</f>
        <v>270.37037037037021</v>
      </c>
      <c r="AT47" s="97"/>
      <c r="AU47" s="238" t="str">
        <f>IFERROR((AU6/AU19-1)*100,"-")</f>
        <v>-</v>
      </c>
      <c r="AV47" s="97"/>
      <c r="AW47" s="472" t="str">
        <f>+IFERROR(AU47-AS47,"")</f>
        <v/>
      </c>
      <c r="AX47" s="472" t="str">
        <f>+IFERROR(AU47-AQ47,"")</f>
        <v/>
      </c>
      <c r="AY47" s="344" t="str">
        <f>IFERROR((AY6/AY19-1)*100,"-")</f>
        <v>-</v>
      </c>
      <c r="AZ47" s="230"/>
      <c r="BA47" s="238">
        <f>IFERROR((BA6/BA19-1)*100,"-")</f>
        <v>270.37037037037038</v>
      </c>
      <c r="BB47" s="97"/>
      <c r="BC47" s="238" t="str">
        <f>IFERROR((BC6/BC19-1)*100,"-")</f>
        <v>-</v>
      </c>
      <c r="BD47" s="97"/>
      <c r="BE47" s="472" t="str">
        <f>+IFERROR(BC47-BA47,"")</f>
        <v/>
      </c>
      <c r="BF47" s="472" t="str">
        <f>+IFERROR(BC47-AY47,"")</f>
        <v/>
      </c>
      <c r="BG47" s="344" t="str">
        <f>IFERROR((BG6/BG19-1)*100,"-")</f>
        <v>-</v>
      </c>
      <c r="BH47" s="230"/>
      <c r="BI47" s="238">
        <f>IFERROR((BI6/BI19-1)*100,"-")</f>
        <v>270.37037037037038</v>
      </c>
      <c r="BJ47" s="97"/>
      <c r="BK47" s="238" t="str">
        <f>IFERROR((BK6/BK19-1)*100,"-")</f>
        <v>-</v>
      </c>
      <c r="BL47" s="97"/>
      <c r="BM47" s="472" t="str">
        <f>+IFERROR(BK47-BI47,"")</f>
        <v/>
      </c>
      <c r="BN47" s="472" t="str">
        <f>+IFERROR(BK47-BG47,"")</f>
        <v/>
      </c>
      <c r="BO47" s="344" t="str">
        <f>IFERROR((BO6/BO19-1)*100,"-")</f>
        <v>-</v>
      </c>
      <c r="BP47" s="230"/>
      <c r="BQ47" s="238">
        <f>IFERROR((BQ6/BQ19-1)*100,"-")</f>
        <v>270.37037037037038</v>
      </c>
      <c r="BR47" s="97"/>
      <c r="BS47" s="238" t="str">
        <f>IFERROR((BS6/BS19-1)*100,"-")</f>
        <v>-</v>
      </c>
      <c r="BT47" s="97"/>
      <c r="BU47" s="472" t="str">
        <f>+IFERROR(BS47-BQ47,"")</f>
        <v/>
      </c>
      <c r="BV47" s="472" t="str">
        <f>+IFERROR(BS47-BO47,"")</f>
        <v/>
      </c>
      <c r="BW47" s="344" t="str">
        <f>IFERROR((BW6/BW19-1)*100,"-")</f>
        <v>-</v>
      </c>
      <c r="BX47" s="230"/>
      <c r="BY47" s="238">
        <f>IFERROR((BY6/BY19-1)*100,"-")</f>
        <v>341.22116151871626</v>
      </c>
      <c r="BZ47" s="97"/>
      <c r="CA47" s="238" t="str">
        <f>IFERROR((CA6/CA19-1)*100,"-")</f>
        <v>-</v>
      </c>
      <c r="CB47" s="97"/>
      <c r="CC47" s="472" t="str">
        <f>+IFERROR(CA47-BY47,"")</f>
        <v/>
      </c>
      <c r="CD47" s="472" t="str">
        <f>+IFERROR(CA47-BW47,"")</f>
        <v/>
      </c>
      <c r="CE47" s="344" t="str">
        <f>IFERROR((CE6/CE19-1)*100,"-")</f>
        <v>-</v>
      </c>
      <c r="CF47" s="230"/>
      <c r="CG47" s="238">
        <f>IFERROR((CG6/CG19-1)*100,"-")</f>
        <v>335.83520933928747</v>
      </c>
      <c r="CH47" s="97"/>
      <c r="CI47" s="238" t="str">
        <f>IFERROR((CI6/CI19-1)*100,"-")</f>
        <v>-</v>
      </c>
      <c r="CJ47" s="97"/>
      <c r="CK47" s="472" t="str">
        <f>+IFERROR(CI47-CG47,"")</f>
        <v/>
      </c>
      <c r="CL47" s="472" t="str">
        <f>+IFERROR(CI47-CE47,"")</f>
        <v/>
      </c>
      <c r="CM47" s="344" t="str">
        <f>IFERROR((CM6/CM19-1)*100,"-")</f>
        <v>-</v>
      </c>
      <c r="CN47" s="230"/>
      <c r="CO47" s="238">
        <f>IFERROR((CO6/CO19-1)*100,"-")</f>
        <v>332.30395025264067</v>
      </c>
      <c r="CP47" s="97"/>
      <c r="CQ47" s="238" t="str">
        <f>IFERROR((CQ6/CQ19-1)*100,"-")</f>
        <v>-</v>
      </c>
      <c r="CR47" s="97"/>
      <c r="CS47" s="472" t="str">
        <f>+IFERROR(CQ47-CO47,"")</f>
        <v/>
      </c>
      <c r="CT47" s="472" t="str">
        <f>+IFERROR(CQ47-CM47,"")</f>
        <v/>
      </c>
      <c r="CU47" s="344">
        <f t="shared" si="24"/>
        <v>0</v>
      </c>
      <c r="CV47" s="230" t="str">
        <f t="shared" si="25"/>
        <v/>
      </c>
      <c r="CW47" s="238">
        <f t="shared" si="26"/>
        <v>2390.841802592126</v>
      </c>
      <c r="CX47" s="97">
        <f t="shared" si="27"/>
        <v>1.8029124835954383E-2</v>
      </c>
      <c r="CY47" s="238">
        <f t="shared" si="28"/>
        <v>0</v>
      </c>
      <c r="CZ47" s="97">
        <f t="shared" si="29"/>
        <v>0</v>
      </c>
      <c r="DA47" s="472">
        <f t="shared" si="30"/>
        <v>-1</v>
      </c>
      <c r="DB47" s="472" t="str">
        <f t="shared" si="31"/>
        <v/>
      </c>
    </row>
    <row r="48" spans="2:106" s="92" customFormat="1" ht="16.350000000000001" customHeight="1">
      <c r="B48" s="93" t="s">
        <v>18</v>
      </c>
      <c r="C48" s="238" t="str">
        <f>IFERROR((C7/C20-1)*100,"-")</f>
        <v>-</v>
      </c>
      <c r="D48" s="97"/>
      <c r="E48" s="238" t="str">
        <f>IFERROR((E7/E20-1)*100,"-")</f>
        <v>-</v>
      </c>
      <c r="F48" s="97"/>
      <c r="G48" s="238" t="str">
        <f>IFERROR((G7/G20-1)*100,"-")</f>
        <v>-</v>
      </c>
      <c r="H48" s="97"/>
      <c r="I48" s="472" t="str">
        <f>+IFERROR(G48-E48,"")</f>
        <v/>
      </c>
      <c r="J48" s="472" t="str">
        <f>+IFERROR(G48-C48,"")</f>
        <v/>
      </c>
      <c r="K48" s="238" t="str">
        <f>IFERROR((K7/K20-1)*100,"-")</f>
        <v>-</v>
      </c>
      <c r="L48" s="97"/>
      <c r="M48" s="238" t="str">
        <f>IFERROR((M7/M20-1)*100,"-")</f>
        <v>-</v>
      </c>
      <c r="N48" s="97"/>
      <c r="O48" s="238" t="str">
        <f>IFERROR((O7/O20-1)*100,"-")</f>
        <v>-</v>
      </c>
      <c r="P48" s="97"/>
      <c r="Q48" s="472" t="str">
        <f>+IFERROR(O48-M48,"")</f>
        <v/>
      </c>
      <c r="R48" s="472" t="str">
        <f>+IFERROR(O48-K48,"")</f>
        <v/>
      </c>
      <c r="S48" s="238" t="str">
        <f>IFERROR((S7/S20-1)*100,"-")</f>
        <v>-</v>
      </c>
      <c r="T48" s="97"/>
      <c r="U48" s="238" t="str">
        <f>IFERROR((U7/U20-1)*100,"-")</f>
        <v>-</v>
      </c>
      <c r="V48" s="97"/>
      <c r="W48" s="238" t="str">
        <f>IFERROR((W7/W20-1)*100,"-")</f>
        <v>-</v>
      </c>
      <c r="X48" s="97"/>
      <c r="Y48" s="472" t="str">
        <f>+IFERROR(W48-U48,"")</f>
        <v/>
      </c>
      <c r="Z48" s="472" t="str">
        <f>+IFERROR(W48-S48,"")</f>
        <v/>
      </c>
      <c r="AA48" s="238" t="str">
        <f>IFERROR((AA7/AA20-1)*100,"-")</f>
        <v>-</v>
      </c>
      <c r="AB48" s="97"/>
      <c r="AC48" s="238" t="str">
        <f>IFERROR((AC7/AC20-1)*100,"-")</f>
        <v>-</v>
      </c>
      <c r="AD48" s="97"/>
      <c r="AE48" s="238" t="str">
        <f>IFERROR((AE7/AE20-1)*100,"-")</f>
        <v>-</v>
      </c>
      <c r="AF48" s="97"/>
      <c r="AG48" s="472" t="str">
        <f>+IFERROR(AE48-AC48,"")</f>
        <v/>
      </c>
      <c r="AH48" s="472" t="str">
        <f>+IFERROR(AE48-AA48,"")</f>
        <v/>
      </c>
      <c r="AI48" s="238" t="str">
        <f>IFERROR((AI7/AI20-1)*100,"-")</f>
        <v>-</v>
      </c>
      <c r="AJ48" s="97"/>
      <c r="AK48" s="238" t="str">
        <f>IFERROR((AK7/AK20-1)*100,"-")</f>
        <v>-</v>
      </c>
      <c r="AL48" s="97"/>
      <c r="AM48" s="238" t="str">
        <f>IFERROR((AM7/AM20-1)*100,"-")</f>
        <v>-</v>
      </c>
      <c r="AN48" s="97"/>
      <c r="AO48" s="472" t="str">
        <f>+IFERROR(AM48-AK48,"")</f>
        <v/>
      </c>
      <c r="AP48" s="472" t="str">
        <f>+IFERROR(AM48-AI48,"")</f>
        <v/>
      </c>
      <c r="AQ48" s="344" t="str">
        <f>IFERROR((AQ7/AQ20-1)*100,"-")</f>
        <v>-</v>
      </c>
      <c r="AR48" s="230"/>
      <c r="AS48" s="238" t="str">
        <f>IFERROR((AS7/AS20-1)*100,"-")</f>
        <v>-</v>
      </c>
      <c r="AT48" s="97"/>
      <c r="AU48" s="238" t="str">
        <f>IFERROR((AU7/AU20-1)*100,"-")</f>
        <v>-</v>
      </c>
      <c r="AV48" s="97"/>
      <c r="AW48" s="472" t="str">
        <f>+IFERROR(AU48-AS48,"")</f>
        <v/>
      </c>
      <c r="AX48" s="472" t="str">
        <f>+IFERROR(AU48-AQ48,"")</f>
        <v/>
      </c>
      <c r="AY48" s="344" t="str">
        <f>IFERROR((AY7/AY20-1)*100,"-")</f>
        <v>-</v>
      </c>
      <c r="AZ48" s="230"/>
      <c r="BA48" s="238" t="str">
        <f>IFERROR((BA7/BA20-1)*100,"-")</f>
        <v>-</v>
      </c>
      <c r="BB48" s="97"/>
      <c r="BC48" s="238" t="str">
        <f>IFERROR((BC7/BC20-1)*100,"-")</f>
        <v>-</v>
      </c>
      <c r="BD48" s="97"/>
      <c r="BE48" s="472" t="str">
        <f>+IFERROR(BC48-BA48,"")</f>
        <v/>
      </c>
      <c r="BF48" s="472" t="str">
        <f>+IFERROR(BC48-AY48,"")</f>
        <v/>
      </c>
      <c r="BG48" s="344" t="str">
        <f>IFERROR((BG7/BG20-1)*100,"-")</f>
        <v>-</v>
      </c>
      <c r="BH48" s="230"/>
      <c r="BI48" s="238" t="str">
        <f>IFERROR((BI7/BI20-1)*100,"-")</f>
        <v>-</v>
      </c>
      <c r="BJ48" s="97"/>
      <c r="BK48" s="238" t="str">
        <f>IFERROR((BK7/BK20-1)*100,"-")</f>
        <v>-</v>
      </c>
      <c r="BL48" s="97"/>
      <c r="BM48" s="472" t="str">
        <f>+IFERROR(BK48-BI48,"")</f>
        <v/>
      </c>
      <c r="BN48" s="472" t="str">
        <f>+IFERROR(BK48-BG48,"")</f>
        <v/>
      </c>
      <c r="BO48" s="344" t="str">
        <f>IFERROR((BO7/BO20-1)*100,"-")</f>
        <v>-</v>
      </c>
      <c r="BP48" s="230"/>
      <c r="BQ48" s="238" t="str">
        <f>IFERROR((BQ7/BQ20-1)*100,"-")</f>
        <v>-</v>
      </c>
      <c r="BR48" s="97"/>
      <c r="BS48" s="238" t="str">
        <f>IFERROR((BS7/BS20-1)*100,"-")</f>
        <v>-</v>
      </c>
      <c r="BT48" s="97"/>
      <c r="BU48" s="472" t="str">
        <f>+IFERROR(BS48-BQ48,"")</f>
        <v/>
      </c>
      <c r="BV48" s="472" t="str">
        <f>+IFERROR(BS48-BO48,"")</f>
        <v/>
      </c>
      <c r="BW48" s="344" t="str">
        <f>IFERROR((BW7/BW20-1)*100,"-")</f>
        <v>-</v>
      </c>
      <c r="BX48" s="230"/>
      <c r="BY48" s="238" t="str">
        <f>IFERROR((BY7/BY20-1)*100,"-")</f>
        <v>-</v>
      </c>
      <c r="BZ48" s="97"/>
      <c r="CA48" s="238" t="str">
        <f>IFERROR((CA7/CA20-1)*100,"-")</f>
        <v>-</v>
      </c>
      <c r="CB48" s="97"/>
      <c r="CC48" s="472" t="str">
        <f>+IFERROR(CA48-BY48,"")</f>
        <v/>
      </c>
      <c r="CD48" s="472" t="str">
        <f>+IFERROR(CA48-BW48,"")</f>
        <v/>
      </c>
      <c r="CE48" s="344" t="str">
        <f>IFERROR((CE7/CE20-1)*100,"-")</f>
        <v>-</v>
      </c>
      <c r="CF48" s="230"/>
      <c r="CG48" s="238" t="str">
        <f>IFERROR((CG7/CG20-1)*100,"-")</f>
        <v>-</v>
      </c>
      <c r="CH48" s="97"/>
      <c r="CI48" s="238" t="str">
        <f>IFERROR((CI7/CI20-1)*100,"-")</f>
        <v>-</v>
      </c>
      <c r="CJ48" s="97"/>
      <c r="CK48" s="472" t="str">
        <f>+IFERROR(CI48-CG48,"")</f>
        <v/>
      </c>
      <c r="CL48" s="472" t="str">
        <f>+IFERROR(CI48-CE48,"")</f>
        <v/>
      </c>
      <c r="CM48" s="344" t="str">
        <f>IFERROR((CM7/CM20-1)*100,"-")</f>
        <v>-</v>
      </c>
      <c r="CN48" s="230"/>
      <c r="CO48" s="238" t="str">
        <f>IFERROR((CO7/CO20-1)*100,"-")</f>
        <v>-</v>
      </c>
      <c r="CP48" s="97"/>
      <c r="CQ48" s="238" t="str">
        <f>IFERROR((CQ7/CQ20-1)*100,"-")</f>
        <v>-</v>
      </c>
      <c r="CR48" s="97"/>
      <c r="CS48" s="472" t="str">
        <f>+IFERROR(CQ48-CO48,"")</f>
        <v/>
      </c>
      <c r="CT48" s="472" t="str">
        <f>+IFERROR(CQ48-CM48,"")</f>
        <v/>
      </c>
      <c r="CU48" s="344">
        <f t="shared" si="24"/>
        <v>0</v>
      </c>
      <c r="CV48" s="230" t="str">
        <f t="shared" si="25"/>
        <v/>
      </c>
      <c r="CW48" s="238">
        <f t="shared" si="26"/>
        <v>0</v>
      </c>
      <c r="CX48" s="97">
        <f t="shared" si="27"/>
        <v>0</v>
      </c>
      <c r="CY48" s="238">
        <f t="shared" si="28"/>
        <v>0</v>
      </c>
      <c r="CZ48" s="97">
        <f t="shared" si="29"/>
        <v>0</v>
      </c>
      <c r="DA48" s="472" t="str">
        <f t="shared" si="30"/>
        <v/>
      </c>
      <c r="DB48" s="472" t="str">
        <f t="shared" si="31"/>
        <v/>
      </c>
    </row>
    <row r="49" spans="2:106" s="105" customFormat="1" ht="18" customHeight="1">
      <c r="B49" s="90" t="s">
        <v>26</v>
      </c>
      <c r="C49" s="343">
        <f>C51+C208</f>
        <v>0</v>
      </c>
      <c r="D49" s="65" t="str">
        <f>IFERROR(C49/C$4,"")</f>
        <v/>
      </c>
      <c r="E49" s="343">
        <f>E51+E208</f>
        <v>0</v>
      </c>
      <c r="F49" s="65" t="str">
        <f>IFERROR(E49/E$4,"")</f>
        <v/>
      </c>
      <c r="G49" s="343">
        <f>G51+G208</f>
        <v>0</v>
      </c>
      <c r="H49" s="65" t="str">
        <f>IFERROR(G49/G$4,"")</f>
        <v/>
      </c>
      <c r="I49" s="473" t="str">
        <f>IF(IFERROR(G49/E49-1,"")=0,"",IFERROR(+G49/E49-1,""))</f>
        <v/>
      </c>
      <c r="J49" s="473" t="str">
        <f>IF(IFERROR(G49/C49-1,"")=0,"",IFERROR(+G49/C49-1,""))</f>
        <v/>
      </c>
      <c r="K49" s="343">
        <f>K51+K208</f>
        <v>0</v>
      </c>
      <c r="L49" s="65" t="str">
        <f>IFERROR(K49/K$4,"")</f>
        <v/>
      </c>
      <c r="M49" s="343">
        <f>M51+M208</f>
        <v>0</v>
      </c>
      <c r="N49" s="65" t="str">
        <f>IFERROR(M49/M$4,"")</f>
        <v/>
      </c>
      <c r="O49" s="343">
        <f>O51+O208</f>
        <v>0</v>
      </c>
      <c r="P49" s="65" t="str">
        <f>IFERROR(O49/O$4,"")</f>
        <v/>
      </c>
      <c r="Q49" s="473" t="str">
        <f>IF(IFERROR(O49/M49-1,"")=0,"",IFERROR(+O49/M49-1,""))</f>
        <v/>
      </c>
      <c r="R49" s="473" t="str">
        <f>IF(IFERROR(O49/K49-1,"")=0,"",IFERROR(+O49/K49-1,""))</f>
        <v/>
      </c>
      <c r="S49" s="343">
        <f>S51+S208</f>
        <v>0</v>
      </c>
      <c r="T49" s="65" t="str">
        <f>IFERROR(S49/S$4,"")</f>
        <v/>
      </c>
      <c r="U49" s="343">
        <f>U51+U208</f>
        <v>0</v>
      </c>
      <c r="V49" s="65" t="str">
        <f>IFERROR(U49/U$4,"")</f>
        <v/>
      </c>
      <c r="W49" s="343">
        <f>W51+W208</f>
        <v>2581.3719199999996</v>
      </c>
      <c r="X49" s="65">
        <f>IFERROR(W49/W$4,"")</f>
        <v>0.43531457866068562</v>
      </c>
      <c r="Y49" s="473" t="str">
        <f>IF(IFERROR(W49/U49-1,"")=0,"",IFERROR(+W49/U49-1,""))</f>
        <v/>
      </c>
      <c r="Z49" s="473" t="str">
        <f>IF(IFERROR(W49/S49-1,"")=0,"",IFERROR(+W49/S49-1,""))</f>
        <v/>
      </c>
      <c r="AA49" s="343">
        <f>AA51+AA208</f>
        <v>0</v>
      </c>
      <c r="AB49" s="65" t="str">
        <f>IFERROR(AA49/AA$4,"")</f>
        <v/>
      </c>
      <c r="AC49" s="343">
        <f>AC51+AC208</f>
        <v>8054.0452000000005</v>
      </c>
      <c r="AD49" s="65">
        <f>IFERROR(AC49/AC$4,"")</f>
        <v>0.58909738557502134</v>
      </c>
      <c r="AE49" s="343">
        <f>AE51+AE208</f>
        <v>7143.4246899999998</v>
      </c>
      <c r="AF49" s="65">
        <f>IFERROR(AE49/AE$4,"")</f>
        <v>0.52091595615902919</v>
      </c>
      <c r="AG49" s="473">
        <f>IF(IFERROR(AE49/AC49-1,"")=0,"",IFERROR(+AE49/AC49-1,""))</f>
        <v>-0.113063744663365</v>
      </c>
      <c r="AH49" s="473" t="str">
        <f>IF(IFERROR(AE49/AA49-1,"")=0,"",IFERROR(+AE49/AA49-1,""))</f>
        <v/>
      </c>
      <c r="AI49" s="343">
        <f>AI51+AI208</f>
        <v>0</v>
      </c>
      <c r="AJ49" s="65" t="str">
        <f>IFERROR(AI49/AI$4,"")</f>
        <v/>
      </c>
      <c r="AK49" s="343">
        <f>AK51+AK208</f>
        <v>8285.1759000000002</v>
      </c>
      <c r="AL49" s="65">
        <f>IFERROR(AK49/AK$4,"")</f>
        <v>0.59298424706555974</v>
      </c>
      <c r="AM49" s="343">
        <f>AM51+AM208</f>
        <v>8278.0935199999985</v>
      </c>
      <c r="AN49" s="65">
        <f>IFERROR(AM49/AM$4,"")</f>
        <v>0.52684462077862393</v>
      </c>
      <c r="AO49" s="473">
        <f>IF(IFERROR(AM49/AK49-1,"")=0,"",IFERROR(+AM49/AK49-1,""))</f>
        <v>-8.5482554450067028E-4</v>
      </c>
      <c r="AP49" s="473" t="str">
        <f>IF(IFERROR(AM49/AI49-1,"")=0,"",IFERROR(+AM49/AI49-1,""))</f>
        <v/>
      </c>
      <c r="AQ49" s="343">
        <f>AQ51+AQ208</f>
        <v>0</v>
      </c>
      <c r="AR49" s="65" t="str">
        <f>IFERROR(AQ49/AQ$4,"")</f>
        <v/>
      </c>
      <c r="AS49" s="343">
        <f>AS51+AS208</f>
        <v>8602.2400000000016</v>
      </c>
      <c r="AT49" s="65">
        <f>IFERROR(AS49/AS$4,"")</f>
        <v>0.57044031830238739</v>
      </c>
      <c r="AU49" s="343">
        <f>AU51+AU208</f>
        <v>7690.9786400000003</v>
      </c>
      <c r="AV49" s="65">
        <f>IFERROR(AU49/AU$4,"")</f>
        <v>0.53959091023577543</v>
      </c>
      <c r="AW49" s="473">
        <f>IF(IFERROR(AU49/AS49-1,"")=0,"",IFERROR(+AU49/AS49-1,""))</f>
        <v>-0.10593303139647359</v>
      </c>
      <c r="AX49" s="473" t="str">
        <f>IF(IFERROR(AU49/AQ49-1,"")=0,"",IFERROR(+AU49/AQ49-1,""))</f>
        <v/>
      </c>
      <c r="AY49" s="343">
        <f>AY51+AY208</f>
        <v>0</v>
      </c>
      <c r="AZ49" s="65" t="str">
        <f>IFERROR(AY49/AY$4,"")</f>
        <v/>
      </c>
      <c r="BA49" s="343">
        <f>BA51+BA208</f>
        <v>8503.1939256702481</v>
      </c>
      <c r="BB49" s="65">
        <f>IFERROR(BA49/BA$4,"")</f>
        <v>0.54272819056456023</v>
      </c>
      <c r="BC49" s="343">
        <f>BC51+BC208</f>
        <v>0</v>
      </c>
      <c r="BD49" s="65" t="str">
        <f>IFERROR(BC49/BC$4,"")</f>
        <v/>
      </c>
      <c r="BE49" s="473">
        <f>IF(IFERROR(BC49/BA49-1,"")=0,"",IFERROR(+BC49/BA49-1,""))</f>
        <v>-1</v>
      </c>
      <c r="BF49" s="473" t="str">
        <f>IF(IFERROR(BC49/AY49-1,"")=0,"",IFERROR(+BC49/AY49-1,""))</f>
        <v/>
      </c>
      <c r="BG49" s="343">
        <f>BG51+BG208</f>
        <v>0</v>
      </c>
      <c r="BH49" s="65" t="str">
        <f>IFERROR(BG49/BG$4,"")</f>
        <v/>
      </c>
      <c r="BI49" s="343">
        <f>BI51+BI208</f>
        <v>8512.134299616484</v>
      </c>
      <c r="BJ49" s="65">
        <f>IFERROR(BI49/BI$4,"")</f>
        <v>0.54329882237858518</v>
      </c>
      <c r="BK49" s="343">
        <f>BK51+BK208</f>
        <v>0</v>
      </c>
      <c r="BL49" s="65" t="str">
        <f>IFERROR(BK49/BK$4,"")</f>
        <v/>
      </c>
      <c r="BM49" s="473">
        <f>IF(IFERROR(BK49/BI49-1,"")=0,"",IFERROR(+BK49/BI49-1,""))</f>
        <v>-1</v>
      </c>
      <c r="BN49" s="473" t="str">
        <f>IF(IFERROR(BK49/BG49-1,"")=0,"",IFERROR(+BK49/BG49-1,""))</f>
        <v/>
      </c>
      <c r="BO49" s="343">
        <f>BO51+BO208</f>
        <v>0</v>
      </c>
      <c r="BP49" s="65" t="str">
        <f>IFERROR(BO49/BO$4,"")</f>
        <v/>
      </c>
      <c r="BQ49" s="343">
        <f>BQ51+BQ208</f>
        <v>8329.9189072178924</v>
      </c>
      <c r="BR49" s="65">
        <f>IFERROR(BQ49/BQ$4,"")</f>
        <v>0.57527064276366657</v>
      </c>
      <c r="BS49" s="343">
        <f>BS51+BS208</f>
        <v>0</v>
      </c>
      <c r="BT49" s="65" t="str">
        <f>IFERROR(BS49/BS$4,"")</f>
        <v/>
      </c>
      <c r="BU49" s="473">
        <f>IF(IFERROR(BS49/BQ49-1,"")=0,"",IFERROR(+BS49/BQ49-1,""))</f>
        <v>-1</v>
      </c>
      <c r="BV49" s="473" t="str">
        <f>IF(IFERROR(BS49/BO49-1,"")=0,"",IFERROR(+BS49/BO49-1,""))</f>
        <v/>
      </c>
      <c r="BW49" s="343">
        <f>BW51+BW208</f>
        <v>0</v>
      </c>
      <c r="BX49" s="65" t="str">
        <f>IFERROR(BW49/BW$4,"")</f>
        <v/>
      </c>
      <c r="BY49" s="343">
        <f>BY51+BY208</f>
        <v>6934.6445494537402</v>
      </c>
      <c r="BZ49" s="65">
        <f>IFERROR(BY49/BY$4,"")</f>
        <v>0.49237641522026193</v>
      </c>
      <c r="CA49" s="343">
        <f>CA51+CA208</f>
        <v>0</v>
      </c>
      <c r="CB49" s="65" t="str">
        <f>IFERROR(CA49/CA$4,"")</f>
        <v/>
      </c>
      <c r="CC49" s="473">
        <f>IF(IFERROR(CA49/BY49-1,"")=0,"",IFERROR(+CA49/BY49-1,""))</f>
        <v>-1</v>
      </c>
      <c r="CD49" s="473" t="str">
        <f>IF(IFERROR(CA49/BW49-1,"")=0,"",IFERROR(+CA49/BW49-1,""))</f>
        <v/>
      </c>
      <c r="CE49" s="343">
        <f>CE51+CE208</f>
        <v>0</v>
      </c>
      <c r="CF49" s="65" t="str">
        <f>IFERROR(CE49/CE$4,"")</f>
        <v/>
      </c>
      <c r="CG49" s="343">
        <f>CG51+CG208</f>
        <v>7131.7276285846656</v>
      </c>
      <c r="CH49" s="65">
        <f>IFERROR(CG49/CG$4,"")</f>
        <v>0.4904556528175002</v>
      </c>
      <c r="CI49" s="343">
        <f>CI51+CI208</f>
        <v>0</v>
      </c>
      <c r="CJ49" s="65" t="str">
        <f>IFERROR(CI49/CI$4,"")</f>
        <v/>
      </c>
      <c r="CK49" s="473">
        <f>IF(IFERROR(CI49/CG49-1,"")=0,"",IFERROR(+CI49/CG49-1,""))</f>
        <v>-1</v>
      </c>
      <c r="CL49" s="473" t="str">
        <f>IF(IFERROR(CI49/CE49-1,"")=0,"",IFERROR(+CI49/CE49-1,""))</f>
        <v/>
      </c>
      <c r="CM49" s="343">
        <f>CM51+CM208</f>
        <v>0</v>
      </c>
      <c r="CN49" s="65" t="str">
        <f>IFERROR(CM49/CM$4,"")</f>
        <v/>
      </c>
      <c r="CO49" s="343">
        <f>CO51+CO208</f>
        <v>7602.4831371438295</v>
      </c>
      <c r="CP49" s="65">
        <f>IFERROR(CO49/CO$4,"")</f>
        <v>0.49219497509339871</v>
      </c>
      <c r="CQ49" s="343">
        <f>CQ51+CQ208</f>
        <v>0</v>
      </c>
      <c r="CR49" s="65" t="str">
        <f>IFERROR(CQ49/CQ$4,"")</f>
        <v/>
      </c>
      <c r="CS49" s="473">
        <f>IF(IFERROR(CQ49/CO49-1,"")=0,"",IFERROR(+CQ49/CO49-1,""))</f>
        <v>-1</v>
      </c>
      <c r="CT49" s="473" t="str">
        <f>IF(IFERROR(CQ49/CM49-1,"")=0,"",IFERROR(+CQ49/CM49-1,""))</f>
        <v/>
      </c>
      <c r="CU49" s="343">
        <f t="shared" si="24"/>
        <v>0</v>
      </c>
      <c r="CV49" s="65" t="str">
        <f t="shared" si="25"/>
        <v/>
      </c>
      <c r="CW49" s="343">
        <f t="shared" si="26"/>
        <v>71955.563547686863</v>
      </c>
      <c r="CX49" s="65">
        <f t="shared" si="27"/>
        <v>0.54261048825404512</v>
      </c>
      <c r="CY49" s="343">
        <f t="shared" si="28"/>
        <v>25693.868770000001</v>
      </c>
      <c r="CZ49" s="65">
        <f t="shared" si="29"/>
        <v>0.51792714094191017</v>
      </c>
      <c r="DA49" s="473">
        <f t="shared" si="30"/>
        <v>-0.64292033161588691</v>
      </c>
      <c r="DB49" s="473" t="str">
        <f t="shared" si="31"/>
        <v/>
      </c>
    </row>
    <row r="50" spans="2:106" s="105" customFormat="1" ht="11.45" customHeight="1">
      <c r="B50" s="110"/>
      <c r="C50" s="349"/>
      <c r="D50" s="66"/>
      <c r="E50" s="349"/>
      <c r="F50" s="66"/>
      <c r="G50" s="349"/>
      <c r="H50" s="66"/>
      <c r="I50" s="474"/>
      <c r="J50" s="474"/>
      <c r="K50" s="349"/>
      <c r="L50" s="66"/>
      <c r="M50" s="349"/>
      <c r="N50" s="66"/>
      <c r="O50" s="349"/>
      <c r="P50" s="66"/>
      <c r="Q50" s="474"/>
      <c r="R50" s="474"/>
      <c r="S50" s="349"/>
      <c r="T50" s="66"/>
      <c r="U50" s="349"/>
      <c r="V50" s="66"/>
      <c r="W50" s="349"/>
      <c r="X50" s="66"/>
      <c r="Y50" s="474"/>
      <c r="Z50" s="474"/>
      <c r="AA50" s="349"/>
      <c r="AB50" s="66"/>
      <c r="AC50" s="349"/>
      <c r="AD50" s="66"/>
      <c r="AE50" s="349"/>
      <c r="AF50" s="66"/>
      <c r="AG50" s="474"/>
      <c r="AH50" s="474"/>
      <c r="AI50" s="349"/>
      <c r="AJ50" s="66"/>
      <c r="AK50" s="349"/>
      <c r="AL50" s="66"/>
      <c r="AM50" s="349"/>
      <c r="AN50" s="66"/>
      <c r="AO50" s="474"/>
      <c r="AP50" s="474"/>
      <c r="AQ50" s="349"/>
      <c r="AR50" s="66"/>
      <c r="AS50" s="349"/>
      <c r="AT50" s="66"/>
      <c r="AU50" s="349"/>
      <c r="AV50" s="66"/>
      <c r="AW50" s="474"/>
      <c r="AX50" s="474"/>
      <c r="AY50" s="349"/>
      <c r="AZ50" s="66"/>
      <c r="BA50" s="349"/>
      <c r="BB50" s="66"/>
      <c r="BC50" s="349"/>
      <c r="BD50" s="66"/>
      <c r="BE50" s="474"/>
      <c r="BF50" s="474"/>
      <c r="BG50" s="349"/>
      <c r="BH50" s="66"/>
      <c r="BI50" s="349"/>
      <c r="BJ50" s="66"/>
      <c r="BK50" s="349"/>
      <c r="BL50" s="66"/>
      <c r="BM50" s="474"/>
      <c r="BN50" s="474"/>
      <c r="BO50" s="349"/>
      <c r="BP50" s="66"/>
      <c r="BQ50" s="349"/>
      <c r="BR50" s="66"/>
      <c r="BS50" s="349"/>
      <c r="BT50" s="66"/>
      <c r="BU50" s="474"/>
      <c r="BV50" s="474"/>
      <c r="BW50" s="349"/>
      <c r="BX50" s="66"/>
      <c r="BY50" s="349"/>
      <c r="BZ50" s="66"/>
      <c r="CA50" s="349"/>
      <c r="CB50" s="66"/>
      <c r="CC50" s="474"/>
      <c r="CD50" s="474"/>
      <c r="CE50" s="349"/>
      <c r="CF50" s="66"/>
      <c r="CG50" s="349"/>
      <c r="CH50" s="66"/>
      <c r="CI50" s="349"/>
      <c r="CJ50" s="66"/>
      <c r="CK50" s="474"/>
      <c r="CL50" s="474"/>
      <c r="CM50" s="349"/>
      <c r="CN50" s="66"/>
      <c r="CO50" s="349"/>
      <c r="CP50" s="66"/>
      <c r="CQ50" s="349"/>
      <c r="CR50" s="66"/>
      <c r="CS50" s="474"/>
      <c r="CT50" s="474"/>
      <c r="CU50" s="349">
        <f t="shared" si="24"/>
        <v>0</v>
      </c>
      <c r="CV50" s="66"/>
      <c r="CW50" s="349">
        <f t="shared" si="26"/>
        <v>0</v>
      </c>
      <c r="CX50" s="66"/>
      <c r="CY50" s="349"/>
      <c r="CZ50" s="66"/>
      <c r="DA50" s="474"/>
      <c r="DB50" s="474"/>
    </row>
    <row r="51" spans="2:106" s="111" customFormat="1" ht="16.899999999999999" customHeight="1">
      <c r="B51" s="112" t="s">
        <v>27</v>
      </c>
      <c r="C51" s="350">
        <f>+C52+C80+C93+C103+C205+C206</f>
        <v>0</v>
      </c>
      <c r="D51" s="67" t="str">
        <f>IFERROR(C51/C$4,"")</f>
        <v/>
      </c>
      <c r="E51" s="350">
        <f>+E52+E80+E93+E103+E205+E206</f>
        <v>0</v>
      </c>
      <c r="F51" s="67" t="str">
        <f>IFERROR(E51/E$4,"")</f>
        <v/>
      </c>
      <c r="G51" s="350">
        <f>+G52+G80+G93+G103+G205+G206</f>
        <v>0</v>
      </c>
      <c r="H51" s="67" t="str">
        <f>IFERROR(G51/G$4,"")</f>
        <v/>
      </c>
      <c r="I51" s="475" t="str">
        <f t="shared" ref="I51:I82" si="92">IF(IFERROR(G51/E51-1,"")=0,"",IFERROR(+G51/E51-1,""))</f>
        <v/>
      </c>
      <c r="J51" s="475" t="str">
        <f t="shared" ref="J51:J82" si="93">IF(IFERROR(G51/C51-1,"")=0,"",IFERROR(+G51/C51-1,""))</f>
        <v/>
      </c>
      <c r="K51" s="350">
        <f>+K52+K80+K93+K103+K205+K206</f>
        <v>0</v>
      </c>
      <c r="L51" s="67" t="str">
        <f>IFERROR(K51/K$4,"")</f>
        <v/>
      </c>
      <c r="M51" s="350">
        <f>+M52+M80+M93+M103+M205+M206</f>
        <v>0</v>
      </c>
      <c r="N51" s="67" t="str">
        <f>IFERROR(M51/M$4,"")</f>
        <v/>
      </c>
      <c r="O51" s="350">
        <f>+O52+O80+O93+O103+O205+O206</f>
        <v>0</v>
      </c>
      <c r="P51" s="67" t="str">
        <f>IFERROR(O51/O$4,"")</f>
        <v/>
      </c>
      <c r="Q51" s="475" t="str">
        <f t="shared" ref="Q51:Q82" si="94">IF(IFERROR(O51/M51-1,"")=0,"",IFERROR(+O51/M51-1,""))</f>
        <v/>
      </c>
      <c r="R51" s="475" t="str">
        <f t="shared" ref="R51:R82" si="95">IF(IFERROR(O51/K51-1,"")=0,"",IFERROR(+O51/K51-1,""))</f>
        <v/>
      </c>
      <c r="S51" s="350">
        <f>+S52+S80+S93+S103+S205+S206</f>
        <v>0</v>
      </c>
      <c r="T51" s="67" t="str">
        <f>IFERROR(S51/S$4,"")</f>
        <v/>
      </c>
      <c r="U51" s="350">
        <f>+U52+U80+U93+U103+U205+U206</f>
        <v>0</v>
      </c>
      <c r="V51" s="67" t="str">
        <f>IFERROR(U51/U$4,"")</f>
        <v/>
      </c>
      <c r="W51" s="350">
        <f>+W52+W80+W93+W103+W205+W206</f>
        <v>2581.3719199999996</v>
      </c>
      <c r="X51" s="67">
        <f>IFERROR(W51/W$4,"")</f>
        <v>0.43531457866068562</v>
      </c>
      <c r="Y51" s="475" t="str">
        <f t="shared" ref="Y51:Y82" si="96">IF(IFERROR(W51/U51-1,"")=0,"",IFERROR(+W51/U51-1,""))</f>
        <v/>
      </c>
      <c r="Z51" s="475" t="str">
        <f t="shared" ref="Z51:Z82" si="97">IF(IFERROR(W51/S51-1,"")=0,"",IFERROR(+W51/S51-1,""))</f>
        <v/>
      </c>
      <c r="AA51" s="350">
        <f>+AA52+AA80+AA93+AA103+AA205+AA206</f>
        <v>0</v>
      </c>
      <c r="AB51" s="67" t="str">
        <f>IFERROR(AA51/AA$4,"")</f>
        <v/>
      </c>
      <c r="AC51" s="350">
        <f>+AC52+AC80+AC93+AC103+AC205+AC206</f>
        <v>8054.0452000000005</v>
      </c>
      <c r="AD51" s="67">
        <f>IFERROR(AC51/AC$4,"")</f>
        <v>0.58909738557502134</v>
      </c>
      <c r="AE51" s="350">
        <f>+AE52+AE80+AE93+AE103+AE205+AE206</f>
        <v>7143.4246899999998</v>
      </c>
      <c r="AF51" s="67">
        <f>IFERROR(AE51/AE$4,"")</f>
        <v>0.52091595615902919</v>
      </c>
      <c r="AG51" s="475">
        <f t="shared" ref="AG51:AG82" si="98">IF(IFERROR(AE51/AC51-1,"")=0,"",IFERROR(+AE51/AC51-1,""))</f>
        <v>-0.113063744663365</v>
      </c>
      <c r="AH51" s="475" t="str">
        <f t="shared" ref="AH51:AH82" si="99">IF(IFERROR(AE51/AA51-1,"")=0,"",IFERROR(+AE51/AA51-1,""))</f>
        <v/>
      </c>
      <c r="AI51" s="350">
        <f>+AI52+AI80+AI93+AI103+AI205+AI206</f>
        <v>0</v>
      </c>
      <c r="AJ51" s="67" t="str">
        <f>IFERROR(AI51/AI$4,"")</f>
        <v/>
      </c>
      <c r="AK51" s="350">
        <f>+AK52+AK80+AK93+AK103+AK205+AK206</f>
        <v>8285.1759000000002</v>
      </c>
      <c r="AL51" s="67">
        <f>IFERROR(AK51/AK$4,"")</f>
        <v>0.59298424706555974</v>
      </c>
      <c r="AM51" s="350">
        <f>+AM52+AM80+AM93+AM103+AM205+AM206</f>
        <v>8247.9887399999989</v>
      </c>
      <c r="AN51" s="67">
        <f>IFERROR(AM51/AM$4,"")</f>
        <v>0.52492865530125832</v>
      </c>
      <c r="AO51" s="475">
        <f t="shared" ref="AO51:AO82" si="100">IF(IFERROR(AM51/AK51-1,"")=0,"",IFERROR(+AM51/AK51-1,""))</f>
        <v>-4.4883971624550822E-3</v>
      </c>
      <c r="AP51" s="475" t="str">
        <f t="shared" ref="AP51:AP82" si="101">IF(IFERROR(AM51/AI51-1,"")=0,"",IFERROR(+AM51/AI51-1,""))</f>
        <v/>
      </c>
      <c r="AQ51" s="350">
        <f>+AQ52+AQ80+AQ93+AQ103+AQ205+AQ206</f>
        <v>0</v>
      </c>
      <c r="AR51" s="67" t="str">
        <f>IFERROR(AQ51/AQ$4,"")</f>
        <v/>
      </c>
      <c r="AS51" s="350">
        <f>+AS52+AS80+AS93+AS103+AS205+AS206</f>
        <v>8562.6400000000012</v>
      </c>
      <c r="AT51" s="67">
        <f>IFERROR(AS51/AS$4,"")</f>
        <v>0.56781432360742712</v>
      </c>
      <c r="AU51" s="350">
        <f>+AU52+AU80+AU93+AU103+AU205+AU206</f>
        <v>7678.8271500000001</v>
      </c>
      <c r="AV51" s="67">
        <f>IFERROR(AU51/AU$4,"")</f>
        <v>0.53873837457591545</v>
      </c>
      <c r="AW51" s="475">
        <f t="shared" ref="AW51:AW82" si="102">IF(IFERROR(AU51/AS51-1,"")=0,"",IFERROR(+AU51/AS51-1,""))</f>
        <v>-0.10321733133706434</v>
      </c>
      <c r="AX51" s="475" t="str">
        <f t="shared" ref="AX51:AX82" si="103">IF(IFERROR(AU51/AQ51-1,"")=0,"",IFERROR(+AU51/AQ51-1,""))</f>
        <v/>
      </c>
      <c r="AY51" s="350">
        <f>+AY52+AY80+AY93+AY103+AY205+AY206</f>
        <v>0</v>
      </c>
      <c r="AZ51" s="67" t="str">
        <f>IFERROR(AY51/AY$4,"")</f>
        <v/>
      </c>
      <c r="BA51" s="350">
        <f>+BA52+BA80+BA93+BA103+BA205+BA206</f>
        <v>8475.8450000000012</v>
      </c>
      <c r="BB51" s="67">
        <f>IFERROR(BA51/BA$4,"")</f>
        <v>0.54098260730812198</v>
      </c>
      <c r="BC51" s="350">
        <f>+BC52+BC80+BC93+BC103+BC205+BC206</f>
        <v>0</v>
      </c>
      <c r="BD51" s="67" t="str">
        <f>IFERROR(BC51/BC$4,"")</f>
        <v/>
      </c>
      <c r="BE51" s="475">
        <f t="shared" ref="BE51:BE82" si="104">IF(IFERROR(BC51/BA51-1,"")=0,"",IFERROR(+BC51/BA51-1,""))</f>
        <v>-1</v>
      </c>
      <c r="BF51" s="475" t="str">
        <f t="shared" ref="BF51:BF82" si="105">IF(IFERROR(BC51/AY51-1,"")=0,"",IFERROR(+BC51/AY51-1,""))</f>
        <v/>
      </c>
      <c r="BG51" s="350">
        <f>+BG52+BG80+BG93+BG103+BG205+BG206</f>
        <v>0</v>
      </c>
      <c r="BH51" s="67" t="str">
        <f>IFERROR(BG51/BG$4,"")</f>
        <v/>
      </c>
      <c r="BI51" s="350">
        <f>+BI52+BI80+BI93+BI103+BI205+BI206</f>
        <v>8480.8450000000012</v>
      </c>
      <c r="BJ51" s="67">
        <f>IFERROR(BI51/BI$4,"")</f>
        <v>0.5413017392691879</v>
      </c>
      <c r="BK51" s="350">
        <f>+BK52+BK80+BK93+BK103+BK205+BK206</f>
        <v>0</v>
      </c>
      <c r="BL51" s="67" t="str">
        <f>IFERROR(BK51/BK$4,"")</f>
        <v/>
      </c>
      <c r="BM51" s="475">
        <f t="shared" ref="BM51:BM82" si="106">IF(IFERROR(BK51/BI51-1,"")=0,"",IFERROR(+BK51/BI51-1,""))</f>
        <v>-1</v>
      </c>
      <c r="BN51" s="475" t="str">
        <f t="shared" ref="BN51:BN82" si="107">IF(IFERROR(BK51/BG51-1,"")=0,"",IFERROR(+BK51/BG51-1,""))</f>
        <v/>
      </c>
      <c r="BO51" s="350">
        <f>+BO52+BO80+BO93+BO103+BO205+BO206</f>
        <v>0</v>
      </c>
      <c r="BP51" s="67" t="str">
        <f>IFERROR(BO51/BO$4,"")</f>
        <v/>
      </c>
      <c r="BQ51" s="350">
        <f>+BQ52+BQ80+BQ93+BQ103+BQ205+BQ206</f>
        <v>8298.6400000000012</v>
      </c>
      <c r="BR51" s="67">
        <f>IFERROR(BQ51/BQ$4,"")</f>
        <v>0.57311049723756913</v>
      </c>
      <c r="BS51" s="350">
        <f>+BS52+BS80+BS93+BS103+BS205+BS206</f>
        <v>0</v>
      </c>
      <c r="BT51" s="67" t="str">
        <f>IFERROR(BS51/BS$4,"")</f>
        <v/>
      </c>
      <c r="BU51" s="475">
        <f t="shared" ref="BU51:BU82" si="108">IF(IFERROR(BS51/BQ51-1,"")=0,"",IFERROR(+BS51/BQ51-1,""))</f>
        <v>-1</v>
      </c>
      <c r="BV51" s="475" t="str">
        <f t="shared" ref="BV51:BV82" si="109">IF(IFERROR(BS51/BO51-1,"")=0,"",IFERROR(+BS51/BO51-1,""))</f>
        <v/>
      </c>
      <c r="BW51" s="350">
        <f>+BW52+BW80+BW93+BW103+BW205+BW206</f>
        <v>0</v>
      </c>
      <c r="BX51" s="67" t="str">
        <f>IFERROR(BW51/BW$4,"")</f>
        <v/>
      </c>
      <c r="BY51" s="350">
        <f>+BY52+BY80+BY93+BY103+BY205+BY206</f>
        <v>6361.0793632806917</v>
      </c>
      <c r="BZ51" s="67">
        <f>IFERROR(BY51/BY$4,"")</f>
        <v>0.45165190969599917</v>
      </c>
      <c r="CA51" s="350">
        <f>+CA52+CA80+CA93+CA103+CA205+CA206</f>
        <v>0</v>
      </c>
      <c r="CB51" s="67" t="str">
        <f>IFERROR(CA51/CA$4,"")</f>
        <v/>
      </c>
      <c r="CC51" s="475">
        <f t="shared" ref="CC51:CC82" si="110">IF(IFERROR(CA51/BY51-1,"")=0,"",IFERROR(+CA51/BY51-1,""))</f>
        <v>-1</v>
      </c>
      <c r="CD51" s="475" t="str">
        <f t="shared" ref="CD51:CD82" si="111">IF(IFERROR(CA51/BW51-1,"")=0,"",IFERROR(+CA51/BW51-1,""))</f>
        <v/>
      </c>
      <c r="CE51" s="350">
        <f>+CE52+CE80+CE93+CE103+CE205+CE206</f>
        <v>0</v>
      </c>
      <c r="CF51" s="67" t="str">
        <f>IFERROR(CE51/CE$4,"")</f>
        <v/>
      </c>
      <c r="CG51" s="350">
        <f>+CG52+CG80+CG93+CG103+CG205+CG206</f>
        <v>6548.2476985410485</v>
      </c>
      <c r="CH51" s="67">
        <f>IFERROR(CG51/CG$4,"")</f>
        <v>0.45032918628666274</v>
      </c>
      <c r="CI51" s="350">
        <f>+CI52+CI80+CI93+CI103+CI205+CI206</f>
        <v>0</v>
      </c>
      <c r="CJ51" s="67" t="str">
        <f>IFERROR(CI51/CI$4,"")</f>
        <v/>
      </c>
      <c r="CK51" s="475">
        <f t="shared" ref="CK51:CK82" si="112">IF(IFERROR(CI51/CG51-1,"")=0,"",IFERROR(+CI51/CG51-1,""))</f>
        <v>-1</v>
      </c>
      <c r="CL51" s="475" t="str">
        <f t="shared" ref="CL51:CL82" si="113">IF(IFERROR(CI51/CE51-1,"")=0,"",IFERROR(+CI51/CE51-1,""))</f>
        <v/>
      </c>
      <c r="CM51" s="350">
        <f>+CM52+CM80+CM93+CM103+CM205+CM206</f>
        <v>0</v>
      </c>
      <c r="CN51" s="67" t="str">
        <f>IFERROR(CM51/CM$4,"")</f>
        <v/>
      </c>
      <c r="CO51" s="350">
        <f>+CO52+CO80+CO93+CO103+CO205+CO206</f>
        <v>6902.9132322286659</v>
      </c>
      <c r="CP51" s="67">
        <f>IFERROR(CO51/CO$4,"")</f>
        <v>0.44690387931397824</v>
      </c>
      <c r="CQ51" s="350">
        <f>+CQ52+CQ80+CQ93+CQ103+CQ205+CQ206</f>
        <v>0</v>
      </c>
      <c r="CR51" s="67" t="str">
        <f>IFERROR(CQ51/CQ$4,"")</f>
        <v/>
      </c>
      <c r="CS51" s="475">
        <f t="shared" ref="CS51:CS82" si="114">IF(IFERROR(CQ51/CO51-1,"")=0,"",IFERROR(+CQ51/CO51-1,""))</f>
        <v>-1</v>
      </c>
      <c r="CT51" s="475" t="str">
        <f t="shared" ref="CT51:CT82" si="115">IF(IFERROR(CQ51/CM51-1,"")=0,"",IFERROR(+CQ51/CM51-1,""))</f>
        <v/>
      </c>
      <c r="CU51" s="350">
        <f t="shared" si="24"/>
        <v>0</v>
      </c>
      <c r="CV51" s="67" t="str">
        <f t="shared" ref="CV51:CV82" si="116">IFERROR(CU51/CU$4,"")</f>
        <v/>
      </c>
      <c r="CW51" s="350">
        <f t="shared" si="26"/>
        <v>69969.431394050407</v>
      </c>
      <c r="CX51" s="67">
        <f t="shared" ref="CX51:CX82" si="117">IFERROR(CW51/CW$4,"")</f>
        <v>0.5276332427918855</v>
      </c>
      <c r="CY51" s="350">
        <f t="shared" ref="CY51:CY82" si="118">SUM(G51,O51,W51,AE51,AM51,AU51,BC51,BK51,BS51,CA51,CI51,CQ51)</f>
        <v>25651.612499999999</v>
      </c>
      <c r="CZ51" s="67">
        <f t="shared" ref="CZ51:CZ82" si="119">IFERROR(CY51/CY$4,"")</f>
        <v>0.51707535527647064</v>
      </c>
      <c r="DA51" s="475">
        <f t="shared" ref="DA51:DA82" si="120">IF(IFERROR(CY51/CW51-1,"")=0,"",IFERROR(+CY51/CW51-1,""))</f>
        <v>-0.63338829558959098</v>
      </c>
      <c r="DB51" s="475" t="str">
        <f t="shared" ref="DB51:DB82" si="121">IF(IFERROR(CY51/CU51-1,"")=0,"",IFERROR(+CY51/CU51-1,""))</f>
        <v/>
      </c>
    </row>
    <row r="52" spans="2:106" s="113" customFormat="1" ht="13.9" customHeight="1" outlineLevel="1">
      <c r="B52" s="59" t="s">
        <v>67</v>
      </c>
      <c r="C52" s="351">
        <f>+C53+C64+C68</f>
        <v>0</v>
      </c>
      <c r="D52" s="49" t="str">
        <f>IFERROR(C52/C$4,"")</f>
        <v/>
      </c>
      <c r="E52" s="351">
        <f>+E53+E64+E68</f>
        <v>0</v>
      </c>
      <c r="F52" s="49" t="str">
        <f>IFERROR(E52/E$4,"")</f>
        <v/>
      </c>
      <c r="G52" s="351">
        <f>+Расходы!B2/1000</f>
        <v>0</v>
      </c>
      <c r="H52" s="49" t="str">
        <f>IFERROR(G52/G$4,"")</f>
        <v/>
      </c>
      <c r="I52" s="476" t="str">
        <f t="shared" si="92"/>
        <v/>
      </c>
      <c r="J52" s="476" t="str">
        <f t="shared" si="93"/>
        <v/>
      </c>
      <c r="K52" s="351">
        <f>+K53+K64+K68</f>
        <v>0</v>
      </c>
      <c r="L52" s="49" t="str">
        <f>IFERROR(K52/K$4,"")</f>
        <v/>
      </c>
      <c r="M52" s="351">
        <f>+M53+M64+M68</f>
        <v>0</v>
      </c>
      <c r="N52" s="49" t="str">
        <f>IFERROR(M52/M$4,"")</f>
        <v/>
      </c>
      <c r="O52" s="351">
        <f>+Расходы!C2/1000</f>
        <v>0</v>
      </c>
      <c r="P52" s="49" t="str">
        <f>IFERROR(O52/O$4,"")</f>
        <v/>
      </c>
      <c r="Q52" s="476" t="str">
        <f t="shared" si="94"/>
        <v/>
      </c>
      <c r="R52" s="476" t="str">
        <f t="shared" si="95"/>
        <v/>
      </c>
      <c r="S52" s="351">
        <f>+S53+S64+S68</f>
        <v>0</v>
      </c>
      <c r="T52" s="49" t="str">
        <f>IFERROR(S52/S$4,"")</f>
        <v/>
      </c>
      <c r="U52" s="351">
        <f>+U53+U64+U68</f>
        <v>0</v>
      </c>
      <c r="V52" s="49" t="str">
        <f>IFERROR(U52/U$4,"")</f>
        <v/>
      </c>
      <c r="W52" s="351">
        <f>+Расходы!D2/1000</f>
        <v>1595.1889799999999</v>
      </c>
      <c r="X52" s="49">
        <f>IFERROR(W52/W$4,"")</f>
        <v>0.26900773706133324</v>
      </c>
      <c r="Y52" s="476" t="str">
        <f t="shared" si="96"/>
        <v/>
      </c>
      <c r="Z52" s="476" t="str">
        <f t="shared" si="97"/>
        <v/>
      </c>
      <c r="AA52" s="351">
        <f>+AA53+AA64+AA68</f>
        <v>0</v>
      </c>
      <c r="AB52" s="49" t="str">
        <f>IFERROR(AA52/AA$4,"")</f>
        <v/>
      </c>
      <c r="AC52" s="351">
        <f>+AC53+AC64+AC68</f>
        <v>4778.1871000000001</v>
      </c>
      <c r="AD52" s="49">
        <f>IFERROR(AC52/AC$4,"")</f>
        <v>0.34949115115448981</v>
      </c>
      <c r="AE52" s="351">
        <f>+Расходы!E2/1000</f>
        <v>4034.6142399999999</v>
      </c>
      <c r="AF52" s="49">
        <f>IFERROR(AE52/AE$4,"")</f>
        <v>0.2942139136014934</v>
      </c>
      <c r="AG52" s="476">
        <f t="shared" si="98"/>
        <v>-0.15561819670058552</v>
      </c>
      <c r="AH52" s="476" t="str">
        <f t="shared" si="99"/>
        <v/>
      </c>
      <c r="AI52" s="351">
        <f>+AI53+AI64+AI68</f>
        <v>0</v>
      </c>
      <c r="AJ52" s="49" t="str">
        <f>IFERROR(AI52/AI$4,"")</f>
        <v/>
      </c>
      <c r="AK52" s="351">
        <f>+AK53+AK64+AK68</f>
        <v>4902.0483999999997</v>
      </c>
      <c r="AL52" s="49">
        <f>IFERROR(AK52/AK$4,"")</f>
        <v>0.3508480103063269</v>
      </c>
      <c r="AM52" s="351">
        <f>+Расходы!F2/1000</f>
        <v>4515.4697200000001</v>
      </c>
      <c r="AN52" s="49">
        <f>IFERROR(AM52/AM$4,"")</f>
        <v>0.28737908390659972</v>
      </c>
      <c r="AO52" s="476">
        <f t="shared" si="100"/>
        <v>-7.8860641196443426E-2</v>
      </c>
      <c r="AP52" s="476" t="str">
        <f t="shared" si="101"/>
        <v/>
      </c>
      <c r="AQ52" s="351">
        <f>+AQ53+AQ64+AQ68</f>
        <v>0</v>
      </c>
      <c r="AR52" s="49" t="str">
        <f>IFERROR(AQ52/AQ$4,"")</f>
        <v/>
      </c>
      <c r="AS52" s="351">
        <f>+AS53+AS64+AS68</f>
        <v>4914.4400000000005</v>
      </c>
      <c r="AT52" s="49">
        <f>IFERROR(AS52/AS$4,"")</f>
        <v>0.32589124668435016</v>
      </c>
      <c r="AU52" s="351">
        <f>+Расходы!G2/1000</f>
        <v>4392.3214099999996</v>
      </c>
      <c r="AV52" s="49">
        <f>IFERROR(AU52/AU$4,"")</f>
        <v>0.30816061500204406</v>
      </c>
      <c r="AW52" s="476">
        <f t="shared" si="102"/>
        <v>-0.1062417264225427</v>
      </c>
      <c r="AX52" s="476" t="str">
        <f t="shared" si="103"/>
        <v/>
      </c>
      <c r="AY52" s="351">
        <f>+AY53+AY64+AY68</f>
        <v>0</v>
      </c>
      <c r="AZ52" s="49" t="str">
        <f>IFERROR(AY52/AY$4,"")</f>
        <v/>
      </c>
      <c r="BA52" s="351">
        <f>+BA53+BA64+BA68</f>
        <v>5024.7700000000004</v>
      </c>
      <c r="BB52" s="49">
        <f>IFERROR(BA52/BA$4,"")</f>
        <v>0.32071294080102125</v>
      </c>
      <c r="BC52" s="351">
        <f>+Расходы!H2/1000</f>
        <v>0</v>
      </c>
      <c r="BD52" s="49" t="str">
        <f>IFERROR(BC52/BC$4,"")</f>
        <v/>
      </c>
      <c r="BE52" s="476">
        <f t="shared" si="104"/>
        <v>-1</v>
      </c>
      <c r="BF52" s="476" t="str">
        <f t="shared" si="105"/>
        <v/>
      </c>
      <c r="BG52" s="351">
        <f>+BG53+BG64+BG68</f>
        <v>0</v>
      </c>
      <c r="BH52" s="49" t="str">
        <f>IFERROR(BG52/BG$4,"")</f>
        <v/>
      </c>
      <c r="BI52" s="351">
        <f>+BI53+BI64+BI68</f>
        <v>4989.7700000000004</v>
      </c>
      <c r="BJ52" s="49">
        <f>IFERROR(BI52/BI$4,"")</f>
        <v>0.31847901707355997</v>
      </c>
      <c r="BK52" s="351">
        <f>+Расходы!I2/1000</f>
        <v>0</v>
      </c>
      <c r="BL52" s="49" t="str">
        <f>IFERROR(BK52/BK$4,"")</f>
        <v/>
      </c>
      <c r="BM52" s="476">
        <f t="shared" si="106"/>
        <v>-1</v>
      </c>
      <c r="BN52" s="476" t="str">
        <f t="shared" si="107"/>
        <v/>
      </c>
      <c r="BO52" s="351">
        <f>+BO53+BO64+BO68</f>
        <v>0</v>
      </c>
      <c r="BP52" s="49" t="str">
        <f>IFERROR(BO52/BO$4,"")</f>
        <v/>
      </c>
      <c r="BQ52" s="351">
        <f>+BQ53+BQ64+BQ68</f>
        <v>4859.4400000000005</v>
      </c>
      <c r="BR52" s="49">
        <f>IFERROR(BQ52/BQ$4,"")</f>
        <v>0.33559668508287294</v>
      </c>
      <c r="BS52" s="351">
        <f>+Расходы!J2/1000</f>
        <v>0</v>
      </c>
      <c r="BT52" s="49" t="str">
        <f>IFERROR(BS52/BS$4,"")</f>
        <v/>
      </c>
      <c r="BU52" s="476">
        <f t="shared" si="108"/>
        <v>-1</v>
      </c>
      <c r="BV52" s="476" t="str">
        <f t="shared" si="109"/>
        <v/>
      </c>
      <c r="BW52" s="351">
        <f>+BW53+BW64+BW68</f>
        <v>0</v>
      </c>
      <c r="BX52" s="49" t="str">
        <f>IFERROR(BW52/BW$4,"")</f>
        <v/>
      </c>
      <c r="BY52" s="351">
        <f>+BY53+BY64+BY68</f>
        <v>4271.8270000000002</v>
      </c>
      <c r="BZ52" s="49">
        <f>IFERROR(BY52/BY$4,"")</f>
        <v>0.30330997496718298</v>
      </c>
      <c r="CA52" s="351">
        <f>+Расходы!K2/1000</f>
        <v>0</v>
      </c>
      <c r="CB52" s="49" t="str">
        <f>IFERROR(CA52/CA$4,"")</f>
        <v/>
      </c>
      <c r="CC52" s="476">
        <f t="shared" si="110"/>
        <v>-1</v>
      </c>
      <c r="CD52" s="476" t="str">
        <f t="shared" si="111"/>
        <v/>
      </c>
      <c r="CE52" s="351">
        <f>+CE53+CE64+CE68</f>
        <v>0</v>
      </c>
      <c r="CF52" s="49" t="str">
        <f>IFERROR(CE52/CE$4,"")</f>
        <v/>
      </c>
      <c r="CG52" s="351">
        <f>+CG53+CG64+CG68</f>
        <v>4370.0474999999997</v>
      </c>
      <c r="CH52" s="49">
        <f>IFERROR(CG52/CG$4,"")</f>
        <v>0.30053229891525429</v>
      </c>
      <c r="CI52" s="351">
        <f>+Расходы!L2/1000</f>
        <v>0</v>
      </c>
      <c r="CJ52" s="49" t="str">
        <f>IFERROR(CI52/CI$4,"")</f>
        <v/>
      </c>
      <c r="CK52" s="476">
        <f t="shared" si="112"/>
        <v>-1</v>
      </c>
      <c r="CL52" s="476" t="str">
        <f t="shared" si="113"/>
        <v/>
      </c>
      <c r="CM52" s="351">
        <f>+CM53+CM64+CM68</f>
        <v>0</v>
      </c>
      <c r="CN52" s="49" t="str">
        <f>IFERROR(CM52/CM$4,"")</f>
        <v/>
      </c>
      <c r="CO52" s="351">
        <f>+CO53+CO64+CO68</f>
        <v>4420.6540000000005</v>
      </c>
      <c r="CP52" s="49">
        <f>IFERROR(CO52/CO$4,"")</f>
        <v>0.28619908077086076</v>
      </c>
      <c r="CQ52" s="351">
        <f>+Расходы!M2/1000</f>
        <v>0</v>
      </c>
      <c r="CR52" s="49" t="str">
        <f>IFERROR(CQ52/CQ$4,"")</f>
        <v/>
      </c>
      <c r="CS52" s="476">
        <f t="shared" si="114"/>
        <v>-1</v>
      </c>
      <c r="CT52" s="476" t="str">
        <f t="shared" si="115"/>
        <v/>
      </c>
      <c r="CU52" s="351">
        <f t="shared" si="24"/>
        <v>0</v>
      </c>
      <c r="CV52" s="49" t="str">
        <f t="shared" si="116"/>
        <v/>
      </c>
      <c r="CW52" s="351">
        <f t="shared" si="26"/>
        <v>42531.184000000001</v>
      </c>
      <c r="CX52" s="49">
        <f t="shared" si="117"/>
        <v>0.32072386593106617</v>
      </c>
      <c r="CY52" s="351">
        <f t="shared" si="118"/>
        <v>14537.594349999999</v>
      </c>
      <c r="CZ52" s="49">
        <f t="shared" si="119"/>
        <v>0.29304324487949684</v>
      </c>
      <c r="DA52" s="476">
        <f t="shared" si="120"/>
        <v>-0.65818975672062174</v>
      </c>
      <c r="DB52" s="476" t="str">
        <f t="shared" si="121"/>
        <v/>
      </c>
    </row>
    <row r="53" spans="2:106" s="103" customFormat="1" ht="13.9" customHeight="1" outlineLevel="1">
      <c r="B53" s="58" t="str">
        <f>+Расходы!A3</f>
        <v>Фонд оплаты труда</v>
      </c>
      <c r="C53" s="477">
        <f>SUM(C54:C63)</f>
        <v>0</v>
      </c>
      <c r="D53" s="50" t="str">
        <f t="shared" ref="D53:D84" si="122">IF(IFERROR(C53/C$4,"")=0,"",IFERROR(C53/C$4,""))</f>
        <v/>
      </c>
      <c r="E53" s="477">
        <f>SUM(E54:E63)</f>
        <v>0</v>
      </c>
      <c r="F53" s="50" t="str">
        <f t="shared" ref="F53:F84" si="123">IF(IFERROR(E53/E$4,"")=0,"",IFERROR(E53/E$4,""))</f>
        <v/>
      </c>
      <c r="G53" s="352">
        <f>+Расходы!B3/1000</f>
        <v>0</v>
      </c>
      <c r="H53" s="51" t="str">
        <f t="shared" ref="H53:H84" si="124">IF(IFERROR(G53/G$4,"")=0,"",IFERROR(G53/G$4,""))</f>
        <v/>
      </c>
      <c r="I53" s="478" t="str">
        <f t="shared" si="92"/>
        <v/>
      </c>
      <c r="J53" s="478" t="str">
        <f t="shared" si="93"/>
        <v/>
      </c>
      <c r="K53" s="477">
        <f>SUM(K54:K63)</f>
        <v>0</v>
      </c>
      <c r="L53" s="50" t="str">
        <f t="shared" ref="L53:L84" si="125">IF(IFERROR(K53/K$4,"")=0,"",IFERROR(K53/K$4,""))</f>
        <v/>
      </c>
      <c r="M53" s="477">
        <f>SUM(M54:M63)</f>
        <v>0</v>
      </c>
      <c r="N53" s="50" t="str">
        <f t="shared" ref="N53:N84" si="126">IF(IFERROR(M53/M$4,"")=0,"",IFERROR(M53/M$4,""))</f>
        <v/>
      </c>
      <c r="O53" s="352">
        <f>+Расходы!C3/1000</f>
        <v>0</v>
      </c>
      <c r="P53" s="51" t="str">
        <f t="shared" ref="P53:P84" si="127">IF(IFERROR(O53/O$4,"")=0,"",IFERROR(O53/O$4,""))</f>
        <v/>
      </c>
      <c r="Q53" s="478" t="str">
        <f t="shared" si="94"/>
        <v/>
      </c>
      <c r="R53" s="478" t="str">
        <f t="shared" si="95"/>
        <v/>
      </c>
      <c r="S53" s="477">
        <f>SUM(S54:S63)</f>
        <v>0</v>
      </c>
      <c r="T53" s="50" t="str">
        <f t="shared" ref="T53:T84" si="128">IF(IFERROR(S53/S$4,"")=0,"",IFERROR(S53/S$4,""))</f>
        <v/>
      </c>
      <c r="U53" s="477">
        <v>0</v>
      </c>
      <c r="V53" s="50" t="str">
        <f t="shared" ref="V53:V84" si="129">IF(IFERROR(U53/U$4,"")=0,"",IFERROR(U53/U$4,""))</f>
        <v/>
      </c>
      <c r="W53" s="352">
        <f>+Расходы!D3/1000</f>
        <v>1415.0862299999999</v>
      </c>
      <c r="X53" s="51">
        <f t="shared" ref="X53:X84" si="130">IF(IFERROR(W53/W$4,"")=0,"",IFERROR(W53/W$4,""))</f>
        <v>0.23863576620179092</v>
      </c>
      <c r="Y53" s="478" t="str">
        <f t="shared" si="96"/>
        <v/>
      </c>
      <c r="Z53" s="478" t="str">
        <f t="shared" si="97"/>
        <v/>
      </c>
      <c r="AA53" s="477">
        <f>SUM(AA54:AA63)</f>
        <v>0</v>
      </c>
      <c r="AB53" s="50" t="str">
        <f t="shared" ref="AB53:AB84" si="131">IF(IFERROR(AA53/AA$4,"")=0,"",IFERROR(AA53/AA$4,""))</f>
        <v/>
      </c>
      <c r="AC53" s="477">
        <v>3291.87</v>
      </c>
      <c r="AD53" s="50">
        <f t="shared" ref="AD53:AD84" si="132">IF(IFERROR(AC53/AC$4,"")=0,"",IFERROR(AC53/AC$4,""))</f>
        <v>0.24077739353298458</v>
      </c>
      <c r="AE53" s="352">
        <f>+Расходы!E3/1000</f>
        <v>3397.8400499999998</v>
      </c>
      <c r="AF53" s="51">
        <f t="shared" ref="AF53:AF84" si="133">IF(IFERROR(AE53/AE$4,"")=0,"",IFERROR(AE53/AE$4,""))</f>
        <v>0.24777878613306883</v>
      </c>
      <c r="AG53" s="478">
        <f t="shared" si="98"/>
        <v>3.2191444376600487E-2</v>
      </c>
      <c r="AH53" s="478" t="str">
        <f t="shared" si="99"/>
        <v/>
      </c>
      <c r="AI53" s="477">
        <f>SUM(AI54:AI63)</f>
        <v>0</v>
      </c>
      <c r="AJ53" s="50" t="str">
        <f t="shared" ref="AJ53:AJ84" si="134">IF(IFERROR(AI53/AI$4,"")=0,"",IFERROR(AI53/AI$4,""))</f>
        <v/>
      </c>
      <c r="AK53" s="477">
        <v>3377.48</v>
      </c>
      <c r="AL53" s="50">
        <f t="shared" ref="AL53:AL84" si="135">IF(IFERROR(AK53/AK$4,"")=0,"",IFERROR(AK53/AK$4,""))</f>
        <v>0.24173203549957056</v>
      </c>
      <c r="AM53" s="352">
        <f>+Расходы!F3/1000</f>
        <v>3793.8054999999999</v>
      </c>
      <c r="AN53" s="51">
        <f t="shared" ref="AN53:AN84" si="136">IF(IFERROR(AM53/AM$4,"")=0,"",IFERROR(AM53/AM$4,""))</f>
        <v>0.24145004101806258</v>
      </c>
      <c r="AO53" s="478">
        <f t="shared" si="100"/>
        <v>0.12326512666248202</v>
      </c>
      <c r="AP53" s="478" t="str">
        <f t="shared" si="101"/>
        <v/>
      </c>
      <c r="AQ53" s="479">
        <f>SUM(AQ54:AQ63)</f>
        <v>0</v>
      </c>
      <c r="AR53" s="50" t="str">
        <f t="shared" ref="AR53:AR84" si="137">IF(IFERROR(AQ53/AQ$4,"")=0,"",IFERROR(AQ53/AQ$4,""))</f>
        <v/>
      </c>
      <c r="AS53" s="477">
        <v>3919.44</v>
      </c>
      <c r="AT53" s="50">
        <f t="shared" ref="AT53:AT84" si="138">IF(IFERROR(AS53/AS$4,"")=0,"",IFERROR(AS53/AS$4,""))</f>
        <v>0.25990981432360744</v>
      </c>
      <c r="AU53" s="352">
        <f>+Расходы!G3/1000</f>
        <v>3559.8084099999996</v>
      </c>
      <c r="AV53" s="51">
        <f t="shared" ref="AV53:AV84" si="139">IF(IFERROR(AU53/AU$4,"")=0,"",IFERROR(AU53/AU$4,""))</f>
        <v>0.24975238524610804</v>
      </c>
      <c r="AW53" s="478">
        <f t="shared" si="102"/>
        <v>-9.1755860531096411E-2</v>
      </c>
      <c r="AX53" s="478" t="str">
        <f t="shared" si="103"/>
        <v/>
      </c>
      <c r="AY53" s="479">
        <f>SUM(AY54:AY63)</f>
        <v>0</v>
      </c>
      <c r="AZ53" s="50" t="str">
        <f t="shared" ref="AZ53:AZ84" si="140">IF(IFERROR(AY53/AY$4,"")=0,"",IFERROR(AY53/AY$4,""))</f>
        <v/>
      </c>
      <c r="BA53" s="477">
        <v>4039.77</v>
      </c>
      <c r="BB53" s="50">
        <f t="shared" ref="BB53:BB84" si="141">IF(IFERROR(BA53/BA$4,"")=0,"",IFERROR(BA53/BA$4,""))</f>
        <v>0.25784394447103876</v>
      </c>
      <c r="BC53" s="352">
        <f>+Расходы!H3/1000</f>
        <v>0</v>
      </c>
      <c r="BD53" s="51" t="str">
        <f t="shared" ref="BD53:BD84" si="142">IF(IFERROR(BC53/BC$4,"")=0,"",IFERROR(BC53/BC$4,""))</f>
        <v/>
      </c>
      <c r="BE53" s="478">
        <f t="shared" si="104"/>
        <v>-1</v>
      </c>
      <c r="BF53" s="478" t="str">
        <f t="shared" si="105"/>
        <v/>
      </c>
      <c r="BG53" s="479">
        <f>SUM(BG54:BG63)</f>
        <v>0</v>
      </c>
      <c r="BH53" s="50" t="str">
        <f t="shared" ref="BH53:BH84" si="143">IF(IFERROR(BG53/BG$4,"")=0,"",IFERROR(BG53/BG$4,""))</f>
        <v/>
      </c>
      <c r="BI53" s="477">
        <v>4039.77</v>
      </c>
      <c r="BJ53" s="50">
        <f t="shared" ref="BJ53:BJ84" si="144">IF(IFERROR(BI53/BI$4,"")=0,"",IFERROR(BI53/BI$4,""))</f>
        <v>0.25784394447103876</v>
      </c>
      <c r="BK53" s="352">
        <f>+Расходы!I3/1000</f>
        <v>0</v>
      </c>
      <c r="BL53" s="51" t="str">
        <f t="shared" ref="BL53:BL84" si="145">IF(IFERROR(BK53/BK$4,"")=0,"",IFERROR(BK53/BK$4,""))</f>
        <v/>
      </c>
      <c r="BM53" s="478">
        <f t="shared" si="106"/>
        <v>-1</v>
      </c>
      <c r="BN53" s="478" t="str">
        <f t="shared" si="107"/>
        <v/>
      </c>
      <c r="BO53" s="479">
        <f>SUM(BO54:BO63)</f>
        <v>0</v>
      </c>
      <c r="BP53" s="50" t="str">
        <f t="shared" ref="BP53:BP84" si="146">IF(IFERROR(BO53/BO$4,"")=0,"",IFERROR(BO53/BO$4,""))</f>
        <v/>
      </c>
      <c r="BQ53" s="477">
        <v>3939.44</v>
      </c>
      <c r="BR53" s="50">
        <f t="shared" ref="BR53:BR84" si="147">IF(IFERROR(BQ53/BQ$4,"")=0,"",IFERROR(BQ53/BQ$4,""))</f>
        <v>0.27206077348066299</v>
      </c>
      <c r="BS53" s="352">
        <f>+Расходы!J3/1000</f>
        <v>0</v>
      </c>
      <c r="BT53" s="51" t="str">
        <f t="shared" ref="BT53:BT84" si="148">IF(IFERROR(BS53/BS$4,"")=0,"",IFERROR(BS53/BS$4,""))</f>
        <v/>
      </c>
      <c r="BU53" s="478">
        <f t="shared" si="108"/>
        <v>-1</v>
      </c>
      <c r="BV53" s="478" t="str">
        <f t="shared" si="109"/>
        <v/>
      </c>
      <c r="BW53" s="479">
        <f>SUM(BW54:BW63)</f>
        <v>0</v>
      </c>
      <c r="BX53" s="50" t="str">
        <f t="shared" ref="BX53:BX84" si="149">IF(IFERROR(BW53/BW$4,"")=0,"",IFERROR(BW53/BW$4,""))</f>
        <v/>
      </c>
      <c r="BY53" s="477">
        <v>3211.9</v>
      </c>
      <c r="BZ53" s="50">
        <f t="shared" ref="BZ53:BZ84" si="150">IF(IFERROR(BY53/BY$4,"")=0,"",IFERROR(BY53/BY$4,""))</f>
        <v>0.22805261275728045</v>
      </c>
      <c r="CA53" s="352">
        <f>+Расходы!K3/1000</f>
        <v>0</v>
      </c>
      <c r="CB53" s="51" t="str">
        <f t="shared" ref="CB53:CB84" si="151">IF(IFERROR(CA53/CA$4,"")=0,"",IFERROR(CA53/CA$4,""))</f>
        <v/>
      </c>
      <c r="CC53" s="478">
        <f t="shared" si="110"/>
        <v>-1</v>
      </c>
      <c r="CD53" s="478" t="str">
        <f t="shared" si="111"/>
        <v/>
      </c>
      <c r="CE53" s="479">
        <f>SUM(CE54:CE63)</f>
        <v>0</v>
      </c>
      <c r="CF53" s="50" t="str">
        <f t="shared" ref="CF53:CF84" si="152">IF(IFERROR(CE53/CE$4,"")=0,"",IFERROR(CE53/CE$4,""))</f>
        <v/>
      </c>
      <c r="CG53" s="477">
        <v>3285.75</v>
      </c>
      <c r="CH53" s="50">
        <f t="shared" ref="CH53:CH84" si="153">IF(IFERROR(CG53/CG$4,"")=0,"",IFERROR(CG53/CG$4,""))</f>
        <v>0.22596413452274763</v>
      </c>
      <c r="CI53" s="352">
        <f>+Расходы!L3/1000</f>
        <v>0</v>
      </c>
      <c r="CJ53" s="51" t="str">
        <f t="shared" ref="CJ53:CJ84" si="154">IF(IFERROR(CI53/CI$4,"")=0,"",IFERROR(CI53/CI$4,""))</f>
        <v/>
      </c>
      <c r="CK53" s="478">
        <f t="shared" si="112"/>
        <v>-1</v>
      </c>
      <c r="CL53" s="478" t="str">
        <f t="shared" si="113"/>
        <v/>
      </c>
      <c r="CM53" s="479">
        <f>SUM(CM54:CM63)</f>
        <v>0</v>
      </c>
      <c r="CN53" s="50" t="str">
        <f t="shared" ref="CN53:CN84" si="155">IF(IFERROR(CM53/CM$4,"")=0,"",IFERROR(CM53/CM$4,""))</f>
        <v/>
      </c>
      <c r="CO53" s="477">
        <v>3323.8</v>
      </c>
      <c r="CP53" s="50">
        <f t="shared" ref="CP53:CP84" si="156">IF(IFERROR(CO53/CO$4,"")=0,"",IFERROR(CO53/CO$4,""))</f>
        <v>0.21518727877508326</v>
      </c>
      <c r="CQ53" s="352">
        <f>+Расходы!M3/1000</f>
        <v>0</v>
      </c>
      <c r="CR53" s="51" t="str">
        <f t="shared" ref="CR53:CR84" si="157">IF(IFERROR(CQ53/CQ$4,"")=0,"",IFERROR(CQ53/CQ$4,""))</f>
        <v/>
      </c>
      <c r="CS53" s="478">
        <f t="shared" si="114"/>
        <v>-1</v>
      </c>
      <c r="CT53" s="478" t="str">
        <f t="shared" si="115"/>
        <v/>
      </c>
      <c r="CU53" s="479">
        <f t="shared" si="24"/>
        <v>0</v>
      </c>
      <c r="CV53" s="50" t="str">
        <f t="shared" si="116"/>
        <v/>
      </c>
      <c r="CW53" s="477">
        <f t="shared" si="26"/>
        <v>32429.22</v>
      </c>
      <c r="CX53" s="50">
        <f t="shared" si="117"/>
        <v>0.24454585622467154</v>
      </c>
      <c r="CY53" s="352">
        <f t="shared" si="118"/>
        <v>12166.54019</v>
      </c>
      <c r="CZ53" s="51">
        <f t="shared" si="119"/>
        <v>0.24524844554040057</v>
      </c>
      <c r="DA53" s="478">
        <f t="shared" si="120"/>
        <v>-0.62482785000687646</v>
      </c>
      <c r="DB53" s="478" t="str">
        <f t="shared" si="121"/>
        <v/>
      </c>
    </row>
    <row r="54" spans="2:106" s="103" customFormat="1" ht="13.15" customHeight="1" outlineLevel="2" collapsed="1">
      <c r="B54" s="61" t="str">
        <f>+Расходы!A4</f>
        <v>01 ЗП Кухня</v>
      </c>
      <c r="C54" s="238"/>
      <c r="D54" s="54" t="str">
        <f t="shared" si="122"/>
        <v/>
      </c>
      <c r="E54" s="238"/>
      <c r="F54" s="54" t="str">
        <f t="shared" si="123"/>
        <v/>
      </c>
      <c r="G54" s="353">
        <f>+Расходы!B4/1000</f>
        <v>0</v>
      </c>
      <c r="H54" s="54" t="str">
        <f t="shared" si="124"/>
        <v/>
      </c>
      <c r="I54" s="468" t="str">
        <f t="shared" si="92"/>
        <v/>
      </c>
      <c r="J54" s="468" t="str">
        <f t="shared" si="93"/>
        <v/>
      </c>
      <c r="K54" s="238"/>
      <c r="L54" s="54" t="str">
        <f t="shared" si="125"/>
        <v/>
      </c>
      <c r="M54" s="238"/>
      <c r="N54" s="54" t="str">
        <f t="shared" si="126"/>
        <v/>
      </c>
      <c r="O54" s="353">
        <f>+Расходы!C4/1000</f>
        <v>0</v>
      </c>
      <c r="P54" s="54" t="str">
        <f t="shared" si="127"/>
        <v/>
      </c>
      <c r="Q54" s="468" t="str">
        <f t="shared" si="94"/>
        <v/>
      </c>
      <c r="R54" s="468" t="str">
        <f t="shared" si="95"/>
        <v/>
      </c>
      <c r="S54" s="238"/>
      <c r="T54" s="54" t="str">
        <f t="shared" si="128"/>
        <v/>
      </c>
      <c r="U54" s="238">
        <v>0</v>
      </c>
      <c r="V54" s="54" t="str">
        <f t="shared" si="129"/>
        <v/>
      </c>
      <c r="W54" s="353">
        <f>+Расходы!E4/1000</f>
        <v>1469.11</v>
      </c>
      <c r="X54" s="54">
        <f t="shared" si="130"/>
        <v>0.24774616772626856</v>
      </c>
      <c r="Y54" s="468" t="str">
        <f t="shared" si="96"/>
        <v/>
      </c>
      <c r="Z54" s="468" t="str">
        <f t="shared" si="97"/>
        <v/>
      </c>
      <c r="AA54" s="238"/>
      <c r="AB54" s="54" t="str">
        <f t="shared" si="131"/>
        <v/>
      </c>
      <c r="AC54" s="238">
        <v>0</v>
      </c>
      <c r="AD54" s="54" t="str">
        <f t="shared" si="132"/>
        <v/>
      </c>
      <c r="AE54" s="353">
        <f>+Расходы!E4/1000</f>
        <v>1469.11</v>
      </c>
      <c r="AF54" s="54">
        <f t="shared" si="133"/>
        <v>0.10713108537759237</v>
      </c>
      <c r="AG54" s="468" t="str">
        <f t="shared" si="98"/>
        <v/>
      </c>
      <c r="AH54" s="468" t="str">
        <f t="shared" si="99"/>
        <v/>
      </c>
      <c r="AI54" s="238"/>
      <c r="AJ54" s="54" t="str">
        <f t="shared" si="134"/>
        <v/>
      </c>
      <c r="AK54" s="238">
        <v>0</v>
      </c>
      <c r="AL54" s="54" t="str">
        <f t="shared" si="135"/>
        <v/>
      </c>
      <c r="AM54" s="353">
        <f>+Расходы!F4/1000</f>
        <v>1577.04</v>
      </c>
      <c r="AN54" s="54">
        <f t="shared" si="136"/>
        <v>0.10036792152025859</v>
      </c>
      <c r="AO54" s="468" t="str">
        <f t="shared" si="100"/>
        <v/>
      </c>
      <c r="AP54" s="468" t="str">
        <f t="shared" si="101"/>
        <v/>
      </c>
      <c r="AQ54" s="344"/>
      <c r="AR54" s="54" t="str">
        <f t="shared" si="137"/>
        <v/>
      </c>
      <c r="AS54" s="238">
        <v>0</v>
      </c>
      <c r="AT54" s="54" t="str">
        <f t="shared" si="138"/>
        <v/>
      </c>
      <c r="AU54" s="353">
        <f>+Расходы!G4/1000</f>
        <v>1453.396</v>
      </c>
      <c r="AV54" s="54">
        <f t="shared" si="139"/>
        <v>0.1019687230041553</v>
      </c>
      <c r="AW54" s="468" t="str">
        <f t="shared" si="102"/>
        <v/>
      </c>
      <c r="AX54" s="468" t="str">
        <f t="shared" si="103"/>
        <v/>
      </c>
      <c r="AY54" s="344"/>
      <c r="AZ54" s="54" t="str">
        <f t="shared" si="140"/>
        <v/>
      </c>
      <c r="BA54" s="238">
        <v>0</v>
      </c>
      <c r="BB54" s="54" t="str">
        <f t="shared" si="141"/>
        <v/>
      </c>
      <c r="BC54" s="353">
        <f>+Расходы!H4/1000</f>
        <v>0</v>
      </c>
      <c r="BD54" s="54" t="str">
        <f t="shared" si="142"/>
        <v/>
      </c>
      <c r="BE54" s="468" t="str">
        <f t="shared" si="104"/>
        <v/>
      </c>
      <c r="BF54" s="468" t="str">
        <f t="shared" si="105"/>
        <v/>
      </c>
      <c r="BG54" s="344"/>
      <c r="BH54" s="54" t="str">
        <f t="shared" si="143"/>
        <v/>
      </c>
      <c r="BI54" s="238">
        <v>0</v>
      </c>
      <c r="BJ54" s="54" t="str">
        <f t="shared" si="144"/>
        <v/>
      </c>
      <c r="BK54" s="353">
        <f>+Расходы!I4/1000</f>
        <v>0</v>
      </c>
      <c r="BL54" s="54" t="str">
        <f t="shared" si="145"/>
        <v/>
      </c>
      <c r="BM54" s="468" t="str">
        <f t="shared" si="106"/>
        <v/>
      </c>
      <c r="BN54" s="468" t="str">
        <f t="shared" si="107"/>
        <v/>
      </c>
      <c r="BO54" s="344"/>
      <c r="BP54" s="54" t="str">
        <f t="shared" si="146"/>
        <v/>
      </c>
      <c r="BQ54" s="238">
        <v>0</v>
      </c>
      <c r="BR54" s="54" t="str">
        <f t="shared" si="147"/>
        <v/>
      </c>
      <c r="BS54" s="353">
        <f>+Расходы!J4/1000</f>
        <v>0</v>
      </c>
      <c r="BT54" s="54" t="str">
        <f t="shared" si="148"/>
        <v/>
      </c>
      <c r="BU54" s="468" t="str">
        <f t="shared" si="108"/>
        <v/>
      </c>
      <c r="BV54" s="468" t="str">
        <f t="shared" si="109"/>
        <v/>
      </c>
      <c r="BW54" s="344"/>
      <c r="BX54" s="54" t="str">
        <f t="shared" si="149"/>
        <v/>
      </c>
      <c r="BY54" s="238">
        <v>0</v>
      </c>
      <c r="BZ54" s="54" t="str">
        <f t="shared" si="150"/>
        <v/>
      </c>
      <c r="CA54" s="353">
        <f>+Расходы!K4/1000</f>
        <v>0</v>
      </c>
      <c r="CB54" s="54" t="str">
        <f t="shared" si="151"/>
        <v/>
      </c>
      <c r="CC54" s="468" t="str">
        <f t="shared" si="110"/>
        <v/>
      </c>
      <c r="CD54" s="468" t="str">
        <f t="shared" si="111"/>
        <v/>
      </c>
      <c r="CE54" s="344"/>
      <c r="CF54" s="54" t="str">
        <f t="shared" si="152"/>
        <v/>
      </c>
      <c r="CG54" s="238">
        <v>0</v>
      </c>
      <c r="CH54" s="54" t="str">
        <f t="shared" si="153"/>
        <v/>
      </c>
      <c r="CI54" s="353">
        <f>+Расходы!L4/1000</f>
        <v>0</v>
      </c>
      <c r="CJ54" s="54" t="str">
        <f t="shared" si="154"/>
        <v/>
      </c>
      <c r="CK54" s="468" t="str">
        <f t="shared" si="112"/>
        <v/>
      </c>
      <c r="CL54" s="468" t="str">
        <f t="shared" si="113"/>
        <v/>
      </c>
      <c r="CM54" s="344"/>
      <c r="CN54" s="54" t="str">
        <f t="shared" si="155"/>
        <v/>
      </c>
      <c r="CO54" s="238">
        <v>0</v>
      </c>
      <c r="CP54" s="54" t="str">
        <f t="shared" si="156"/>
        <v/>
      </c>
      <c r="CQ54" s="353">
        <f>+Расходы!M4/1000</f>
        <v>0</v>
      </c>
      <c r="CR54" s="54" t="str">
        <f t="shared" si="157"/>
        <v/>
      </c>
      <c r="CS54" s="468" t="str">
        <f t="shared" si="114"/>
        <v/>
      </c>
      <c r="CT54" s="468" t="str">
        <f t="shared" si="115"/>
        <v/>
      </c>
      <c r="CU54" s="344">
        <f t="shared" si="24"/>
        <v>0</v>
      </c>
      <c r="CV54" s="54" t="str">
        <f t="shared" si="116"/>
        <v/>
      </c>
      <c r="CW54" s="238">
        <f t="shared" si="26"/>
        <v>0</v>
      </c>
      <c r="CX54" s="54">
        <f t="shared" si="117"/>
        <v>0</v>
      </c>
      <c r="CY54" s="353">
        <f t="shared" si="118"/>
        <v>5968.6559999999999</v>
      </c>
      <c r="CZ54" s="54">
        <f t="shared" si="119"/>
        <v>0.12031387585178273</v>
      </c>
      <c r="DA54" s="468" t="str">
        <f t="shared" si="120"/>
        <v/>
      </c>
      <c r="DB54" s="468" t="str">
        <f t="shared" si="121"/>
        <v/>
      </c>
    </row>
    <row r="55" spans="2:106" s="103" customFormat="1" ht="13.15" customHeight="1" outlineLevel="2" collapsed="1">
      <c r="B55" s="61" t="str">
        <f>+Расходы!A5</f>
        <v>02 ЗП Зал</v>
      </c>
      <c r="C55" s="238"/>
      <c r="D55" s="54" t="str">
        <f t="shared" si="122"/>
        <v/>
      </c>
      <c r="E55" s="238"/>
      <c r="F55" s="54" t="str">
        <f t="shared" si="123"/>
        <v/>
      </c>
      <c r="G55" s="353">
        <f>+Расходы!B5/1000</f>
        <v>0</v>
      </c>
      <c r="H55" s="54" t="str">
        <f t="shared" si="124"/>
        <v/>
      </c>
      <c r="I55" s="468" t="str">
        <f t="shared" si="92"/>
        <v/>
      </c>
      <c r="J55" s="468" t="str">
        <f t="shared" si="93"/>
        <v/>
      </c>
      <c r="K55" s="238"/>
      <c r="L55" s="54" t="str">
        <f t="shared" si="125"/>
        <v/>
      </c>
      <c r="M55" s="238"/>
      <c r="N55" s="54" t="str">
        <f t="shared" si="126"/>
        <v/>
      </c>
      <c r="O55" s="353">
        <f>+Расходы!C5/1000</f>
        <v>0</v>
      </c>
      <c r="P55" s="54" t="str">
        <f t="shared" si="127"/>
        <v/>
      </c>
      <c r="Q55" s="468" t="str">
        <f t="shared" si="94"/>
        <v/>
      </c>
      <c r="R55" s="468" t="str">
        <f t="shared" si="95"/>
        <v/>
      </c>
      <c r="S55" s="238"/>
      <c r="T55" s="54" t="str">
        <f t="shared" si="128"/>
        <v/>
      </c>
      <c r="U55" s="238">
        <v>0</v>
      </c>
      <c r="V55" s="54" t="str">
        <f t="shared" si="129"/>
        <v/>
      </c>
      <c r="W55" s="353">
        <f>+Расходы!E5/1000</f>
        <v>1112.2000500000001</v>
      </c>
      <c r="X55" s="54">
        <f t="shared" si="130"/>
        <v>0.18755797736892699</v>
      </c>
      <c r="Y55" s="468" t="str">
        <f t="shared" si="96"/>
        <v/>
      </c>
      <c r="Z55" s="468" t="str">
        <f t="shared" si="97"/>
        <v/>
      </c>
      <c r="AA55" s="238"/>
      <c r="AB55" s="54" t="str">
        <f t="shared" si="131"/>
        <v/>
      </c>
      <c r="AC55" s="238">
        <v>0</v>
      </c>
      <c r="AD55" s="54" t="str">
        <f t="shared" si="132"/>
        <v/>
      </c>
      <c r="AE55" s="353">
        <f>+Расходы!E5/1000</f>
        <v>1112.2000500000001</v>
      </c>
      <c r="AF55" s="54">
        <f t="shared" si="133"/>
        <v>8.1104341072834943E-2</v>
      </c>
      <c r="AG55" s="468" t="str">
        <f t="shared" si="98"/>
        <v/>
      </c>
      <c r="AH55" s="468" t="str">
        <f t="shared" si="99"/>
        <v/>
      </c>
      <c r="AI55" s="238"/>
      <c r="AJ55" s="54" t="str">
        <f t="shared" si="134"/>
        <v/>
      </c>
      <c r="AK55" s="238">
        <v>0</v>
      </c>
      <c r="AL55" s="54" t="str">
        <f t="shared" si="135"/>
        <v/>
      </c>
      <c r="AM55" s="353">
        <f>+Расходы!F5/1000</f>
        <v>1100.5640000000001</v>
      </c>
      <c r="AN55" s="54">
        <f t="shared" si="136"/>
        <v>7.0043449234021893E-2</v>
      </c>
      <c r="AO55" s="468" t="str">
        <f t="shared" si="100"/>
        <v/>
      </c>
      <c r="AP55" s="468" t="str">
        <f t="shared" si="101"/>
        <v/>
      </c>
      <c r="AQ55" s="344"/>
      <c r="AR55" s="54" t="str">
        <f t="shared" si="137"/>
        <v/>
      </c>
      <c r="AS55" s="238">
        <v>0</v>
      </c>
      <c r="AT55" s="54" t="str">
        <f t="shared" si="138"/>
        <v/>
      </c>
      <c r="AU55" s="353">
        <f>+Расходы!G5/1000</f>
        <v>1107.9958799999999</v>
      </c>
      <c r="AV55" s="54">
        <f t="shared" si="139"/>
        <v>7.7735816651115924E-2</v>
      </c>
      <c r="AW55" s="468" t="str">
        <f t="shared" si="102"/>
        <v/>
      </c>
      <c r="AX55" s="468" t="str">
        <f t="shared" si="103"/>
        <v/>
      </c>
      <c r="AY55" s="344"/>
      <c r="AZ55" s="54" t="str">
        <f t="shared" si="140"/>
        <v/>
      </c>
      <c r="BA55" s="238">
        <v>0</v>
      </c>
      <c r="BB55" s="54" t="str">
        <f t="shared" si="141"/>
        <v/>
      </c>
      <c r="BC55" s="353">
        <f>+Расходы!H5/1000</f>
        <v>0</v>
      </c>
      <c r="BD55" s="54" t="str">
        <f t="shared" si="142"/>
        <v/>
      </c>
      <c r="BE55" s="468" t="str">
        <f t="shared" si="104"/>
        <v/>
      </c>
      <c r="BF55" s="468" t="str">
        <f t="shared" si="105"/>
        <v/>
      </c>
      <c r="BG55" s="344"/>
      <c r="BH55" s="54" t="str">
        <f t="shared" si="143"/>
        <v/>
      </c>
      <c r="BI55" s="238">
        <v>0</v>
      </c>
      <c r="BJ55" s="54" t="str">
        <f t="shared" si="144"/>
        <v/>
      </c>
      <c r="BK55" s="353">
        <f>+Расходы!I5/1000</f>
        <v>0</v>
      </c>
      <c r="BL55" s="54" t="str">
        <f t="shared" si="145"/>
        <v/>
      </c>
      <c r="BM55" s="468" t="str">
        <f t="shared" si="106"/>
        <v/>
      </c>
      <c r="BN55" s="468" t="str">
        <f t="shared" si="107"/>
        <v/>
      </c>
      <c r="BO55" s="344"/>
      <c r="BP55" s="54" t="str">
        <f t="shared" si="146"/>
        <v/>
      </c>
      <c r="BQ55" s="238">
        <v>0</v>
      </c>
      <c r="BR55" s="54" t="str">
        <f t="shared" si="147"/>
        <v/>
      </c>
      <c r="BS55" s="353">
        <f>+Расходы!J5/1000</f>
        <v>0</v>
      </c>
      <c r="BT55" s="54" t="str">
        <f t="shared" si="148"/>
        <v/>
      </c>
      <c r="BU55" s="468" t="str">
        <f t="shared" si="108"/>
        <v/>
      </c>
      <c r="BV55" s="468" t="str">
        <f t="shared" si="109"/>
        <v/>
      </c>
      <c r="BW55" s="344"/>
      <c r="BX55" s="54" t="str">
        <f t="shared" si="149"/>
        <v/>
      </c>
      <c r="BY55" s="238">
        <v>0</v>
      </c>
      <c r="BZ55" s="54" t="str">
        <f t="shared" si="150"/>
        <v/>
      </c>
      <c r="CA55" s="353">
        <f>+Расходы!K5/1000</f>
        <v>0</v>
      </c>
      <c r="CB55" s="54" t="str">
        <f t="shared" si="151"/>
        <v/>
      </c>
      <c r="CC55" s="468" t="str">
        <f t="shared" si="110"/>
        <v/>
      </c>
      <c r="CD55" s="468" t="str">
        <f t="shared" si="111"/>
        <v/>
      </c>
      <c r="CE55" s="344"/>
      <c r="CF55" s="54" t="str">
        <f t="shared" si="152"/>
        <v/>
      </c>
      <c r="CG55" s="238">
        <v>0</v>
      </c>
      <c r="CH55" s="54" t="str">
        <f t="shared" si="153"/>
        <v/>
      </c>
      <c r="CI55" s="353">
        <f>+Расходы!L5/1000</f>
        <v>0</v>
      </c>
      <c r="CJ55" s="54" t="str">
        <f t="shared" si="154"/>
        <v/>
      </c>
      <c r="CK55" s="468" t="str">
        <f t="shared" si="112"/>
        <v/>
      </c>
      <c r="CL55" s="468" t="str">
        <f t="shared" si="113"/>
        <v/>
      </c>
      <c r="CM55" s="344"/>
      <c r="CN55" s="54" t="str">
        <f t="shared" si="155"/>
        <v/>
      </c>
      <c r="CO55" s="238">
        <v>0</v>
      </c>
      <c r="CP55" s="54" t="str">
        <f t="shared" si="156"/>
        <v/>
      </c>
      <c r="CQ55" s="353">
        <f>+Расходы!M5/1000</f>
        <v>0</v>
      </c>
      <c r="CR55" s="54" t="str">
        <f t="shared" si="157"/>
        <v/>
      </c>
      <c r="CS55" s="468" t="str">
        <f t="shared" si="114"/>
        <v/>
      </c>
      <c r="CT55" s="468" t="str">
        <f t="shared" si="115"/>
        <v/>
      </c>
      <c r="CU55" s="344">
        <f t="shared" si="24"/>
        <v>0</v>
      </c>
      <c r="CV55" s="54" t="str">
        <f t="shared" si="116"/>
        <v/>
      </c>
      <c r="CW55" s="238">
        <f t="shared" si="26"/>
        <v>0</v>
      </c>
      <c r="CX55" s="54">
        <f t="shared" si="117"/>
        <v>0</v>
      </c>
      <c r="CY55" s="353">
        <f t="shared" si="118"/>
        <v>4432.9599799999996</v>
      </c>
      <c r="CZ55" s="54">
        <f t="shared" si="119"/>
        <v>8.9357905144749714E-2</v>
      </c>
      <c r="DA55" s="468" t="str">
        <f t="shared" si="120"/>
        <v/>
      </c>
      <c r="DB55" s="468" t="str">
        <f t="shared" si="121"/>
        <v/>
      </c>
    </row>
    <row r="56" spans="2:106" s="103" customFormat="1" ht="13.15" customHeight="1" outlineLevel="2" collapsed="1">
      <c r="B56" s="61" t="str">
        <f>+Расходы!A6</f>
        <v>03 ЗП Клининг</v>
      </c>
      <c r="C56" s="238"/>
      <c r="D56" s="54" t="str">
        <f t="shared" si="122"/>
        <v/>
      </c>
      <c r="E56" s="238"/>
      <c r="F56" s="54" t="str">
        <f t="shared" si="123"/>
        <v/>
      </c>
      <c r="G56" s="353">
        <f>+Расходы!B6/1000</f>
        <v>0</v>
      </c>
      <c r="H56" s="54" t="str">
        <f t="shared" si="124"/>
        <v/>
      </c>
      <c r="I56" s="468" t="str">
        <f t="shared" si="92"/>
        <v/>
      </c>
      <c r="J56" s="468" t="str">
        <f t="shared" si="93"/>
        <v/>
      </c>
      <c r="K56" s="238"/>
      <c r="L56" s="54" t="str">
        <f t="shared" si="125"/>
        <v/>
      </c>
      <c r="M56" s="238"/>
      <c r="N56" s="54" t="str">
        <f t="shared" si="126"/>
        <v/>
      </c>
      <c r="O56" s="353">
        <f>+Расходы!C6/1000</f>
        <v>0</v>
      </c>
      <c r="P56" s="54" t="str">
        <f t="shared" si="127"/>
        <v/>
      </c>
      <c r="Q56" s="468" t="str">
        <f t="shared" si="94"/>
        <v/>
      </c>
      <c r="R56" s="468" t="str">
        <f t="shared" si="95"/>
        <v/>
      </c>
      <c r="S56" s="238"/>
      <c r="T56" s="54" t="str">
        <f t="shared" si="128"/>
        <v/>
      </c>
      <c r="U56" s="238">
        <v>0</v>
      </c>
      <c r="V56" s="54" t="str">
        <f t="shared" si="129"/>
        <v/>
      </c>
      <c r="W56" s="353">
        <f>+Расходы!E6/1000</f>
        <v>447.33</v>
      </c>
      <c r="X56" s="54">
        <f t="shared" si="130"/>
        <v>7.5436347999123091E-2</v>
      </c>
      <c r="Y56" s="468" t="str">
        <f t="shared" si="96"/>
        <v/>
      </c>
      <c r="Z56" s="468" t="str">
        <f t="shared" si="97"/>
        <v/>
      </c>
      <c r="AA56" s="238"/>
      <c r="AB56" s="54" t="str">
        <f t="shared" si="131"/>
        <v/>
      </c>
      <c r="AC56" s="238">
        <v>0</v>
      </c>
      <c r="AD56" s="54" t="str">
        <f t="shared" si="132"/>
        <v/>
      </c>
      <c r="AE56" s="353">
        <f>+Расходы!E6/1000</f>
        <v>447.33</v>
      </c>
      <c r="AF56" s="54">
        <f t="shared" si="133"/>
        <v>3.2620394947933375E-2</v>
      </c>
      <c r="AG56" s="468" t="str">
        <f t="shared" si="98"/>
        <v/>
      </c>
      <c r="AH56" s="468" t="str">
        <f t="shared" si="99"/>
        <v/>
      </c>
      <c r="AI56" s="238"/>
      <c r="AJ56" s="54" t="str">
        <f t="shared" si="134"/>
        <v/>
      </c>
      <c r="AK56" s="238">
        <v>0</v>
      </c>
      <c r="AL56" s="54" t="str">
        <f t="shared" si="135"/>
        <v/>
      </c>
      <c r="AM56" s="353">
        <f>+Расходы!F6/1000</f>
        <v>466.83</v>
      </c>
      <c r="AN56" s="54">
        <f t="shared" si="136"/>
        <v>2.9710569676927864E-2</v>
      </c>
      <c r="AO56" s="468" t="str">
        <f t="shared" si="100"/>
        <v/>
      </c>
      <c r="AP56" s="468" t="str">
        <f t="shared" si="101"/>
        <v/>
      </c>
      <c r="AQ56" s="344"/>
      <c r="AR56" s="54" t="str">
        <f t="shared" si="137"/>
        <v/>
      </c>
      <c r="AS56" s="238">
        <v>0</v>
      </c>
      <c r="AT56" s="54" t="str">
        <f t="shared" si="138"/>
        <v/>
      </c>
      <c r="AU56" s="353">
        <f>+Расходы!G6/1000</f>
        <v>469.69</v>
      </c>
      <c r="AV56" s="54">
        <f t="shared" si="139"/>
        <v>3.2952952607425437E-2</v>
      </c>
      <c r="AW56" s="468" t="str">
        <f t="shared" si="102"/>
        <v/>
      </c>
      <c r="AX56" s="468" t="str">
        <f t="shared" si="103"/>
        <v/>
      </c>
      <c r="AY56" s="344"/>
      <c r="AZ56" s="54" t="str">
        <f t="shared" si="140"/>
        <v/>
      </c>
      <c r="BA56" s="238">
        <v>0</v>
      </c>
      <c r="BB56" s="54" t="str">
        <f t="shared" si="141"/>
        <v/>
      </c>
      <c r="BC56" s="353">
        <f>+Расходы!H6/1000</f>
        <v>0</v>
      </c>
      <c r="BD56" s="54" t="str">
        <f t="shared" si="142"/>
        <v/>
      </c>
      <c r="BE56" s="468" t="str">
        <f t="shared" si="104"/>
        <v/>
      </c>
      <c r="BF56" s="468" t="str">
        <f t="shared" si="105"/>
        <v/>
      </c>
      <c r="BG56" s="344"/>
      <c r="BH56" s="54" t="str">
        <f t="shared" si="143"/>
        <v/>
      </c>
      <c r="BI56" s="238">
        <v>0</v>
      </c>
      <c r="BJ56" s="54" t="str">
        <f t="shared" si="144"/>
        <v/>
      </c>
      <c r="BK56" s="353">
        <f>+Расходы!I6/1000</f>
        <v>0</v>
      </c>
      <c r="BL56" s="54" t="str">
        <f t="shared" si="145"/>
        <v/>
      </c>
      <c r="BM56" s="468" t="str">
        <f t="shared" si="106"/>
        <v/>
      </c>
      <c r="BN56" s="468" t="str">
        <f t="shared" si="107"/>
        <v/>
      </c>
      <c r="BO56" s="344"/>
      <c r="BP56" s="54" t="str">
        <f t="shared" si="146"/>
        <v/>
      </c>
      <c r="BQ56" s="238">
        <v>0</v>
      </c>
      <c r="BR56" s="54" t="str">
        <f t="shared" si="147"/>
        <v/>
      </c>
      <c r="BS56" s="353">
        <f>+Расходы!J6/1000</f>
        <v>0</v>
      </c>
      <c r="BT56" s="54" t="str">
        <f t="shared" si="148"/>
        <v/>
      </c>
      <c r="BU56" s="468" t="str">
        <f t="shared" si="108"/>
        <v/>
      </c>
      <c r="BV56" s="468" t="str">
        <f t="shared" si="109"/>
        <v/>
      </c>
      <c r="BW56" s="344"/>
      <c r="BX56" s="54" t="str">
        <f t="shared" si="149"/>
        <v/>
      </c>
      <c r="BY56" s="238">
        <v>0</v>
      </c>
      <c r="BZ56" s="54" t="str">
        <f t="shared" si="150"/>
        <v/>
      </c>
      <c r="CA56" s="353">
        <f>+Расходы!K6/1000</f>
        <v>0</v>
      </c>
      <c r="CB56" s="54" t="str">
        <f t="shared" si="151"/>
        <v/>
      </c>
      <c r="CC56" s="468" t="str">
        <f t="shared" si="110"/>
        <v/>
      </c>
      <c r="CD56" s="468" t="str">
        <f t="shared" si="111"/>
        <v/>
      </c>
      <c r="CE56" s="344"/>
      <c r="CF56" s="54" t="str">
        <f t="shared" si="152"/>
        <v/>
      </c>
      <c r="CG56" s="238">
        <v>0</v>
      </c>
      <c r="CH56" s="54" t="str">
        <f t="shared" si="153"/>
        <v/>
      </c>
      <c r="CI56" s="353">
        <f>+Расходы!L6/1000</f>
        <v>0</v>
      </c>
      <c r="CJ56" s="54" t="str">
        <f t="shared" si="154"/>
        <v/>
      </c>
      <c r="CK56" s="468" t="str">
        <f t="shared" si="112"/>
        <v/>
      </c>
      <c r="CL56" s="468" t="str">
        <f t="shared" si="113"/>
        <v/>
      </c>
      <c r="CM56" s="344"/>
      <c r="CN56" s="54" t="str">
        <f t="shared" si="155"/>
        <v/>
      </c>
      <c r="CO56" s="238">
        <v>0</v>
      </c>
      <c r="CP56" s="54" t="str">
        <f t="shared" si="156"/>
        <v/>
      </c>
      <c r="CQ56" s="353">
        <f>+Расходы!M6/1000</f>
        <v>0</v>
      </c>
      <c r="CR56" s="54" t="str">
        <f t="shared" si="157"/>
        <v/>
      </c>
      <c r="CS56" s="468" t="str">
        <f t="shared" si="114"/>
        <v/>
      </c>
      <c r="CT56" s="468" t="str">
        <f t="shared" si="115"/>
        <v/>
      </c>
      <c r="CU56" s="344">
        <f t="shared" si="24"/>
        <v>0</v>
      </c>
      <c r="CV56" s="54" t="str">
        <f t="shared" si="116"/>
        <v/>
      </c>
      <c r="CW56" s="238">
        <f t="shared" si="26"/>
        <v>0</v>
      </c>
      <c r="CX56" s="54">
        <f t="shared" si="117"/>
        <v>0</v>
      </c>
      <c r="CY56" s="353">
        <f t="shared" si="118"/>
        <v>1831.18</v>
      </c>
      <c r="CZ56" s="54">
        <f t="shared" si="119"/>
        <v>3.6912223318326186E-2</v>
      </c>
      <c r="DA56" s="468" t="str">
        <f t="shared" si="120"/>
        <v/>
      </c>
      <c r="DB56" s="468" t="str">
        <f t="shared" si="121"/>
        <v/>
      </c>
    </row>
    <row r="57" spans="2:106" s="103" customFormat="1" ht="13.15" customHeight="1" outlineLevel="2" collapsed="1">
      <c r="B57" s="61" t="str">
        <f>+Расходы!A7</f>
        <v>04 ЗП Прочие</v>
      </c>
      <c r="C57" s="238"/>
      <c r="D57" s="54" t="str">
        <f t="shared" si="122"/>
        <v/>
      </c>
      <c r="E57" s="238"/>
      <c r="F57" s="54" t="str">
        <f t="shared" si="123"/>
        <v/>
      </c>
      <c r="G57" s="353">
        <f>+Расходы!B7/1000</f>
        <v>0</v>
      </c>
      <c r="H57" s="54" t="str">
        <f t="shared" si="124"/>
        <v/>
      </c>
      <c r="I57" s="468" t="str">
        <f t="shared" si="92"/>
        <v/>
      </c>
      <c r="J57" s="468" t="str">
        <f t="shared" si="93"/>
        <v/>
      </c>
      <c r="K57" s="238"/>
      <c r="L57" s="54" t="str">
        <f t="shared" si="125"/>
        <v/>
      </c>
      <c r="M57" s="238"/>
      <c r="N57" s="54" t="str">
        <f t="shared" si="126"/>
        <v/>
      </c>
      <c r="O57" s="353">
        <f>+Расходы!C7/1000</f>
        <v>0</v>
      </c>
      <c r="P57" s="54" t="str">
        <f t="shared" si="127"/>
        <v/>
      </c>
      <c r="Q57" s="468" t="str">
        <f t="shared" si="94"/>
        <v/>
      </c>
      <c r="R57" s="468" t="str">
        <f t="shared" si="95"/>
        <v/>
      </c>
      <c r="S57" s="238"/>
      <c r="T57" s="54" t="str">
        <f t="shared" si="128"/>
        <v/>
      </c>
      <c r="U57" s="238">
        <v>0</v>
      </c>
      <c r="V57" s="54" t="str">
        <f t="shared" si="129"/>
        <v/>
      </c>
      <c r="W57" s="353">
        <f>+Расходы!E7/1000</f>
        <v>369.2</v>
      </c>
      <c r="X57" s="54">
        <f t="shared" si="130"/>
        <v>6.2260746386954252E-2</v>
      </c>
      <c r="Y57" s="468" t="str">
        <f t="shared" si="96"/>
        <v/>
      </c>
      <c r="Z57" s="468" t="str">
        <f t="shared" si="97"/>
        <v/>
      </c>
      <c r="AA57" s="238"/>
      <c r="AB57" s="54" t="str">
        <f t="shared" si="131"/>
        <v/>
      </c>
      <c r="AC57" s="238">
        <v>0</v>
      </c>
      <c r="AD57" s="54" t="str">
        <f t="shared" si="132"/>
        <v/>
      </c>
      <c r="AE57" s="353">
        <f>+Расходы!E7/1000</f>
        <v>369.2</v>
      </c>
      <c r="AF57" s="54">
        <f t="shared" si="133"/>
        <v>2.6922964734708163E-2</v>
      </c>
      <c r="AG57" s="468" t="str">
        <f t="shared" si="98"/>
        <v/>
      </c>
      <c r="AH57" s="468" t="str">
        <f t="shared" si="99"/>
        <v/>
      </c>
      <c r="AI57" s="238"/>
      <c r="AJ57" s="54" t="str">
        <f t="shared" si="134"/>
        <v/>
      </c>
      <c r="AK57" s="238">
        <v>0</v>
      </c>
      <c r="AL57" s="54" t="str">
        <f t="shared" si="135"/>
        <v/>
      </c>
      <c r="AM57" s="353">
        <f>+Расходы!F7/1000</f>
        <v>563.66150000000005</v>
      </c>
      <c r="AN57" s="54">
        <f t="shared" si="136"/>
        <v>3.5873239230451506E-2</v>
      </c>
      <c r="AO57" s="468" t="str">
        <f t="shared" si="100"/>
        <v/>
      </c>
      <c r="AP57" s="468" t="str">
        <f t="shared" si="101"/>
        <v/>
      </c>
      <c r="AQ57" s="344"/>
      <c r="AR57" s="54" t="str">
        <f t="shared" si="137"/>
        <v/>
      </c>
      <c r="AS57" s="238">
        <v>0</v>
      </c>
      <c r="AT57" s="54" t="str">
        <f t="shared" si="138"/>
        <v/>
      </c>
      <c r="AU57" s="353">
        <f>+Расходы!G7/1000</f>
        <v>520.91300000000001</v>
      </c>
      <c r="AV57" s="54">
        <f t="shared" si="139"/>
        <v>3.6546703999641911E-2</v>
      </c>
      <c r="AW57" s="468" t="str">
        <f t="shared" si="102"/>
        <v/>
      </c>
      <c r="AX57" s="468" t="str">
        <f t="shared" si="103"/>
        <v/>
      </c>
      <c r="AY57" s="344"/>
      <c r="AZ57" s="54" t="str">
        <f t="shared" si="140"/>
        <v/>
      </c>
      <c r="BA57" s="238">
        <v>0</v>
      </c>
      <c r="BB57" s="54" t="str">
        <f t="shared" si="141"/>
        <v/>
      </c>
      <c r="BC57" s="353">
        <f>+Расходы!H7/1000</f>
        <v>0</v>
      </c>
      <c r="BD57" s="54" t="str">
        <f t="shared" si="142"/>
        <v/>
      </c>
      <c r="BE57" s="468" t="str">
        <f t="shared" si="104"/>
        <v/>
      </c>
      <c r="BF57" s="468" t="str">
        <f t="shared" si="105"/>
        <v/>
      </c>
      <c r="BG57" s="344"/>
      <c r="BH57" s="54" t="str">
        <f t="shared" si="143"/>
        <v/>
      </c>
      <c r="BI57" s="238">
        <v>0</v>
      </c>
      <c r="BJ57" s="54" t="str">
        <f t="shared" si="144"/>
        <v/>
      </c>
      <c r="BK57" s="353">
        <f>+Расходы!I7/1000</f>
        <v>0</v>
      </c>
      <c r="BL57" s="54" t="str">
        <f t="shared" si="145"/>
        <v/>
      </c>
      <c r="BM57" s="468" t="str">
        <f t="shared" si="106"/>
        <v/>
      </c>
      <c r="BN57" s="468" t="str">
        <f t="shared" si="107"/>
        <v/>
      </c>
      <c r="BO57" s="344"/>
      <c r="BP57" s="54" t="str">
        <f t="shared" si="146"/>
        <v/>
      </c>
      <c r="BQ57" s="238">
        <v>0</v>
      </c>
      <c r="BR57" s="54" t="str">
        <f t="shared" si="147"/>
        <v/>
      </c>
      <c r="BS57" s="353">
        <f>+Расходы!J7/1000</f>
        <v>0</v>
      </c>
      <c r="BT57" s="54" t="str">
        <f t="shared" si="148"/>
        <v/>
      </c>
      <c r="BU57" s="468" t="str">
        <f t="shared" si="108"/>
        <v/>
      </c>
      <c r="BV57" s="468" t="str">
        <f t="shared" si="109"/>
        <v/>
      </c>
      <c r="BW57" s="344"/>
      <c r="BX57" s="54" t="str">
        <f t="shared" si="149"/>
        <v/>
      </c>
      <c r="BY57" s="238">
        <v>0</v>
      </c>
      <c r="BZ57" s="54" t="str">
        <f t="shared" si="150"/>
        <v/>
      </c>
      <c r="CA57" s="353">
        <f>+Расходы!K7/1000</f>
        <v>0</v>
      </c>
      <c r="CB57" s="54" t="str">
        <f t="shared" si="151"/>
        <v/>
      </c>
      <c r="CC57" s="468" t="str">
        <f t="shared" si="110"/>
        <v/>
      </c>
      <c r="CD57" s="468" t="str">
        <f t="shared" si="111"/>
        <v/>
      </c>
      <c r="CE57" s="344"/>
      <c r="CF57" s="54" t="str">
        <f t="shared" si="152"/>
        <v/>
      </c>
      <c r="CG57" s="238">
        <v>0</v>
      </c>
      <c r="CH57" s="54" t="str">
        <f t="shared" si="153"/>
        <v/>
      </c>
      <c r="CI57" s="353">
        <f>+Расходы!L7/1000</f>
        <v>0</v>
      </c>
      <c r="CJ57" s="54" t="str">
        <f t="shared" si="154"/>
        <v/>
      </c>
      <c r="CK57" s="468" t="str">
        <f t="shared" si="112"/>
        <v/>
      </c>
      <c r="CL57" s="468" t="str">
        <f t="shared" si="113"/>
        <v/>
      </c>
      <c r="CM57" s="344"/>
      <c r="CN57" s="54" t="str">
        <f t="shared" si="155"/>
        <v/>
      </c>
      <c r="CO57" s="238">
        <v>0</v>
      </c>
      <c r="CP57" s="54" t="str">
        <f t="shared" si="156"/>
        <v/>
      </c>
      <c r="CQ57" s="353">
        <f>+Расходы!M7/1000</f>
        <v>0</v>
      </c>
      <c r="CR57" s="54" t="str">
        <f t="shared" si="157"/>
        <v/>
      </c>
      <c r="CS57" s="468" t="str">
        <f t="shared" si="114"/>
        <v/>
      </c>
      <c r="CT57" s="468" t="str">
        <f t="shared" si="115"/>
        <v/>
      </c>
      <c r="CU57" s="344">
        <f t="shared" si="24"/>
        <v>0</v>
      </c>
      <c r="CV57" s="54" t="str">
        <f t="shared" si="116"/>
        <v/>
      </c>
      <c r="CW57" s="238">
        <f t="shared" si="26"/>
        <v>0</v>
      </c>
      <c r="CX57" s="54">
        <f t="shared" si="117"/>
        <v>0</v>
      </c>
      <c r="CY57" s="353">
        <f t="shared" si="118"/>
        <v>1822.9745</v>
      </c>
      <c r="CZ57" s="54">
        <f t="shared" si="119"/>
        <v>3.674682000000766E-2</v>
      </c>
      <c r="DA57" s="468" t="str">
        <f t="shared" si="120"/>
        <v/>
      </c>
      <c r="DB57" s="468" t="str">
        <f t="shared" si="121"/>
        <v/>
      </c>
    </row>
    <row r="58" spans="2:106" s="103" customFormat="1" ht="13.15" customHeight="1" outlineLevel="2" collapsed="1">
      <c r="B58" s="61" t="str">
        <f>+Расходы!A8</f>
        <v>Больничный</v>
      </c>
      <c r="C58" s="238"/>
      <c r="D58" s="54" t="str">
        <f t="shared" si="122"/>
        <v/>
      </c>
      <c r="E58" s="238"/>
      <c r="F58" s="54" t="str">
        <f t="shared" si="123"/>
        <v/>
      </c>
      <c r="G58" s="353">
        <f>+Расходы!B8/1000</f>
        <v>0</v>
      </c>
      <c r="H58" s="54" t="str">
        <f t="shared" si="124"/>
        <v/>
      </c>
      <c r="I58" s="468" t="str">
        <f t="shared" si="92"/>
        <v/>
      </c>
      <c r="J58" s="468" t="str">
        <f t="shared" si="93"/>
        <v/>
      </c>
      <c r="K58" s="238"/>
      <c r="L58" s="54" t="str">
        <f t="shared" si="125"/>
        <v/>
      </c>
      <c r="M58" s="238"/>
      <c r="N58" s="54" t="str">
        <f t="shared" si="126"/>
        <v/>
      </c>
      <c r="O58" s="353">
        <f>+Расходы!C8/1000</f>
        <v>0</v>
      </c>
      <c r="P58" s="54" t="str">
        <f t="shared" si="127"/>
        <v/>
      </c>
      <c r="Q58" s="468" t="str">
        <f t="shared" si="94"/>
        <v/>
      </c>
      <c r="R58" s="468" t="str">
        <f t="shared" si="95"/>
        <v/>
      </c>
      <c r="S58" s="238"/>
      <c r="T58" s="54" t="str">
        <f t="shared" si="128"/>
        <v/>
      </c>
      <c r="U58" s="238">
        <v>0</v>
      </c>
      <c r="V58" s="54" t="str">
        <f t="shared" si="129"/>
        <v/>
      </c>
      <c r="W58" s="353">
        <f>+Расходы!D8/1000</f>
        <v>0</v>
      </c>
      <c r="X58" s="54" t="str">
        <f t="shared" si="130"/>
        <v/>
      </c>
      <c r="Y58" s="468" t="str">
        <f t="shared" si="96"/>
        <v/>
      </c>
      <c r="Z58" s="468" t="str">
        <f t="shared" si="97"/>
        <v/>
      </c>
      <c r="AA58" s="238"/>
      <c r="AB58" s="54" t="str">
        <f t="shared" si="131"/>
        <v/>
      </c>
      <c r="AC58" s="238">
        <v>0</v>
      </c>
      <c r="AD58" s="54" t="str">
        <f t="shared" si="132"/>
        <v/>
      </c>
      <c r="AE58" s="353">
        <f>+Расходы!E8/1000</f>
        <v>0</v>
      </c>
      <c r="AF58" s="54" t="str">
        <f t="shared" si="133"/>
        <v/>
      </c>
      <c r="AG58" s="468" t="str">
        <f t="shared" si="98"/>
        <v/>
      </c>
      <c r="AH58" s="468" t="str">
        <f t="shared" si="99"/>
        <v/>
      </c>
      <c r="AI58" s="238"/>
      <c r="AJ58" s="54" t="str">
        <f t="shared" si="134"/>
        <v/>
      </c>
      <c r="AK58" s="238">
        <v>0</v>
      </c>
      <c r="AL58" s="54" t="str">
        <f t="shared" si="135"/>
        <v/>
      </c>
      <c r="AM58" s="353">
        <f>+Расходы!F8/1000</f>
        <v>0</v>
      </c>
      <c r="AN58" s="54" t="str">
        <f t="shared" si="136"/>
        <v/>
      </c>
      <c r="AO58" s="468" t="str">
        <f t="shared" si="100"/>
        <v/>
      </c>
      <c r="AP58" s="468" t="str">
        <f t="shared" si="101"/>
        <v/>
      </c>
      <c r="AQ58" s="344"/>
      <c r="AR58" s="54" t="str">
        <f t="shared" si="137"/>
        <v/>
      </c>
      <c r="AS58" s="238">
        <v>0</v>
      </c>
      <c r="AT58" s="54" t="str">
        <f t="shared" si="138"/>
        <v/>
      </c>
      <c r="AU58" s="353">
        <f>+Расходы!G8/1000</f>
        <v>0</v>
      </c>
      <c r="AV58" s="54" t="str">
        <f t="shared" si="139"/>
        <v/>
      </c>
      <c r="AW58" s="468" t="str">
        <f t="shared" si="102"/>
        <v/>
      </c>
      <c r="AX58" s="468" t="str">
        <f t="shared" si="103"/>
        <v/>
      </c>
      <c r="AY58" s="344"/>
      <c r="AZ58" s="54" t="str">
        <f t="shared" si="140"/>
        <v/>
      </c>
      <c r="BA58" s="238">
        <v>0</v>
      </c>
      <c r="BB58" s="54" t="str">
        <f t="shared" si="141"/>
        <v/>
      </c>
      <c r="BC58" s="353">
        <f>+Расходы!H8/1000</f>
        <v>0</v>
      </c>
      <c r="BD58" s="54" t="str">
        <f t="shared" si="142"/>
        <v/>
      </c>
      <c r="BE58" s="468" t="str">
        <f t="shared" si="104"/>
        <v/>
      </c>
      <c r="BF58" s="468" t="str">
        <f t="shared" si="105"/>
        <v/>
      </c>
      <c r="BG58" s="344"/>
      <c r="BH58" s="54" t="str">
        <f t="shared" si="143"/>
        <v/>
      </c>
      <c r="BI58" s="238">
        <v>0</v>
      </c>
      <c r="BJ58" s="54" t="str">
        <f t="shared" si="144"/>
        <v/>
      </c>
      <c r="BK58" s="353">
        <f>+Расходы!I8/1000</f>
        <v>0</v>
      </c>
      <c r="BL58" s="54" t="str">
        <f t="shared" si="145"/>
        <v/>
      </c>
      <c r="BM58" s="468" t="str">
        <f t="shared" si="106"/>
        <v/>
      </c>
      <c r="BN58" s="468" t="str">
        <f t="shared" si="107"/>
        <v/>
      </c>
      <c r="BO58" s="344"/>
      <c r="BP58" s="54" t="str">
        <f t="shared" si="146"/>
        <v/>
      </c>
      <c r="BQ58" s="238">
        <v>0</v>
      </c>
      <c r="BR58" s="54" t="str">
        <f t="shared" si="147"/>
        <v/>
      </c>
      <c r="BS58" s="353">
        <f>+Расходы!J8/1000</f>
        <v>0</v>
      </c>
      <c r="BT58" s="54" t="str">
        <f t="shared" si="148"/>
        <v/>
      </c>
      <c r="BU58" s="468" t="str">
        <f t="shared" si="108"/>
        <v/>
      </c>
      <c r="BV58" s="468" t="str">
        <f t="shared" si="109"/>
        <v/>
      </c>
      <c r="BW58" s="344"/>
      <c r="BX58" s="54" t="str">
        <f t="shared" si="149"/>
        <v/>
      </c>
      <c r="BY58" s="238">
        <v>0</v>
      </c>
      <c r="BZ58" s="54" t="str">
        <f t="shared" si="150"/>
        <v/>
      </c>
      <c r="CA58" s="353">
        <f>+Расходы!K8/1000</f>
        <v>0</v>
      </c>
      <c r="CB58" s="54" t="str">
        <f t="shared" si="151"/>
        <v/>
      </c>
      <c r="CC58" s="468" t="str">
        <f t="shared" si="110"/>
        <v/>
      </c>
      <c r="CD58" s="468" t="str">
        <f t="shared" si="111"/>
        <v/>
      </c>
      <c r="CE58" s="344"/>
      <c r="CF58" s="54" t="str">
        <f t="shared" si="152"/>
        <v/>
      </c>
      <c r="CG58" s="238">
        <v>0</v>
      </c>
      <c r="CH58" s="54" t="str">
        <f t="shared" si="153"/>
        <v/>
      </c>
      <c r="CI58" s="353">
        <f>+Расходы!L8/1000</f>
        <v>0</v>
      </c>
      <c r="CJ58" s="54" t="str">
        <f t="shared" si="154"/>
        <v/>
      </c>
      <c r="CK58" s="468" t="str">
        <f t="shared" si="112"/>
        <v/>
      </c>
      <c r="CL58" s="468" t="str">
        <f t="shared" si="113"/>
        <v/>
      </c>
      <c r="CM58" s="344"/>
      <c r="CN58" s="54" t="str">
        <f t="shared" si="155"/>
        <v/>
      </c>
      <c r="CO58" s="238">
        <v>0</v>
      </c>
      <c r="CP58" s="54" t="str">
        <f t="shared" si="156"/>
        <v/>
      </c>
      <c r="CQ58" s="353">
        <f>+Расходы!M8/1000</f>
        <v>0</v>
      </c>
      <c r="CR58" s="54" t="str">
        <f t="shared" si="157"/>
        <v/>
      </c>
      <c r="CS58" s="468" t="str">
        <f t="shared" si="114"/>
        <v/>
      </c>
      <c r="CT58" s="468" t="str">
        <f t="shared" si="115"/>
        <v/>
      </c>
      <c r="CU58" s="344">
        <f t="shared" si="24"/>
        <v>0</v>
      </c>
      <c r="CV58" s="54" t="str">
        <f t="shared" si="116"/>
        <v/>
      </c>
      <c r="CW58" s="238">
        <f t="shared" si="26"/>
        <v>0</v>
      </c>
      <c r="CX58" s="54">
        <f t="shared" si="117"/>
        <v>0</v>
      </c>
      <c r="CY58" s="353">
        <f t="shared" si="118"/>
        <v>0</v>
      </c>
      <c r="CZ58" s="54">
        <f t="shared" si="119"/>
        <v>0</v>
      </c>
      <c r="DA58" s="468" t="str">
        <f t="shared" si="120"/>
        <v/>
      </c>
      <c r="DB58" s="468" t="str">
        <f t="shared" si="121"/>
        <v/>
      </c>
    </row>
    <row r="59" spans="2:106" s="103" customFormat="1" ht="13.15" customHeight="1" outlineLevel="2" collapsed="1">
      <c r="B59" s="61" t="str">
        <f>+Расходы!A9</f>
        <v>Доплаты индивидуальные</v>
      </c>
      <c r="C59" s="238"/>
      <c r="D59" s="54" t="str">
        <f t="shared" si="122"/>
        <v/>
      </c>
      <c r="E59" s="238"/>
      <c r="F59" s="54" t="str">
        <f t="shared" si="123"/>
        <v/>
      </c>
      <c r="G59" s="353">
        <f>+Расходы!B9/1000</f>
        <v>0</v>
      </c>
      <c r="H59" s="54" t="str">
        <f t="shared" si="124"/>
        <v/>
      </c>
      <c r="I59" s="468" t="str">
        <f t="shared" si="92"/>
        <v/>
      </c>
      <c r="J59" s="468" t="str">
        <f t="shared" si="93"/>
        <v/>
      </c>
      <c r="K59" s="238"/>
      <c r="L59" s="54" t="str">
        <f t="shared" si="125"/>
        <v/>
      </c>
      <c r="M59" s="238"/>
      <c r="N59" s="54" t="str">
        <f t="shared" si="126"/>
        <v/>
      </c>
      <c r="O59" s="353">
        <f>+Расходы!C9/1000</f>
        <v>0</v>
      </c>
      <c r="P59" s="54" t="str">
        <f t="shared" si="127"/>
        <v/>
      </c>
      <c r="Q59" s="468" t="str">
        <f t="shared" si="94"/>
        <v/>
      </c>
      <c r="R59" s="468" t="str">
        <f t="shared" si="95"/>
        <v/>
      </c>
      <c r="S59" s="238"/>
      <c r="T59" s="54" t="str">
        <f t="shared" si="128"/>
        <v/>
      </c>
      <c r="U59" s="238">
        <v>0</v>
      </c>
      <c r="V59" s="54" t="str">
        <f t="shared" si="129"/>
        <v/>
      </c>
      <c r="W59" s="353">
        <f>+Расходы!D9/1000</f>
        <v>0</v>
      </c>
      <c r="X59" s="54" t="str">
        <f t="shared" si="130"/>
        <v/>
      </c>
      <c r="Y59" s="468" t="str">
        <f t="shared" si="96"/>
        <v/>
      </c>
      <c r="Z59" s="468" t="str">
        <f t="shared" si="97"/>
        <v/>
      </c>
      <c r="AA59" s="238"/>
      <c r="AB59" s="54" t="str">
        <f t="shared" si="131"/>
        <v/>
      </c>
      <c r="AC59" s="238">
        <v>0</v>
      </c>
      <c r="AD59" s="54" t="str">
        <f t="shared" si="132"/>
        <v/>
      </c>
      <c r="AE59" s="353">
        <f>+Расходы!E9/1000</f>
        <v>0</v>
      </c>
      <c r="AF59" s="54" t="str">
        <f t="shared" si="133"/>
        <v/>
      </c>
      <c r="AG59" s="468" t="str">
        <f t="shared" si="98"/>
        <v/>
      </c>
      <c r="AH59" s="468" t="str">
        <f t="shared" si="99"/>
        <v/>
      </c>
      <c r="AI59" s="238"/>
      <c r="AJ59" s="54" t="str">
        <f t="shared" si="134"/>
        <v/>
      </c>
      <c r="AK59" s="238">
        <v>0</v>
      </c>
      <c r="AL59" s="54" t="str">
        <f t="shared" si="135"/>
        <v/>
      </c>
      <c r="AM59" s="353">
        <f>+Расходы!F9/1000</f>
        <v>0</v>
      </c>
      <c r="AN59" s="54" t="str">
        <f t="shared" si="136"/>
        <v/>
      </c>
      <c r="AO59" s="468" t="str">
        <f t="shared" si="100"/>
        <v/>
      </c>
      <c r="AP59" s="468" t="str">
        <f t="shared" si="101"/>
        <v/>
      </c>
      <c r="AQ59" s="344"/>
      <c r="AR59" s="54" t="str">
        <f t="shared" si="137"/>
        <v/>
      </c>
      <c r="AS59" s="238">
        <v>0</v>
      </c>
      <c r="AT59" s="54" t="str">
        <f t="shared" si="138"/>
        <v/>
      </c>
      <c r="AU59" s="353">
        <f>+Расходы!G9/1000</f>
        <v>0</v>
      </c>
      <c r="AV59" s="54" t="str">
        <f t="shared" si="139"/>
        <v/>
      </c>
      <c r="AW59" s="468" t="str">
        <f t="shared" si="102"/>
        <v/>
      </c>
      <c r="AX59" s="468" t="str">
        <f t="shared" si="103"/>
        <v/>
      </c>
      <c r="AY59" s="344"/>
      <c r="AZ59" s="54" t="str">
        <f t="shared" si="140"/>
        <v/>
      </c>
      <c r="BA59" s="238">
        <v>0</v>
      </c>
      <c r="BB59" s="54" t="str">
        <f t="shared" si="141"/>
        <v/>
      </c>
      <c r="BC59" s="353">
        <f>+Расходы!H9/1000</f>
        <v>0</v>
      </c>
      <c r="BD59" s="54" t="str">
        <f t="shared" si="142"/>
        <v/>
      </c>
      <c r="BE59" s="468" t="str">
        <f t="shared" si="104"/>
        <v/>
      </c>
      <c r="BF59" s="468" t="str">
        <f t="shared" si="105"/>
        <v/>
      </c>
      <c r="BG59" s="344"/>
      <c r="BH59" s="54" t="str">
        <f t="shared" si="143"/>
        <v/>
      </c>
      <c r="BI59" s="238">
        <v>0</v>
      </c>
      <c r="BJ59" s="54" t="str">
        <f t="shared" si="144"/>
        <v/>
      </c>
      <c r="BK59" s="353">
        <f>+Расходы!I9/1000</f>
        <v>0</v>
      </c>
      <c r="BL59" s="54" t="str">
        <f t="shared" si="145"/>
        <v/>
      </c>
      <c r="BM59" s="468" t="str">
        <f t="shared" si="106"/>
        <v/>
      </c>
      <c r="BN59" s="468" t="str">
        <f t="shared" si="107"/>
        <v/>
      </c>
      <c r="BO59" s="344"/>
      <c r="BP59" s="54" t="str">
        <f t="shared" si="146"/>
        <v/>
      </c>
      <c r="BQ59" s="238">
        <v>0</v>
      </c>
      <c r="BR59" s="54" t="str">
        <f t="shared" si="147"/>
        <v/>
      </c>
      <c r="BS59" s="353">
        <f>+Расходы!J9/1000</f>
        <v>0</v>
      </c>
      <c r="BT59" s="54" t="str">
        <f t="shared" si="148"/>
        <v/>
      </c>
      <c r="BU59" s="468" t="str">
        <f t="shared" si="108"/>
        <v/>
      </c>
      <c r="BV59" s="468" t="str">
        <f t="shared" si="109"/>
        <v/>
      </c>
      <c r="BW59" s="344"/>
      <c r="BX59" s="54" t="str">
        <f t="shared" si="149"/>
        <v/>
      </c>
      <c r="BY59" s="238">
        <v>0</v>
      </c>
      <c r="BZ59" s="54" t="str">
        <f t="shared" si="150"/>
        <v/>
      </c>
      <c r="CA59" s="353">
        <f>+Расходы!K9/1000</f>
        <v>0</v>
      </c>
      <c r="CB59" s="54" t="str">
        <f t="shared" si="151"/>
        <v/>
      </c>
      <c r="CC59" s="468" t="str">
        <f t="shared" si="110"/>
        <v/>
      </c>
      <c r="CD59" s="468" t="str">
        <f t="shared" si="111"/>
        <v/>
      </c>
      <c r="CE59" s="344"/>
      <c r="CF59" s="54" t="str">
        <f t="shared" si="152"/>
        <v/>
      </c>
      <c r="CG59" s="238">
        <v>0</v>
      </c>
      <c r="CH59" s="54" t="str">
        <f t="shared" si="153"/>
        <v/>
      </c>
      <c r="CI59" s="353">
        <f>+Расходы!L9/1000</f>
        <v>0</v>
      </c>
      <c r="CJ59" s="54" t="str">
        <f t="shared" si="154"/>
        <v/>
      </c>
      <c r="CK59" s="468" t="str">
        <f t="shared" si="112"/>
        <v/>
      </c>
      <c r="CL59" s="468" t="str">
        <f t="shared" si="113"/>
        <v/>
      </c>
      <c r="CM59" s="344"/>
      <c r="CN59" s="54" t="str">
        <f t="shared" si="155"/>
        <v/>
      </c>
      <c r="CO59" s="238">
        <v>0</v>
      </c>
      <c r="CP59" s="54" t="str">
        <f t="shared" si="156"/>
        <v/>
      </c>
      <c r="CQ59" s="353">
        <f>+Расходы!M9/1000</f>
        <v>0</v>
      </c>
      <c r="CR59" s="54" t="str">
        <f t="shared" si="157"/>
        <v/>
      </c>
      <c r="CS59" s="468" t="str">
        <f t="shared" si="114"/>
        <v/>
      </c>
      <c r="CT59" s="468" t="str">
        <f t="shared" si="115"/>
        <v/>
      </c>
      <c r="CU59" s="344">
        <f t="shared" si="24"/>
        <v>0</v>
      </c>
      <c r="CV59" s="54" t="str">
        <f t="shared" si="116"/>
        <v/>
      </c>
      <c r="CW59" s="238">
        <f t="shared" si="26"/>
        <v>0</v>
      </c>
      <c r="CX59" s="54">
        <f t="shared" si="117"/>
        <v>0</v>
      </c>
      <c r="CY59" s="353">
        <f t="shared" si="118"/>
        <v>0</v>
      </c>
      <c r="CZ59" s="54">
        <f t="shared" si="119"/>
        <v>0</v>
      </c>
      <c r="DA59" s="468" t="str">
        <f t="shared" si="120"/>
        <v/>
      </c>
      <c r="DB59" s="468" t="str">
        <f t="shared" si="121"/>
        <v/>
      </c>
    </row>
    <row r="60" spans="2:106" s="103" customFormat="1" ht="13.15" customHeight="1" outlineLevel="2" collapsed="1">
      <c r="B60" s="61" t="str">
        <f>+Расходы!A10</f>
        <v>Материальная помощь</v>
      </c>
      <c r="C60" s="238"/>
      <c r="D60" s="54" t="str">
        <f t="shared" si="122"/>
        <v/>
      </c>
      <c r="E60" s="238"/>
      <c r="F60" s="54" t="str">
        <f t="shared" si="123"/>
        <v/>
      </c>
      <c r="G60" s="353">
        <f>+Расходы!B10/1000</f>
        <v>0</v>
      </c>
      <c r="H60" s="54" t="str">
        <f t="shared" si="124"/>
        <v/>
      </c>
      <c r="I60" s="468" t="str">
        <f t="shared" si="92"/>
        <v/>
      </c>
      <c r="J60" s="468" t="str">
        <f t="shared" si="93"/>
        <v/>
      </c>
      <c r="K60" s="238"/>
      <c r="L60" s="54" t="str">
        <f t="shared" si="125"/>
        <v/>
      </c>
      <c r="M60" s="238"/>
      <c r="N60" s="54" t="str">
        <f t="shared" si="126"/>
        <v/>
      </c>
      <c r="O60" s="353">
        <f>+Расходы!C10/1000</f>
        <v>0</v>
      </c>
      <c r="P60" s="54" t="str">
        <f t="shared" si="127"/>
        <v/>
      </c>
      <c r="Q60" s="468" t="str">
        <f t="shared" si="94"/>
        <v/>
      </c>
      <c r="R60" s="468" t="str">
        <f t="shared" si="95"/>
        <v/>
      </c>
      <c r="S60" s="238"/>
      <c r="T60" s="54" t="str">
        <f t="shared" si="128"/>
        <v/>
      </c>
      <c r="U60" s="238">
        <v>0</v>
      </c>
      <c r="V60" s="54" t="str">
        <f t="shared" si="129"/>
        <v/>
      </c>
      <c r="W60" s="353">
        <f>+Расходы!D10/1000</f>
        <v>0</v>
      </c>
      <c r="X60" s="54" t="str">
        <f t="shared" si="130"/>
        <v/>
      </c>
      <c r="Y60" s="468" t="str">
        <f t="shared" si="96"/>
        <v/>
      </c>
      <c r="Z60" s="468" t="str">
        <f t="shared" si="97"/>
        <v/>
      </c>
      <c r="AA60" s="238"/>
      <c r="AB60" s="54" t="str">
        <f t="shared" si="131"/>
        <v/>
      </c>
      <c r="AC60" s="238">
        <v>0</v>
      </c>
      <c r="AD60" s="54" t="str">
        <f t="shared" si="132"/>
        <v/>
      </c>
      <c r="AE60" s="353">
        <f>+Расходы!E10/1000</f>
        <v>0</v>
      </c>
      <c r="AF60" s="54" t="str">
        <f t="shared" si="133"/>
        <v/>
      </c>
      <c r="AG60" s="468" t="str">
        <f t="shared" si="98"/>
        <v/>
      </c>
      <c r="AH60" s="468" t="str">
        <f t="shared" si="99"/>
        <v/>
      </c>
      <c r="AI60" s="238"/>
      <c r="AJ60" s="54" t="str">
        <f t="shared" si="134"/>
        <v/>
      </c>
      <c r="AK60" s="238">
        <v>0</v>
      </c>
      <c r="AL60" s="54" t="str">
        <f t="shared" si="135"/>
        <v/>
      </c>
      <c r="AM60" s="353">
        <f>+Расходы!F10/1000</f>
        <v>0</v>
      </c>
      <c r="AN60" s="54" t="str">
        <f t="shared" si="136"/>
        <v/>
      </c>
      <c r="AO60" s="468" t="str">
        <f t="shared" si="100"/>
        <v/>
      </c>
      <c r="AP60" s="468" t="str">
        <f t="shared" si="101"/>
        <v/>
      </c>
      <c r="AQ60" s="344"/>
      <c r="AR60" s="54" t="str">
        <f t="shared" si="137"/>
        <v/>
      </c>
      <c r="AS60" s="238">
        <v>0</v>
      </c>
      <c r="AT60" s="54" t="str">
        <f t="shared" si="138"/>
        <v/>
      </c>
      <c r="AU60" s="353">
        <f>+Расходы!G10/1000</f>
        <v>0</v>
      </c>
      <c r="AV60" s="54" t="str">
        <f t="shared" si="139"/>
        <v/>
      </c>
      <c r="AW60" s="468" t="str">
        <f t="shared" si="102"/>
        <v/>
      </c>
      <c r="AX60" s="468" t="str">
        <f t="shared" si="103"/>
        <v/>
      </c>
      <c r="AY60" s="344"/>
      <c r="AZ60" s="54" t="str">
        <f t="shared" si="140"/>
        <v/>
      </c>
      <c r="BA60" s="238">
        <v>0</v>
      </c>
      <c r="BB60" s="54" t="str">
        <f t="shared" si="141"/>
        <v/>
      </c>
      <c r="BC60" s="353">
        <f>+Расходы!H10/1000</f>
        <v>0</v>
      </c>
      <c r="BD60" s="54" t="str">
        <f t="shared" si="142"/>
        <v/>
      </c>
      <c r="BE60" s="468" t="str">
        <f t="shared" si="104"/>
        <v/>
      </c>
      <c r="BF60" s="468" t="str">
        <f t="shared" si="105"/>
        <v/>
      </c>
      <c r="BG60" s="344"/>
      <c r="BH60" s="54" t="str">
        <f t="shared" si="143"/>
        <v/>
      </c>
      <c r="BI60" s="238">
        <v>0</v>
      </c>
      <c r="BJ60" s="54" t="str">
        <f t="shared" si="144"/>
        <v/>
      </c>
      <c r="BK60" s="353">
        <f>+Расходы!I10/1000</f>
        <v>0</v>
      </c>
      <c r="BL60" s="54" t="str">
        <f t="shared" si="145"/>
        <v/>
      </c>
      <c r="BM60" s="468" t="str">
        <f t="shared" si="106"/>
        <v/>
      </c>
      <c r="BN60" s="468" t="str">
        <f t="shared" si="107"/>
        <v/>
      </c>
      <c r="BO60" s="344"/>
      <c r="BP60" s="54" t="str">
        <f t="shared" si="146"/>
        <v/>
      </c>
      <c r="BQ60" s="238">
        <v>0</v>
      </c>
      <c r="BR60" s="54" t="str">
        <f t="shared" si="147"/>
        <v/>
      </c>
      <c r="BS60" s="353">
        <f>+Расходы!J10/1000</f>
        <v>0</v>
      </c>
      <c r="BT60" s="54" t="str">
        <f t="shared" si="148"/>
        <v/>
      </c>
      <c r="BU60" s="468" t="str">
        <f t="shared" si="108"/>
        <v/>
      </c>
      <c r="BV60" s="468" t="str">
        <f t="shared" si="109"/>
        <v/>
      </c>
      <c r="BW60" s="344"/>
      <c r="BX60" s="54" t="str">
        <f t="shared" si="149"/>
        <v/>
      </c>
      <c r="BY60" s="238">
        <v>0</v>
      </c>
      <c r="BZ60" s="54" t="str">
        <f t="shared" si="150"/>
        <v/>
      </c>
      <c r="CA60" s="353">
        <f>+Расходы!K10/1000</f>
        <v>0</v>
      </c>
      <c r="CB60" s="54" t="str">
        <f t="shared" si="151"/>
        <v/>
      </c>
      <c r="CC60" s="468" t="str">
        <f t="shared" si="110"/>
        <v/>
      </c>
      <c r="CD60" s="468" t="str">
        <f t="shared" si="111"/>
        <v/>
      </c>
      <c r="CE60" s="344"/>
      <c r="CF60" s="54" t="str">
        <f t="shared" si="152"/>
        <v/>
      </c>
      <c r="CG60" s="238">
        <v>0</v>
      </c>
      <c r="CH60" s="54" t="str">
        <f t="shared" si="153"/>
        <v/>
      </c>
      <c r="CI60" s="353">
        <f>+Расходы!L10/1000</f>
        <v>0</v>
      </c>
      <c r="CJ60" s="54" t="str">
        <f t="shared" si="154"/>
        <v/>
      </c>
      <c r="CK60" s="468" t="str">
        <f t="shared" si="112"/>
        <v/>
      </c>
      <c r="CL60" s="468" t="str">
        <f t="shared" si="113"/>
        <v/>
      </c>
      <c r="CM60" s="344"/>
      <c r="CN60" s="54" t="str">
        <f t="shared" si="155"/>
        <v/>
      </c>
      <c r="CO60" s="238">
        <v>0</v>
      </c>
      <c r="CP60" s="54" t="str">
        <f t="shared" si="156"/>
        <v/>
      </c>
      <c r="CQ60" s="353">
        <f>+Расходы!M10/1000</f>
        <v>0</v>
      </c>
      <c r="CR60" s="54" t="str">
        <f t="shared" si="157"/>
        <v/>
      </c>
      <c r="CS60" s="468" t="str">
        <f t="shared" si="114"/>
        <v/>
      </c>
      <c r="CT60" s="468" t="str">
        <f t="shared" si="115"/>
        <v/>
      </c>
      <c r="CU60" s="344">
        <f t="shared" si="24"/>
        <v>0</v>
      </c>
      <c r="CV60" s="54" t="str">
        <f t="shared" si="116"/>
        <v/>
      </c>
      <c r="CW60" s="238">
        <f t="shared" si="26"/>
        <v>0</v>
      </c>
      <c r="CX60" s="54">
        <f t="shared" si="117"/>
        <v>0</v>
      </c>
      <c r="CY60" s="353">
        <f t="shared" si="118"/>
        <v>0</v>
      </c>
      <c r="CZ60" s="54">
        <f t="shared" si="119"/>
        <v>0</v>
      </c>
      <c r="DA60" s="468" t="str">
        <f t="shared" si="120"/>
        <v/>
      </c>
      <c r="DB60" s="468" t="str">
        <f t="shared" si="121"/>
        <v/>
      </c>
    </row>
    <row r="61" spans="2:106" s="103" customFormat="1" ht="13.15" customHeight="1" outlineLevel="2" collapsed="1">
      <c r="B61" s="61" t="str">
        <f>+Расходы!A11</f>
        <v>Отпускные</v>
      </c>
      <c r="C61" s="238"/>
      <c r="D61" s="54" t="str">
        <f t="shared" si="122"/>
        <v/>
      </c>
      <c r="E61" s="238"/>
      <c r="F61" s="54" t="str">
        <f t="shared" si="123"/>
        <v/>
      </c>
      <c r="G61" s="353">
        <f>+Расходы!B11/1000</f>
        <v>0</v>
      </c>
      <c r="H61" s="54" t="str">
        <f t="shared" si="124"/>
        <v/>
      </c>
      <c r="I61" s="468" t="str">
        <f t="shared" si="92"/>
        <v/>
      </c>
      <c r="J61" s="468" t="str">
        <f t="shared" si="93"/>
        <v/>
      </c>
      <c r="K61" s="238"/>
      <c r="L61" s="54" t="str">
        <f t="shared" si="125"/>
        <v/>
      </c>
      <c r="M61" s="238"/>
      <c r="N61" s="54" t="str">
        <f t="shared" si="126"/>
        <v/>
      </c>
      <c r="O61" s="353">
        <f>+Расходы!C11/1000</f>
        <v>0</v>
      </c>
      <c r="P61" s="54" t="str">
        <f t="shared" si="127"/>
        <v/>
      </c>
      <c r="Q61" s="468" t="str">
        <f t="shared" si="94"/>
        <v/>
      </c>
      <c r="R61" s="468" t="str">
        <f t="shared" si="95"/>
        <v/>
      </c>
      <c r="S61" s="238"/>
      <c r="T61" s="54" t="str">
        <f t="shared" si="128"/>
        <v/>
      </c>
      <c r="U61" s="238">
        <v>0</v>
      </c>
      <c r="V61" s="54" t="str">
        <f t="shared" si="129"/>
        <v/>
      </c>
      <c r="W61" s="353">
        <f>+Расходы!D11/1000</f>
        <v>0</v>
      </c>
      <c r="X61" s="54" t="str">
        <f t="shared" si="130"/>
        <v/>
      </c>
      <c r="Y61" s="468" t="str">
        <f t="shared" si="96"/>
        <v/>
      </c>
      <c r="Z61" s="468" t="str">
        <f t="shared" si="97"/>
        <v/>
      </c>
      <c r="AA61" s="238"/>
      <c r="AB61" s="54" t="str">
        <f t="shared" si="131"/>
        <v/>
      </c>
      <c r="AC61" s="238">
        <v>0</v>
      </c>
      <c r="AD61" s="54" t="str">
        <f t="shared" si="132"/>
        <v/>
      </c>
      <c r="AE61" s="353">
        <f>+Расходы!E11/1000</f>
        <v>0</v>
      </c>
      <c r="AF61" s="54" t="str">
        <f t="shared" si="133"/>
        <v/>
      </c>
      <c r="AG61" s="468" t="str">
        <f t="shared" si="98"/>
        <v/>
      </c>
      <c r="AH61" s="468" t="str">
        <f t="shared" si="99"/>
        <v/>
      </c>
      <c r="AI61" s="238"/>
      <c r="AJ61" s="54" t="str">
        <f t="shared" si="134"/>
        <v/>
      </c>
      <c r="AK61" s="238">
        <v>0</v>
      </c>
      <c r="AL61" s="54" t="str">
        <f t="shared" si="135"/>
        <v/>
      </c>
      <c r="AM61" s="353">
        <f>+Расходы!F11/1000</f>
        <v>60</v>
      </c>
      <c r="AN61" s="54">
        <f t="shared" si="136"/>
        <v>3.8185938791758709E-3</v>
      </c>
      <c r="AO61" s="468" t="str">
        <f t="shared" si="100"/>
        <v/>
      </c>
      <c r="AP61" s="468" t="str">
        <f t="shared" si="101"/>
        <v/>
      </c>
      <c r="AQ61" s="344"/>
      <c r="AR61" s="54" t="str">
        <f t="shared" si="137"/>
        <v/>
      </c>
      <c r="AS61" s="238">
        <v>0</v>
      </c>
      <c r="AT61" s="54" t="str">
        <f t="shared" si="138"/>
        <v/>
      </c>
      <c r="AU61" s="353">
        <f>+Расходы!G11/1000</f>
        <v>0</v>
      </c>
      <c r="AV61" s="54" t="str">
        <f t="shared" si="139"/>
        <v/>
      </c>
      <c r="AW61" s="468" t="str">
        <f t="shared" si="102"/>
        <v/>
      </c>
      <c r="AX61" s="468" t="str">
        <f t="shared" si="103"/>
        <v/>
      </c>
      <c r="AY61" s="344"/>
      <c r="AZ61" s="54" t="str">
        <f t="shared" si="140"/>
        <v/>
      </c>
      <c r="BA61" s="238">
        <v>0</v>
      </c>
      <c r="BB61" s="54" t="str">
        <f t="shared" si="141"/>
        <v/>
      </c>
      <c r="BC61" s="353">
        <f>+Расходы!H11/1000</f>
        <v>0</v>
      </c>
      <c r="BD61" s="54" t="str">
        <f t="shared" si="142"/>
        <v/>
      </c>
      <c r="BE61" s="468" t="str">
        <f t="shared" si="104"/>
        <v/>
      </c>
      <c r="BF61" s="468" t="str">
        <f t="shared" si="105"/>
        <v/>
      </c>
      <c r="BG61" s="344"/>
      <c r="BH61" s="54" t="str">
        <f t="shared" si="143"/>
        <v/>
      </c>
      <c r="BI61" s="238">
        <v>0</v>
      </c>
      <c r="BJ61" s="54" t="str">
        <f t="shared" si="144"/>
        <v/>
      </c>
      <c r="BK61" s="353">
        <f>+Расходы!I11/1000</f>
        <v>0</v>
      </c>
      <c r="BL61" s="54" t="str">
        <f t="shared" si="145"/>
        <v/>
      </c>
      <c r="BM61" s="468" t="str">
        <f t="shared" si="106"/>
        <v/>
      </c>
      <c r="BN61" s="468" t="str">
        <f t="shared" si="107"/>
        <v/>
      </c>
      <c r="BO61" s="344"/>
      <c r="BP61" s="54" t="str">
        <f t="shared" si="146"/>
        <v/>
      </c>
      <c r="BQ61" s="238">
        <v>0</v>
      </c>
      <c r="BR61" s="54" t="str">
        <f t="shared" si="147"/>
        <v/>
      </c>
      <c r="BS61" s="353">
        <f>+Расходы!J11/1000</f>
        <v>0</v>
      </c>
      <c r="BT61" s="54" t="str">
        <f t="shared" si="148"/>
        <v/>
      </c>
      <c r="BU61" s="468" t="str">
        <f t="shared" si="108"/>
        <v/>
      </c>
      <c r="BV61" s="468" t="str">
        <f t="shared" si="109"/>
        <v/>
      </c>
      <c r="BW61" s="344"/>
      <c r="BX61" s="54" t="str">
        <f t="shared" si="149"/>
        <v/>
      </c>
      <c r="BY61" s="238">
        <v>0</v>
      </c>
      <c r="BZ61" s="54" t="str">
        <f t="shared" si="150"/>
        <v/>
      </c>
      <c r="CA61" s="353">
        <f>+Расходы!K11/1000</f>
        <v>0</v>
      </c>
      <c r="CB61" s="54" t="str">
        <f t="shared" si="151"/>
        <v/>
      </c>
      <c r="CC61" s="468" t="str">
        <f t="shared" si="110"/>
        <v/>
      </c>
      <c r="CD61" s="468" t="str">
        <f t="shared" si="111"/>
        <v/>
      </c>
      <c r="CE61" s="344"/>
      <c r="CF61" s="54" t="str">
        <f t="shared" si="152"/>
        <v/>
      </c>
      <c r="CG61" s="238">
        <v>0</v>
      </c>
      <c r="CH61" s="54" t="str">
        <f t="shared" si="153"/>
        <v/>
      </c>
      <c r="CI61" s="353">
        <f>+Расходы!L11/1000</f>
        <v>0</v>
      </c>
      <c r="CJ61" s="54" t="str">
        <f t="shared" si="154"/>
        <v/>
      </c>
      <c r="CK61" s="468" t="str">
        <f t="shared" si="112"/>
        <v/>
      </c>
      <c r="CL61" s="468" t="str">
        <f t="shared" si="113"/>
        <v/>
      </c>
      <c r="CM61" s="344"/>
      <c r="CN61" s="54" t="str">
        <f t="shared" si="155"/>
        <v/>
      </c>
      <c r="CO61" s="238">
        <v>0</v>
      </c>
      <c r="CP61" s="54" t="str">
        <f t="shared" si="156"/>
        <v/>
      </c>
      <c r="CQ61" s="353">
        <f>+Расходы!M11/1000</f>
        <v>0</v>
      </c>
      <c r="CR61" s="54" t="str">
        <f t="shared" si="157"/>
        <v/>
      </c>
      <c r="CS61" s="468" t="str">
        <f t="shared" si="114"/>
        <v/>
      </c>
      <c r="CT61" s="468" t="str">
        <f t="shared" si="115"/>
        <v/>
      </c>
      <c r="CU61" s="344">
        <f t="shared" si="24"/>
        <v>0</v>
      </c>
      <c r="CV61" s="54" t="str">
        <f t="shared" si="116"/>
        <v/>
      </c>
      <c r="CW61" s="238">
        <f t="shared" si="26"/>
        <v>0</v>
      </c>
      <c r="CX61" s="54">
        <f t="shared" si="117"/>
        <v>0</v>
      </c>
      <c r="CY61" s="353">
        <f t="shared" si="118"/>
        <v>60</v>
      </c>
      <c r="CZ61" s="54">
        <f t="shared" si="119"/>
        <v>1.2094569616856732E-3</v>
      </c>
      <c r="DA61" s="468" t="str">
        <f t="shared" si="120"/>
        <v/>
      </c>
      <c r="DB61" s="468" t="str">
        <f t="shared" si="121"/>
        <v/>
      </c>
    </row>
    <row r="62" spans="2:106" s="103" customFormat="1" ht="13.15" customHeight="1" outlineLevel="2" collapsed="1">
      <c r="B62" s="61" t="str">
        <f>+Расходы!A12</f>
        <v>Пособия</v>
      </c>
      <c r="C62" s="238"/>
      <c r="D62" s="54" t="str">
        <f t="shared" si="122"/>
        <v/>
      </c>
      <c r="E62" s="238"/>
      <c r="F62" s="54" t="str">
        <f t="shared" si="123"/>
        <v/>
      </c>
      <c r="G62" s="353">
        <f>+Расходы!B12/1000</f>
        <v>0</v>
      </c>
      <c r="H62" s="54" t="str">
        <f t="shared" si="124"/>
        <v/>
      </c>
      <c r="I62" s="468" t="str">
        <f t="shared" si="92"/>
        <v/>
      </c>
      <c r="J62" s="468" t="str">
        <f t="shared" si="93"/>
        <v/>
      </c>
      <c r="K62" s="238"/>
      <c r="L62" s="54" t="str">
        <f t="shared" si="125"/>
        <v/>
      </c>
      <c r="M62" s="238"/>
      <c r="N62" s="54" t="str">
        <f t="shared" si="126"/>
        <v/>
      </c>
      <c r="O62" s="353">
        <f>+Расходы!C12/1000</f>
        <v>0</v>
      </c>
      <c r="P62" s="54" t="str">
        <f t="shared" si="127"/>
        <v/>
      </c>
      <c r="Q62" s="468" t="str">
        <f t="shared" si="94"/>
        <v/>
      </c>
      <c r="R62" s="468" t="str">
        <f t="shared" si="95"/>
        <v/>
      </c>
      <c r="S62" s="238"/>
      <c r="T62" s="54" t="str">
        <f t="shared" si="128"/>
        <v/>
      </c>
      <c r="U62" s="238">
        <v>0</v>
      </c>
      <c r="V62" s="54" t="str">
        <f t="shared" si="129"/>
        <v/>
      </c>
      <c r="W62" s="353">
        <f>+Расходы!D12/1000</f>
        <v>0</v>
      </c>
      <c r="X62" s="54" t="str">
        <f t="shared" si="130"/>
        <v/>
      </c>
      <c r="Y62" s="468" t="str">
        <f t="shared" si="96"/>
        <v/>
      </c>
      <c r="Z62" s="468" t="str">
        <f t="shared" si="97"/>
        <v/>
      </c>
      <c r="AA62" s="238"/>
      <c r="AB62" s="54" t="str">
        <f t="shared" si="131"/>
        <v/>
      </c>
      <c r="AC62" s="238">
        <v>0</v>
      </c>
      <c r="AD62" s="54" t="str">
        <f t="shared" si="132"/>
        <v/>
      </c>
      <c r="AE62" s="353">
        <f>+Расходы!E12/1000</f>
        <v>0</v>
      </c>
      <c r="AF62" s="54" t="str">
        <f t="shared" si="133"/>
        <v/>
      </c>
      <c r="AG62" s="468" t="str">
        <f t="shared" si="98"/>
        <v/>
      </c>
      <c r="AH62" s="468" t="str">
        <f t="shared" si="99"/>
        <v/>
      </c>
      <c r="AI62" s="238"/>
      <c r="AJ62" s="54" t="str">
        <f t="shared" si="134"/>
        <v/>
      </c>
      <c r="AK62" s="238">
        <v>0</v>
      </c>
      <c r="AL62" s="54" t="str">
        <f t="shared" si="135"/>
        <v/>
      </c>
      <c r="AM62" s="353">
        <f>+Расходы!F12/1000</f>
        <v>0</v>
      </c>
      <c r="AN62" s="54" t="str">
        <f t="shared" si="136"/>
        <v/>
      </c>
      <c r="AO62" s="468" t="str">
        <f t="shared" si="100"/>
        <v/>
      </c>
      <c r="AP62" s="468" t="str">
        <f t="shared" si="101"/>
        <v/>
      </c>
      <c r="AQ62" s="344"/>
      <c r="AR62" s="54" t="str">
        <f t="shared" si="137"/>
        <v/>
      </c>
      <c r="AS62" s="238">
        <v>0</v>
      </c>
      <c r="AT62" s="54" t="str">
        <f t="shared" si="138"/>
        <v/>
      </c>
      <c r="AU62" s="353">
        <f>+Расходы!G12/1000</f>
        <v>0</v>
      </c>
      <c r="AV62" s="54" t="str">
        <f t="shared" si="139"/>
        <v/>
      </c>
      <c r="AW62" s="468" t="str">
        <f t="shared" si="102"/>
        <v/>
      </c>
      <c r="AX62" s="468" t="str">
        <f t="shared" si="103"/>
        <v/>
      </c>
      <c r="AY62" s="344"/>
      <c r="AZ62" s="54" t="str">
        <f t="shared" si="140"/>
        <v/>
      </c>
      <c r="BA62" s="238">
        <v>0</v>
      </c>
      <c r="BB62" s="54" t="str">
        <f t="shared" si="141"/>
        <v/>
      </c>
      <c r="BC62" s="353">
        <f>+Расходы!H12/1000</f>
        <v>0</v>
      </c>
      <c r="BD62" s="54" t="str">
        <f t="shared" si="142"/>
        <v/>
      </c>
      <c r="BE62" s="468" t="str">
        <f t="shared" si="104"/>
        <v/>
      </c>
      <c r="BF62" s="468" t="str">
        <f t="shared" si="105"/>
        <v/>
      </c>
      <c r="BG62" s="344"/>
      <c r="BH62" s="54" t="str">
        <f t="shared" si="143"/>
        <v/>
      </c>
      <c r="BI62" s="238">
        <v>0</v>
      </c>
      <c r="BJ62" s="54" t="str">
        <f t="shared" si="144"/>
        <v/>
      </c>
      <c r="BK62" s="353">
        <f>+Расходы!I12/1000</f>
        <v>0</v>
      </c>
      <c r="BL62" s="54" t="str">
        <f t="shared" si="145"/>
        <v/>
      </c>
      <c r="BM62" s="468" t="str">
        <f t="shared" si="106"/>
        <v/>
      </c>
      <c r="BN62" s="468" t="str">
        <f t="shared" si="107"/>
        <v/>
      </c>
      <c r="BO62" s="344"/>
      <c r="BP62" s="54" t="str">
        <f t="shared" si="146"/>
        <v/>
      </c>
      <c r="BQ62" s="238">
        <v>0</v>
      </c>
      <c r="BR62" s="54" t="str">
        <f t="shared" si="147"/>
        <v/>
      </c>
      <c r="BS62" s="353">
        <f>+Расходы!J12/1000</f>
        <v>0</v>
      </c>
      <c r="BT62" s="54" t="str">
        <f t="shared" si="148"/>
        <v/>
      </c>
      <c r="BU62" s="468" t="str">
        <f t="shared" si="108"/>
        <v/>
      </c>
      <c r="BV62" s="468" t="str">
        <f t="shared" si="109"/>
        <v/>
      </c>
      <c r="BW62" s="344"/>
      <c r="BX62" s="54" t="str">
        <f t="shared" si="149"/>
        <v/>
      </c>
      <c r="BY62" s="238">
        <v>0</v>
      </c>
      <c r="BZ62" s="54" t="str">
        <f t="shared" si="150"/>
        <v/>
      </c>
      <c r="CA62" s="353">
        <f>+Расходы!K12/1000</f>
        <v>0</v>
      </c>
      <c r="CB62" s="54" t="str">
        <f t="shared" si="151"/>
        <v/>
      </c>
      <c r="CC62" s="468" t="str">
        <f t="shared" si="110"/>
        <v/>
      </c>
      <c r="CD62" s="468" t="str">
        <f t="shared" si="111"/>
        <v/>
      </c>
      <c r="CE62" s="344"/>
      <c r="CF62" s="54" t="str">
        <f t="shared" si="152"/>
        <v/>
      </c>
      <c r="CG62" s="238">
        <v>0</v>
      </c>
      <c r="CH62" s="54" t="str">
        <f t="shared" si="153"/>
        <v/>
      </c>
      <c r="CI62" s="353">
        <f>+Расходы!L12/1000</f>
        <v>0</v>
      </c>
      <c r="CJ62" s="54" t="str">
        <f t="shared" si="154"/>
        <v/>
      </c>
      <c r="CK62" s="468" t="str">
        <f t="shared" si="112"/>
        <v/>
      </c>
      <c r="CL62" s="468" t="str">
        <f t="shared" si="113"/>
        <v/>
      </c>
      <c r="CM62" s="344"/>
      <c r="CN62" s="54" t="str">
        <f t="shared" si="155"/>
        <v/>
      </c>
      <c r="CO62" s="238">
        <v>0</v>
      </c>
      <c r="CP62" s="54" t="str">
        <f t="shared" si="156"/>
        <v/>
      </c>
      <c r="CQ62" s="353">
        <f>+Расходы!M12/1000</f>
        <v>0</v>
      </c>
      <c r="CR62" s="54" t="str">
        <f t="shared" si="157"/>
        <v/>
      </c>
      <c r="CS62" s="468" t="str">
        <f t="shared" si="114"/>
        <v/>
      </c>
      <c r="CT62" s="468" t="str">
        <f t="shared" si="115"/>
        <v/>
      </c>
      <c r="CU62" s="344">
        <f t="shared" si="24"/>
        <v>0</v>
      </c>
      <c r="CV62" s="54" t="str">
        <f t="shared" si="116"/>
        <v/>
      </c>
      <c r="CW62" s="238">
        <f t="shared" si="26"/>
        <v>0</v>
      </c>
      <c r="CX62" s="54">
        <f t="shared" si="117"/>
        <v>0</v>
      </c>
      <c r="CY62" s="353">
        <f t="shared" si="118"/>
        <v>0</v>
      </c>
      <c r="CZ62" s="54">
        <f t="shared" si="119"/>
        <v>0</v>
      </c>
      <c r="DA62" s="468" t="str">
        <f t="shared" si="120"/>
        <v/>
      </c>
      <c r="DB62" s="468" t="str">
        <f t="shared" si="121"/>
        <v/>
      </c>
    </row>
    <row r="63" spans="2:106" s="103" customFormat="1" ht="13.15" customHeight="1" outlineLevel="2">
      <c r="B63" s="61" t="str">
        <f>+Расходы!A13</f>
        <v>Премии</v>
      </c>
      <c r="C63" s="238"/>
      <c r="D63" s="54" t="str">
        <f t="shared" si="122"/>
        <v/>
      </c>
      <c r="E63" s="238"/>
      <c r="F63" s="54" t="str">
        <f t="shared" si="123"/>
        <v/>
      </c>
      <c r="G63" s="353">
        <f>+Расходы!B13/1000</f>
        <v>0</v>
      </c>
      <c r="H63" s="54" t="str">
        <f t="shared" si="124"/>
        <v/>
      </c>
      <c r="I63" s="468" t="str">
        <f t="shared" si="92"/>
        <v/>
      </c>
      <c r="J63" s="468" t="str">
        <f t="shared" si="93"/>
        <v/>
      </c>
      <c r="K63" s="238"/>
      <c r="L63" s="54" t="str">
        <f t="shared" si="125"/>
        <v/>
      </c>
      <c r="M63" s="238"/>
      <c r="N63" s="54" t="str">
        <f t="shared" si="126"/>
        <v/>
      </c>
      <c r="O63" s="353">
        <f>+Расходы!C13/1000</f>
        <v>0</v>
      </c>
      <c r="P63" s="54" t="str">
        <f t="shared" si="127"/>
        <v/>
      </c>
      <c r="Q63" s="468" t="str">
        <f t="shared" si="94"/>
        <v/>
      </c>
      <c r="R63" s="468" t="str">
        <f t="shared" si="95"/>
        <v/>
      </c>
      <c r="S63" s="238"/>
      <c r="T63" s="54" t="str">
        <f t="shared" si="128"/>
        <v/>
      </c>
      <c r="U63" s="238">
        <v>0</v>
      </c>
      <c r="V63" s="54" t="str">
        <f t="shared" si="129"/>
        <v/>
      </c>
      <c r="W63" s="353">
        <f>+Расходы!D13/1000</f>
        <v>0</v>
      </c>
      <c r="X63" s="54" t="str">
        <f t="shared" si="130"/>
        <v/>
      </c>
      <c r="Y63" s="468" t="str">
        <f t="shared" si="96"/>
        <v/>
      </c>
      <c r="Z63" s="468" t="str">
        <f t="shared" si="97"/>
        <v/>
      </c>
      <c r="AA63" s="238"/>
      <c r="AB63" s="54" t="str">
        <f t="shared" si="131"/>
        <v/>
      </c>
      <c r="AC63" s="238">
        <v>0</v>
      </c>
      <c r="AD63" s="54" t="str">
        <f t="shared" si="132"/>
        <v/>
      </c>
      <c r="AE63" s="353">
        <f>+Расходы!E13/1000</f>
        <v>0</v>
      </c>
      <c r="AF63" s="54" t="str">
        <f t="shared" si="133"/>
        <v/>
      </c>
      <c r="AG63" s="468" t="str">
        <f t="shared" si="98"/>
        <v/>
      </c>
      <c r="AH63" s="468" t="str">
        <f t="shared" si="99"/>
        <v/>
      </c>
      <c r="AI63" s="238"/>
      <c r="AJ63" s="54" t="str">
        <f t="shared" si="134"/>
        <v/>
      </c>
      <c r="AK63" s="238">
        <v>0</v>
      </c>
      <c r="AL63" s="54" t="str">
        <f t="shared" si="135"/>
        <v/>
      </c>
      <c r="AM63" s="353">
        <f>+Расходы!F13/1000</f>
        <v>25.71</v>
      </c>
      <c r="AN63" s="54">
        <f t="shared" si="136"/>
        <v>1.6362674772268607E-3</v>
      </c>
      <c r="AO63" s="468" t="str">
        <f t="shared" si="100"/>
        <v/>
      </c>
      <c r="AP63" s="468" t="str">
        <f t="shared" si="101"/>
        <v/>
      </c>
      <c r="AQ63" s="344"/>
      <c r="AR63" s="54" t="str">
        <f t="shared" si="137"/>
        <v/>
      </c>
      <c r="AS63" s="238">
        <v>0</v>
      </c>
      <c r="AT63" s="54" t="str">
        <f t="shared" si="138"/>
        <v/>
      </c>
      <c r="AU63" s="353">
        <f>+Расходы!G13/1000</f>
        <v>7.8135300000000001</v>
      </c>
      <c r="AV63" s="54">
        <f t="shared" si="139"/>
        <v>5.4818898376950088E-4</v>
      </c>
      <c r="AW63" s="468" t="str">
        <f t="shared" si="102"/>
        <v/>
      </c>
      <c r="AX63" s="468" t="str">
        <f t="shared" si="103"/>
        <v/>
      </c>
      <c r="AY63" s="344"/>
      <c r="AZ63" s="54" t="str">
        <f t="shared" si="140"/>
        <v/>
      </c>
      <c r="BA63" s="238">
        <v>0</v>
      </c>
      <c r="BB63" s="54" t="str">
        <f t="shared" si="141"/>
        <v/>
      </c>
      <c r="BC63" s="353">
        <f>+Расходы!H13/1000</f>
        <v>0</v>
      </c>
      <c r="BD63" s="54" t="str">
        <f t="shared" si="142"/>
        <v/>
      </c>
      <c r="BE63" s="468" t="str">
        <f t="shared" si="104"/>
        <v/>
      </c>
      <c r="BF63" s="468" t="str">
        <f t="shared" si="105"/>
        <v/>
      </c>
      <c r="BG63" s="344"/>
      <c r="BH63" s="54" t="str">
        <f t="shared" si="143"/>
        <v/>
      </c>
      <c r="BI63" s="238">
        <v>0</v>
      </c>
      <c r="BJ63" s="54" t="str">
        <f t="shared" si="144"/>
        <v/>
      </c>
      <c r="BK63" s="353">
        <f>+Расходы!I13/1000</f>
        <v>0</v>
      </c>
      <c r="BL63" s="54" t="str">
        <f t="shared" si="145"/>
        <v/>
      </c>
      <c r="BM63" s="468" t="str">
        <f t="shared" si="106"/>
        <v/>
      </c>
      <c r="BN63" s="468" t="str">
        <f t="shared" si="107"/>
        <v/>
      </c>
      <c r="BO63" s="344"/>
      <c r="BP63" s="54" t="str">
        <f t="shared" si="146"/>
        <v/>
      </c>
      <c r="BQ63" s="238">
        <v>0</v>
      </c>
      <c r="BR63" s="54" t="str">
        <f t="shared" si="147"/>
        <v/>
      </c>
      <c r="BS63" s="353">
        <f>+Расходы!J13/1000</f>
        <v>0</v>
      </c>
      <c r="BT63" s="54" t="str">
        <f t="shared" si="148"/>
        <v/>
      </c>
      <c r="BU63" s="468" t="str">
        <f t="shared" si="108"/>
        <v/>
      </c>
      <c r="BV63" s="468" t="str">
        <f t="shared" si="109"/>
        <v/>
      </c>
      <c r="BW63" s="344"/>
      <c r="BX63" s="54" t="str">
        <f t="shared" si="149"/>
        <v/>
      </c>
      <c r="BY63" s="238">
        <v>0</v>
      </c>
      <c r="BZ63" s="54" t="str">
        <f t="shared" si="150"/>
        <v/>
      </c>
      <c r="CA63" s="353">
        <f>+Расходы!K13/1000</f>
        <v>0</v>
      </c>
      <c r="CB63" s="54" t="str">
        <f t="shared" si="151"/>
        <v/>
      </c>
      <c r="CC63" s="468" t="str">
        <f t="shared" si="110"/>
        <v/>
      </c>
      <c r="CD63" s="468" t="str">
        <f t="shared" si="111"/>
        <v/>
      </c>
      <c r="CE63" s="344"/>
      <c r="CF63" s="54" t="str">
        <f t="shared" si="152"/>
        <v/>
      </c>
      <c r="CG63" s="238">
        <v>0</v>
      </c>
      <c r="CH63" s="54" t="str">
        <f t="shared" si="153"/>
        <v/>
      </c>
      <c r="CI63" s="353">
        <f>+Расходы!L13/1000</f>
        <v>0</v>
      </c>
      <c r="CJ63" s="54" t="str">
        <f t="shared" si="154"/>
        <v/>
      </c>
      <c r="CK63" s="468" t="str">
        <f t="shared" si="112"/>
        <v/>
      </c>
      <c r="CL63" s="468" t="str">
        <f t="shared" si="113"/>
        <v/>
      </c>
      <c r="CM63" s="344"/>
      <c r="CN63" s="54" t="str">
        <f t="shared" si="155"/>
        <v/>
      </c>
      <c r="CO63" s="238">
        <v>0</v>
      </c>
      <c r="CP63" s="54" t="str">
        <f t="shared" si="156"/>
        <v/>
      </c>
      <c r="CQ63" s="353">
        <f>+Расходы!M13/1000</f>
        <v>0</v>
      </c>
      <c r="CR63" s="54" t="str">
        <f t="shared" si="157"/>
        <v/>
      </c>
      <c r="CS63" s="468" t="str">
        <f t="shared" si="114"/>
        <v/>
      </c>
      <c r="CT63" s="468" t="str">
        <f t="shared" si="115"/>
        <v/>
      </c>
      <c r="CU63" s="344">
        <f t="shared" si="24"/>
        <v>0</v>
      </c>
      <c r="CV63" s="54" t="str">
        <f t="shared" si="116"/>
        <v/>
      </c>
      <c r="CW63" s="238">
        <f t="shared" si="26"/>
        <v>0</v>
      </c>
      <c r="CX63" s="54">
        <f t="shared" si="117"/>
        <v>0</v>
      </c>
      <c r="CY63" s="353">
        <f t="shared" si="118"/>
        <v>33.523530000000001</v>
      </c>
      <c r="CZ63" s="54">
        <f t="shared" si="119"/>
        <v>6.7575444564630868E-4</v>
      </c>
      <c r="DA63" s="468" t="str">
        <f t="shared" si="120"/>
        <v/>
      </c>
      <c r="DB63" s="468" t="str">
        <f t="shared" si="121"/>
        <v/>
      </c>
    </row>
    <row r="64" spans="2:106" s="103" customFormat="1" ht="13.9" customHeight="1" outlineLevel="1">
      <c r="B64" s="58" t="str">
        <f>+Расходы!A14</f>
        <v>Налоги ФОТ</v>
      </c>
      <c r="C64" s="477">
        <f>SUM(C65:C67)</f>
        <v>0</v>
      </c>
      <c r="D64" s="50" t="str">
        <f t="shared" si="122"/>
        <v/>
      </c>
      <c r="E64" s="477">
        <f>SUM(E65:E67)</f>
        <v>0</v>
      </c>
      <c r="F64" s="50" t="str">
        <f t="shared" si="123"/>
        <v/>
      </c>
      <c r="G64" s="352">
        <f>+Расходы!B14/1000</f>
        <v>0</v>
      </c>
      <c r="H64" s="51" t="str">
        <f t="shared" si="124"/>
        <v/>
      </c>
      <c r="I64" s="478" t="str">
        <f t="shared" si="92"/>
        <v/>
      </c>
      <c r="J64" s="478" t="str">
        <f t="shared" si="93"/>
        <v/>
      </c>
      <c r="K64" s="477">
        <f>SUM(K65:K67)</f>
        <v>0</v>
      </c>
      <c r="L64" s="50" t="str">
        <f t="shared" si="125"/>
        <v/>
      </c>
      <c r="M64" s="477">
        <f>SUM(M65:M67)</f>
        <v>0</v>
      </c>
      <c r="N64" s="50" t="str">
        <f t="shared" si="126"/>
        <v/>
      </c>
      <c r="O64" s="352">
        <f>+Расходы!C14/1000</f>
        <v>0</v>
      </c>
      <c r="P64" s="51" t="str">
        <f t="shared" si="127"/>
        <v/>
      </c>
      <c r="Q64" s="478" t="str">
        <f t="shared" si="94"/>
        <v/>
      </c>
      <c r="R64" s="478" t="str">
        <f t="shared" si="95"/>
        <v/>
      </c>
      <c r="S64" s="477">
        <f>SUM(S65:S67)</f>
        <v>0</v>
      </c>
      <c r="T64" s="50" t="str">
        <f t="shared" si="128"/>
        <v/>
      </c>
      <c r="U64" s="477">
        <v>0</v>
      </c>
      <c r="V64" s="50" t="str">
        <f t="shared" si="129"/>
        <v/>
      </c>
      <c r="W64" s="352">
        <f>+Расходы!D14/1000</f>
        <v>3.18</v>
      </c>
      <c r="X64" s="51">
        <f t="shared" si="130"/>
        <v>5.3626536703823007E-4</v>
      </c>
      <c r="Y64" s="478" t="str">
        <f t="shared" si="96"/>
        <v/>
      </c>
      <c r="Z64" s="478" t="str">
        <f t="shared" si="97"/>
        <v/>
      </c>
      <c r="AA64" s="477">
        <f>SUM(AA65:AA67)</f>
        <v>0</v>
      </c>
      <c r="AB64" s="50" t="str">
        <f t="shared" si="131"/>
        <v/>
      </c>
      <c r="AC64" s="477">
        <v>1086.3171</v>
      </c>
      <c r="AD64" s="50">
        <f t="shared" si="132"/>
        <v>7.9456539865884912E-2</v>
      </c>
      <c r="AE64" s="352">
        <f>+Расходы!E14/1000</f>
        <v>179.70594</v>
      </c>
      <c r="AF64" s="51">
        <f t="shared" si="133"/>
        <v>1.3104595572149462E-2</v>
      </c>
      <c r="AG64" s="478">
        <f t="shared" si="98"/>
        <v>-0.83457321991893529</v>
      </c>
      <c r="AH64" s="478" t="str">
        <f t="shared" si="99"/>
        <v/>
      </c>
      <c r="AI64" s="477">
        <f>SUM(AI65:AI67)</f>
        <v>0</v>
      </c>
      <c r="AJ64" s="50" t="str">
        <f t="shared" si="134"/>
        <v/>
      </c>
      <c r="AK64" s="477">
        <v>1114.5684000000001</v>
      </c>
      <c r="AL64" s="50">
        <f t="shared" si="135"/>
        <v>7.9771571714858297E-2</v>
      </c>
      <c r="AM64" s="352">
        <f>+Расходы!F14/1000</f>
        <v>304.91290000000004</v>
      </c>
      <c r="AN64" s="51">
        <f t="shared" si="136"/>
        <v>1.940564222702941E-2</v>
      </c>
      <c r="AO64" s="478">
        <f t="shared" si="100"/>
        <v>-0.72642962064957162</v>
      </c>
      <c r="AP64" s="478" t="str">
        <f t="shared" si="101"/>
        <v/>
      </c>
      <c r="AQ64" s="479">
        <f>SUM(AQ65:AQ67)</f>
        <v>0</v>
      </c>
      <c r="AR64" s="50" t="str">
        <f t="shared" si="137"/>
        <v/>
      </c>
      <c r="AS64" s="477">
        <v>450</v>
      </c>
      <c r="AT64" s="50">
        <f t="shared" si="138"/>
        <v>2.9840848806366047E-2</v>
      </c>
      <c r="AU64" s="352">
        <f>+Расходы!G14/1000</f>
        <v>375.49290000000002</v>
      </c>
      <c r="AV64" s="51">
        <f t="shared" si="139"/>
        <v>2.6344183904542868E-2</v>
      </c>
      <c r="AW64" s="478">
        <f t="shared" si="102"/>
        <v>-0.16557133333333329</v>
      </c>
      <c r="AX64" s="478" t="str">
        <f t="shared" si="103"/>
        <v/>
      </c>
      <c r="AY64" s="479">
        <f>SUM(AY65:AY67)</f>
        <v>0</v>
      </c>
      <c r="AZ64" s="50" t="str">
        <f t="shared" si="140"/>
        <v/>
      </c>
      <c r="BA64" s="477">
        <v>450</v>
      </c>
      <c r="BB64" s="50">
        <f t="shared" si="141"/>
        <v>2.8721876495931067E-2</v>
      </c>
      <c r="BC64" s="352">
        <f>+Расходы!H14/1000</f>
        <v>0</v>
      </c>
      <c r="BD64" s="51" t="str">
        <f t="shared" si="142"/>
        <v/>
      </c>
      <c r="BE64" s="478">
        <f t="shared" si="104"/>
        <v>-1</v>
      </c>
      <c r="BF64" s="478" t="str">
        <f t="shared" si="105"/>
        <v/>
      </c>
      <c r="BG64" s="479">
        <f>SUM(BG65:BG67)</f>
        <v>0</v>
      </c>
      <c r="BH64" s="50" t="str">
        <f t="shared" si="143"/>
        <v/>
      </c>
      <c r="BI64" s="477">
        <v>450</v>
      </c>
      <c r="BJ64" s="50">
        <f t="shared" si="144"/>
        <v>2.8721876495931067E-2</v>
      </c>
      <c r="BK64" s="352">
        <f>+Расходы!I14/1000</f>
        <v>0</v>
      </c>
      <c r="BL64" s="51" t="str">
        <f t="shared" si="145"/>
        <v/>
      </c>
      <c r="BM64" s="478">
        <f t="shared" si="106"/>
        <v>-1</v>
      </c>
      <c r="BN64" s="478" t="str">
        <f t="shared" si="107"/>
        <v/>
      </c>
      <c r="BO64" s="479">
        <f>SUM(BO65:BO67)</f>
        <v>0</v>
      </c>
      <c r="BP64" s="50" t="str">
        <f t="shared" si="146"/>
        <v/>
      </c>
      <c r="BQ64" s="477">
        <v>450</v>
      </c>
      <c r="BR64" s="50">
        <f t="shared" si="147"/>
        <v>3.1077348066298343E-2</v>
      </c>
      <c r="BS64" s="352">
        <f>+Расходы!J14/1000</f>
        <v>0</v>
      </c>
      <c r="BT64" s="51" t="str">
        <f t="shared" si="148"/>
        <v/>
      </c>
      <c r="BU64" s="478">
        <f t="shared" si="108"/>
        <v>-1</v>
      </c>
      <c r="BV64" s="478" t="str">
        <f t="shared" si="109"/>
        <v/>
      </c>
      <c r="BW64" s="479">
        <f>SUM(BW65:BW67)</f>
        <v>0</v>
      </c>
      <c r="BX64" s="50" t="str">
        <f t="shared" si="149"/>
        <v/>
      </c>
      <c r="BY64" s="477">
        <v>1059.9269999999999</v>
      </c>
      <c r="BZ64" s="50">
        <f t="shared" si="150"/>
        <v>7.5257362209902534E-2</v>
      </c>
      <c r="CA64" s="352">
        <f>+Расходы!K14/1000</f>
        <v>0</v>
      </c>
      <c r="CB64" s="51" t="str">
        <f t="shared" si="151"/>
        <v/>
      </c>
      <c r="CC64" s="478">
        <f t="shared" si="110"/>
        <v>-1</v>
      </c>
      <c r="CD64" s="478" t="str">
        <f t="shared" si="111"/>
        <v/>
      </c>
      <c r="CE64" s="479">
        <f>SUM(CE65:CE67)</f>
        <v>0</v>
      </c>
      <c r="CF64" s="50" t="str">
        <f t="shared" si="152"/>
        <v/>
      </c>
      <c r="CG64" s="477">
        <v>1084.2974999999999</v>
      </c>
      <c r="CH64" s="50">
        <f t="shared" si="153"/>
        <v>7.4568164392506714E-2</v>
      </c>
      <c r="CI64" s="352">
        <f>+Расходы!L14/1000</f>
        <v>0</v>
      </c>
      <c r="CJ64" s="51" t="str">
        <f t="shared" si="154"/>
        <v/>
      </c>
      <c r="CK64" s="478">
        <f t="shared" si="112"/>
        <v>-1</v>
      </c>
      <c r="CL64" s="478" t="str">
        <f t="shared" si="113"/>
        <v/>
      </c>
      <c r="CM64" s="479">
        <f>SUM(CM65:CM67)</f>
        <v>0</v>
      </c>
      <c r="CN64" s="50" t="str">
        <f t="shared" si="155"/>
        <v/>
      </c>
      <c r="CO64" s="477">
        <v>1096.854</v>
      </c>
      <c r="CP64" s="50">
        <f t="shared" si="156"/>
        <v>7.1011801995777474E-2</v>
      </c>
      <c r="CQ64" s="352">
        <f>+Расходы!M14/1000</f>
        <v>0</v>
      </c>
      <c r="CR64" s="51" t="str">
        <f t="shared" si="157"/>
        <v/>
      </c>
      <c r="CS64" s="478">
        <f t="shared" si="114"/>
        <v>-1</v>
      </c>
      <c r="CT64" s="478" t="str">
        <f t="shared" si="115"/>
        <v/>
      </c>
      <c r="CU64" s="479">
        <f t="shared" si="24"/>
        <v>0</v>
      </c>
      <c r="CV64" s="50" t="str">
        <f t="shared" si="116"/>
        <v/>
      </c>
      <c r="CW64" s="477">
        <f t="shared" si="26"/>
        <v>7241.9639999999999</v>
      </c>
      <c r="CX64" s="50">
        <f t="shared" si="117"/>
        <v>5.4611004739807095E-2</v>
      </c>
      <c r="CY64" s="352">
        <f t="shared" si="118"/>
        <v>863.29174000000012</v>
      </c>
      <c r="CZ64" s="51">
        <f t="shared" si="119"/>
        <v>1.740190341514564E-2</v>
      </c>
      <c r="DA64" s="478">
        <f t="shared" si="120"/>
        <v>-0.88079314672097242</v>
      </c>
      <c r="DB64" s="478" t="str">
        <f t="shared" si="121"/>
        <v/>
      </c>
    </row>
    <row r="65" spans="2:106" s="103" customFormat="1" ht="13.15" customHeight="1" outlineLevel="2">
      <c r="B65" s="61" t="str">
        <f>+Расходы!A15</f>
        <v>Взносы ФОТ</v>
      </c>
      <c r="C65" s="238"/>
      <c r="D65" s="54" t="str">
        <f t="shared" si="122"/>
        <v/>
      </c>
      <c r="E65" s="238"/>
      <c r="F65" s="54" t="str">
        <f t="shared" si="123"/>
        <v/>
      </c>
      <c r="G65" s="353">
        <f>+Расходы!B15/1000</f>
        <v>0</v>
      </c>
      <c r="H65" s="54" t="str">
        <f t="shared" si="124"/>
        <v/>
      </c>
      <c r="I65" s="468" t="str">
        <f t="shared" si="92"/>
        <v/>
      </c>
      <c r="J65" s="468" t="str">
        <f t="shared" si="93"/>
        <v/>
      </c>
      <c r="K65" s="238"/>
      <c r="L65" s="54" t="str">
        <f t="shared" si="125"/>
        <v/>
      </c>
      <c r="M65" s="238"/>
      <c r="N65" s="54" t="str">
        <f t="shared" si="126"/>
        <v/>
      </c>
      <c r="O65" s="353">
        <f>+Расходы!C15/1000</f>
        <v>0</v>
      </c>
      <c r="P65" s="54" t="str">
        <f t="shared" si="127"/>
        <v/>
      </c>
      <c r="Q65" s="468" t="str">
        <f t="shared" si="94"/>
        <v/>
      </c>
      <c r="R65" s="468" t="str">
        <f t="shared" si="95"/>
        <v/>
      </c>
      <c r="S65" s="238"/>
      <c r="T65" s="54" t="str">
        <f t="shared" si="128"/>
        <v/>
      </c>
      <c r="U65" s="238">
        <v>0</v>
      </c>
      <c r="V65" s="54" t="str">
        <f t="shared" si="129"/>
        <v/>
      </c>
      <c r="W65" s="353">
        <f>+Расходы!D15/1000</f>
        <v>0</v>
      </c>
      <c r="X65" s="54" t="str">
        <f t="shared" si="130"/>
        <v/>
      </c>
      <c r="Y65" s="468" t="str">
        <f t="shared" si="96"/>
        <v/>
      </c>
      <c r="Z65" s="468" t="str">
        <f t="shared" si="97"/>
        <v/>
      </c>
      <c r="AA65" s="238"/>
      <c r="AB65" s="54" t="str">
        <f t="shared" si="131"/>
        <v/>
      </c>
      <c r="AC65" s="238">
        <v>0</v>
      </c>
      <c r="AD65" s="54" t="str">
        <f t="shared" si="132"/>
        <v/>
      </c>
      <c r="AE65" s="353">
        <f>+Расходы!E15/1000</f>
        <v>110.87094</v>
      </c>
      <c r="AF65" s="54">
        <f t="shared" si="133"/>
        <v>8.084979435872006E-3</v>
      </c>
      <c r="AG65" s="468" t="str">
        <f t="shared" si="98"/>
        <v/>
      </c>
      <c r="AH65" s="468" t="str">
        <f t="shared" si="99"/>
        <v/>
      </c>
      <c r="AI65" s="238"/>
      <c r="AJ65" s="54" t="str">
        <f t="shared" si="134"/>
        <v/>
      </c>
      <c r="AK65" s="238">
        <v>0</v>
      </c>
      <c r="AL65" s="54" t="str">
        <f t="shared" si="135"/>
        <v/>
      </c>
      <c r="AM65" s="353">
        <f>+Расходы!F15/1000</f>
        <v>148.33589999999998</v>
      </c>
      <c r="AN65" s="54">
        <f t="shared" si="136"/>
        <v>9.4405759967007338E-3</v>
      </c>
      <c r="AO65" s="468" t="str">
        <f t="shared" si="100"/>
        <v/>
      </c>
      <c r="AP65" s="468" t="str">
        <f t="shared" si="101"/>
        <v/>
      </c>
      <c r="AQ65" s="344"/>
      <c r="AR65" s="54" t="str">
        <f t="shared" si="137"/>
        <v/>
      </c>
      <c r="AS65" s="238">
        <v>0</v>
      </c>
      <c r="AT65" s="54" t="str">
        <f t="shared" si="138"/>
        <v/>
      </c>
      <c r="AU65" s="353">
        <f>+Расходы!G15/1000</f>
        <v>239.8939</v>
      </c>
      <c r="AV65" s="54">
        <f t="shared" si="139"/>
        <v>1.6830701776726048E-2</v>
      </c>
      <c r="AW65" s="468" t="str">
        <f t="shared" si="102"/>
        <v/>
      </c>
      <c r="AX65" s="468" t="str">
        <f t="shared" si="103"/>
        <v/>
      </c>
      <c r="AY65" s="344"/>
      <c r="AZ65" s="54" t="str">
        <f t="shared" si="140"/>
        <v/>
      </c>
      <c r="BA65" s="238">
        <v>0</v>
      </c>
      <c r="BB65" s="54" t="str">
        <f t="shared" si="141"/>
        <v/>
      </c>
      <c r="BC65" s="353">
        <f>+Расходы!H15/1000</f>
        <v>0</v>
      </c>
      <c r="BD65" s="54" t="str">
        <f t="shared" si="142"/>
        <v/>
      </c>
      <c r="BE65" s="468" t="str">
        <f t="shared" si="104"/>
        <v/>
      </c>
      <c r="BF65" s="468" t="str">
        <f t="shared" si="105"/>
        <v/>
      </c>
      <c r="BG65" s="344"/>
      <c r="BH65" s="54" t="str">
        <f t="shared" si="143"/>
        <v/>
      </c>
      <c r="BI65" s="238">
        <v>0</v>
      </c>
      <c r="BJ65" s="54" t="str">
        <f t="shared" si="144"/>
        <v/>
      </c>
      <c r="BK65" s="353">
        <f>+Расходы!I15/1000</f>
        <v>0</v>
      </c>
      <c r="BL65" s="54" t="str">
        <f t="shared" si="145"/>
        <v/>
      </c>
      <c r="BM65" s="468" t="str">
        <f t="shared" si="106"/>
        <v/>
      </c>
      <c r="BN65" s="468" t="str">
        <f t="shared" si="107"/>
        <v/>
      </c>
      <c r="BO65" s="344"/>
      <c r="BP65" s="54" t="str">
        <f t="shared" si="146"/>
        <v/>
      </c>
      <c r="BQ65" s="238">
        <v>0</v>
      </c>
      <c r="BR65" s="54" t="str">
        <f t="shared" si="147"/>
        <v/>
      </c>
      <c r="BS65" s="353">
        <f>+Расходы!J15/1000</f>
        <v>0</v>
      </c>
      <c r="BT65" s="54" t="str">
        <f t="shared" si="148"/>
        <v/>
      </c>
      <c r="BU65" s="468" t="str">
        <f t="shared" si="108"/>
        <v/>
      </c>
      <c r="BV65" s="468" t="str">
        <f t="shared" si="109"/>
        <v/>
      </c>
      <c r="BW65" s="344"/>
      <c r="BX65" s="54" t="str">
        <f t="shared" si="149"/>
        <v/>
      </c>
      <c r="BY65" s="238">
        <v>0</v>
      </c>
      <c r="BZ65" s="54" t="str">
        <f t="shared" si="150"/>
        <v/>
      </c>
      <c r="CA65" s="353">
        <f>+Расходы!K15/1000</f>
        <v>0</v>
      </c>
      <c r="CB65" s="54" t="str">
        <f t="shared" si="151"/>
        <v/>
      </c>
      <c r="CC65" s="468" t="str">
        <f t="shared" si="110"/>
        <v/>
      </c>
      <c r="CD65" s="468" t="str">
        <f t="shared" si="111"/>
        <v/>
      </c>
      <c r="CE65" s="344"/>
      <c r="CF65" s="54" t="str">
        <f t="shared" si="152"/>
        <v/>
      </c>
      <c r="CG65" s="238">
        <v>0</v>
      </c>
      <c r="CH65" s="54" t="str">
        <f t="shared" si="153"/>
        <v/>
      </c>
      <c r="CI65" s="353">
        <f>+Расходы!L15/1000</f>
        <v>0</v>
      </c>
      <c r="CJ65" s="54" t="str">
        <f t="shared" si="154"/>
        <v/>
      </c>
      <c r="CK65" s="468" t="str">
        <f t="shared" si="112"/>
        <v/>
      </c>
      <c r="CL65" s="468" t="str">
        <f t="shared" si="113"/>
        <v/>
      </c>
      <c r="CM65" s="344"/>
      <c r="CN65" s="54" t="str">
        <f t="shared" si="155"/>
        <v/>
      </c>
      <c r="CO65" s="238">
        <v>0</v>
      </c>
      <c r="CP65" s="54" t="str">
        <f t="shared" si="156"/>
        <v/>
      </c>
      <c r="CQ65" s="353">
        <f>+Расходы!M15/1000</f>
        <v>0</v>
      </c>
      <c r="CR65" s="54" t="str">
        <f t="shared" si="157"/>
        <v/>
      </c>
      <c r="CS65" s="468" t="str">
        <f t="shared" si="114"/>
        <v/>
      </c>
      <c r="CT65" s="468" t="str">
        <f t="shared" si="115"/>
        <v/>
      </c>
      <c r="CU65" s="344">
        <f t="shared" si="24"/>
        <v>0</v>
      </c>
      <c r="CV65" s="54" t="str">
        <f t="shared" si="116"/>
        <v/>
      </c>
      <c r="CW65" s="238">
        <f t="shared" si="26"/>
        <v>0</v>
      </c>
      <c r="CX65" s="54">
        <f t="shared" si="117"/>
        <v>0</v>
      </c>
      <c r="CY65" s="353">
        <f t="shared" si="118"/>
        <v>499.10073999999997</v>
      </c>
      <c r="CZ65" s="54">
        <f t="shared" si="119"/>
        <v>1.0060681076257853E-2</v>
      </c>
      <c r="DA65" s="468" t="str">
        <f t="shared" si="120"/>
        <v/>
      </c>
      <c r="DB65" s="468" t="str">
        <f t="shared" si="121"/>
        <v/>
      </c>
    </row>
    <row r="66" spans="2:106" s="103" customFormat="1" ht="13.15" customHeight="1" outlineLevel="2">
      <c r="B66" s="61" t="str">
        <f>+Расходы!A16</f>
        <v>НДФЛ ФОТ</v>
      </c>
      <c r="C66" s="238"/>
      <c r="D66" s="54" t="str">
        <f t="shared" si="122"/>
        <v/>
      </c>
      <c r="E66" s="238"/>
      <c r="F66" s="54" t="str">
        <f t="shared" si="123"/>
        <v/>
      </c>
      <c r="G66" s="353">
        <f>+Расходы!B16/1000</f>
        <v>0</v>
      </c>
      <c r="H66" s="54" t="str">
        <f t="shared" si="124"/>
        <v/>
      </c>
      <c r="I66" s="468" t="str">
        <f t="shared" si="92"/>
        <v/>
      </c>
      <c r="J66" s="468" t="str">
        <f t="shared" si="93"/>
        <v/>
      </c>
      <c r="K66" s="238"/>
      <c r="L66" s="54" t="str">
        <f t="shared" si="125"/>
        <v/>
      </c>
      <c r="M66" s="238"/>
      <c r="N66" s="54" t="str">
        <f t="shared" si="126"/>
        <v/>
      </c>
      <c r="O66" s="353">
        <f>+Расходы!C16/1000</f>
        <v>0</v>
      </c>
      <c r="P66" s="54" t="str">
        <f t="shared" si="127"/>
        <v/>
      </c>
      <c r="Q66" s="468" t="str">
        <f t="shared" si="94"/>
        <v/>
      </c>
      <c r="R66" s="468" t="str">
        <f t="shared" si="95"/>
        <v/>
      </c>
      <c r="S66" s="238"/>
      <c r="T66" s="54" t="str">
        <f t="shared" si="128"/>
        <v/>
      </c>
      <c r="U66" s="238">
        <v>0</v>
      </c>
      <c r="V66" s="54" t="str">
        <f t="shared" si="129"/>
        <v/>
      </c>
      <c r="W66" s="353">
        <f>+Расходы!D16/1000</f>
        <v>0</v>
      </c>
      <c r="X66" s="54" t="str">
        <f t="shared" si="130"/>
        <v/>
      </c>
      <c r="Y66" s="468" t="str">
        <f t="shared" si="96"/>
        <v/>
      </c>
      <c r="Z66" s="468" t="str">
        <f t="shared" si="97"/>
        <v/>
      </c>
      <c r="AA66" s="238"/>
      <c r="AB66" s="54" t="str">
        <f t="shared" si="131"/>
        <v/>
      </c>
      <c r="AC66" s="238">
        <v>0</v>
      </c>
      <c r="AD66" s="54" t="str">
        <f t="shared" si="132"/>
        <v/>
      </c>
      <c r="AE66" s="353">
        <f>+Расходы!E16/1000</f>
        <v>65.643000000000001</v>
      </c>
      <c r="AF66" s="54">
        <f t="shared" si="133"/>
        <v>4.7868477087769446E-3</v>
      </c>
      <c r="AG66" s="468" t="str">
        <f t="shared" si="98"/>
        <v/>
      </c>
      <c r="AH66" s="468" t="str">
        <f t="shared" si="99"/>
        <v/>
      </c>
      <c r="AI66" s="238"/>
      <c r="AJ66" s="54" t="str">
        <f t="shared" si="134"/>
        <v/>
      </c>
      <c r="AK66" s="238">
        <v>0</v>
      </c>
      <c r="AL66" s="54" t="str">
        <f t="shared" si="135"/>
        <v/>
      </c>
      <c r="AM66" s="353">
        <f>+Расходы!F16/1000</f>
        <v>153.495</v>
      </c>
      <c r="AN66" s="54">
        <f t="shared" si="136"/>
        <v>9.7689177914016719E-3</v>
      </c>
      <c r="AO66" s="468" t="str">
        <f t="shared" si="100"/>
        <v/>
      </c>
      <c r="AP66" s="468" t="str">
        <f t="shared" si="101"/>
        <v/>
      </c>
      <c r="AQ66" s="344"/>
      <c r="AR66" s="54" t="str">
        <f t="shared" si="137"/>
        <v/>
      </c>
      <c r="AS66" s="238">
        <v>0</v>
      </c>
      <c r="AT66" s="54" t="str">
        <f t="shared" si="138"/>
        <v/>
      </c>
      <c r="AU66" s="353">
        <f>+Расходы!G16/1000</f>
        <v>135.59899999999999</v>
      </c>
      <c r="AV66" s="54">
        <f t="shared" si="139"/>
        <v>9.5134821278168181E-3</v>
      </c>
      <c r="AW66" s="468" t="str">
        <f t="shared" si="102"/>
        <v/>
      </c>
      <c r="AX66" s="468" t="str">
        <f t="shared" si="103"/>
        <v/>
      </c>
      <c r="AY66" s="344"/>
      <c r="AZ66" s="54" t="str">
        <f t="shared" si="140"/>
        <v/>
      </c>
      <c r="BA66" s="238">
        <v>0</v>
      </c>
      <c r="BB66" s="54" t="str">
        <f t="shared" si="141"/>
        <v/>
      </c>
      <c r="BC66" s="353">
        <f>+Расходы!H16/1000</f>
        <v>0</v>
      </c>
      <c r="BD66" s="54" t="str">
        <f t="shared" si="142"/>
        <v/>
      </c>
      <c r="BE66" s="468" t="str">
        <f t="shared" si="104"/>
        <v/>
      </c>
      <c r="BF66" s="468" t="str">
        <f t="shared" si="105"/>
        <v/>
      </c>
      <c r="BG66" s="344"/>
      <c r="BH66" s="54" t="str">
        <f t="shared" si="143"/>
        <v/>
      </c>
      <c r="BI66" s="238">
        <v>0</v>
      </c>
      <c r="BJ66" s="54" t="str">
        <f t="shared" si="144"/>
        <v/>
      </c>
      <c r="BK66" s="353">
        <f>+Расходы!I16/1000</f>
        <v>0</v>
      </c>
      <c r="BL66" s="54" t="str">
        <f t="shared" si="145"/>
        <v/>
      </c>
      <c r="BM66" s="468" t="str">
        <f t="shared" si="106"/>
        <v/>
      </c>
      <c r="BN66" s="468" t="str">
        <f t="shared" si="107"/>
        <v/>
      </c>
      <c r="BO66" s="344"/>
      <c r="BP66" s="54" t="str">
        <f t="shared" si="146"/>
        <v/>
      </c>
      <c r="BQ66" s="238">
        <v>0</v>
      </c>
      <c r="BR66" s="54" t="str">
        <f t="shared" si="147"/>
        <v/>
      </c>
      <c r="BS66" s="353">
        <f>+Расходы!J16/1000</f>
        <v>0</v>
      </c>
      <c r="BT66" s="54" t="str">
        <f t="shared" si="148"/>
        <v/>
      </c>
      <c r="BU66" s="468" t="str">
        <f t="shared" si="108"/>
        <v/>
      </c>
      <c r="BV66" s="468" t="str">
        <f t="shared" si="109"/>
        <v/>
      </c>
      <c r="BW66" s="344"/>
      <c r="BX66" s="54" t="str">
        <f t="shared" si="149"/>
        <v/>
      </c>
      <c r="BY66" s="238">
        <v>0</v>
      </c>
      <c r="BZ66" s="54" t="str">
        <f t="shared" si="150"/>
        <v/>
      </c>
      <c r="CA66" s="353">
        <f>+Расходы!K16/1000</f>
        <v>0</v>
      </c>
      <c r="CB66" s="54" t="str">
        <f t="shared" si="151"/>
        <v/>
      </c>
      <c r="CC66" s="468" t="str">
        <f t="shared" si="110"/>
        <v/>
      </c>
      <c r="CD66" s="468" t="str">
        <f t="shared" si="111"/>
        <v/>
      </c>
      <c r="CE66" s="344"/>
      <c r="CF66" s="54" t="str">
        <f t="shared" si="152"/>
        <v/>
      </c>
      <c r="CG66" s="238">
        <v>0</v>
      </c>
      <c r="CH66" s="54" t="str">
        <f t="shared" si="153"/>
        <v/>
      </c>
      <c r="CI66" s="353">
        <f>+Расходы!L16/1000</f>
        <v>0</v>
      </c>
      <c r="CJ66" s="54" t="str">
        <f t="shared" si="154"/>
        <v/>
      </c>
      <c r="CK66" s="468" t="str">
        <f t="shared" si="112"/>
        <v/>
      </c>
      <c r="CL66" s="468" t="str">
        <f t="shared" si="113"/>
        <v/>
      </c>
      <c r="CM66" s="344"/>
      <c r="CN66" s="54" t="str">
        <f t="shared" si="155"/>
        <v/>
      </c>
      <c r="CO66" s="238">
        <v>0</v>
      </c>
      <c r="CP66" s="54" t="str">
        <f t="shared" si="156"/>
        <v/>
      </c>
      <c r="CQ66" s="353">
        <f>+Расходы!M16/1000</f>
        <v>0</v>
      </c>
      <c r="CR66" s="54" t="str">
        <f t="shared" si="157"/>
        <v/>
      </c>
      <c r="CS66" s="468" t="str">
        <f t="shared" si="114"/>
        <v/>
      </c>
      <c r="CT66" s="468" t="str">
        <f t="shared" si="115"/>
        <v/>
      </c>
      <c r="CU66" s="344">
        <f t="shared" si="24"/>
        <v>0</v>
      </c>
      <c r="CV66" s="54" t="str">
        <f t="shared" si="116"/>
        <v/>
      </c>
      <c r="CW66" s="238">
        <f t="shared" si="26"/>
        <v>0</v>
      </c>
      <c r="CX66" s="54">
        <f t="shared" si="117"/>
        <v>0</v>
      </c>
      <c r="CY66" s="353">
        <f t="shared" si="118"/>
        <v>354.73699999999997</v>
      </c>
      <c r="CZ66" s="54">
        <f t="shared" si="119"/>
        <v>7.1506522369581774E-3</v>
      </c>
      <c r="DA66" s="468" t="str">
        <f t="shared" si="120"/>
        <v/>
      </c>
      <c r="DB66" s="468" t="str">
        <f t="shared" si="121"/>
        <v/>
      </c>
    </row>
    <row r="67" spans="2:106" s="103" customFormat="1" ht="13.15" customHeight="1" outlineLevel="2" collapsed="1">
      <c r="B67" s="61" t="str">
        <f>+Расходы!A17</f>
        <v>Самозанятые комиссия</v>
      </c>
      <c r="C67" s="238"/>
      <c r="D67" s="54" t="str">
        <f t="shared" si="122"/>
        <v/>
      </c>
      <c r="E67" s="238"/>
      <c r="F67" s="54" t="str">
        <f t="shared" si="123"/>
        <v/>
      </c>
      <c r="G67" s="353">
        <f>+Расходы!B17/1000</f>
        <v>0</v>
      </c>
      <c r="H67" s="54" t="str">
        <f t="shared" si="124"/>
        <v/>
      </c>
      <c r="I67" s="468" t="str">
        <f t="shared" si="92"/>
        <v/>
      </c>
      <c r="J67" s="468" t="str">
        <f t="shared" si="93"/>
        <v/>
      </c>
      <c r="K67" s="238"/>
      <c r="L67" s="54" t="str">
        <f t="shared" si="125"/>
        <v/>
      </c>
      <c r="M67" s="238"/>
      <c r="N67" s="54" t="str">
        <f t="shared" si="126"/>
        <v/>
      </c>
      <c r="O67" s="353">
        <f>+Расходы!C17/1000</f>
        <v>0</v>
      </c>
      <c r="P67" s="54" t="str">
        <f t="shared" si="127"/>
        <v/>
      </c>
      <c r="Q67" s="468" t="str">
        <f t="shared" si="94"/>
        <v/>
      </c>
      <c r="R67" s="468" t="str">
        <f t="shared" si="95"/>
        <v/>
      </c>
      <c r="S67" s="238"/>
      <c r="T67" s="54" t="str">
        <f t="shared" si="128"/>
        <v/>
      </c>
      <c r="U67" s="238">
        <v>0</v>
      </c>
      <c r="V67" s="54" t="str">
        <f t="shared" si="129"/>
        <v/>
      </c>
      <c r="W67" s="353">
        <f>+Расходы!D17/1000</f>
        <v>3.18</v>
      </c>
      <c r="X67" s="54">
        <f t="shared" si="130"/>
        <v>5.3626536703823007E-4</v>
      </c>
      <c r="Y67" s="468" t="str">
        <f t="shared" si="96"/>
        <v/>
      </c>
      <c r="Z67" s="468" t="str">
        <f t="shared" si="97"/>
        <v/>
      </c>
      <c r="AA67" s="238"/>
      <c r="AB67" s="54" t="str">
        <f t="shared" si="131"/>
        <v/>
      </c>
      <c r="AC67" s="238">
        <v>0</v>
      </c>
      <c r="AD67" s="54" t="str">
        <f t="shared" si="132"/>
        <v/>
      </c>
      <c r="AE67" s="353">
        <f>+Расходы!E17/1000</f>
        <v>3.1920000000000002</v>
      </c>
      <c r="AF67" s="54">
        <f t="shared" si="133"/>
        <v>2.3276842750051045E-4</v>
      </c>
      <c r="AG67" s="468" t="str">
        <f t="shared" si="98"/>
        <v/>
      </c>
      <c r="AH67" s="468" t="str">
        <f t="shared" si="99"/>
        <v/>
      </c>
      <c r="AI67" s="238"/>
      <c r="AJ67" s="54" t="str">
        <f t="shared" si="134"/>
        <v/>
      </c>
      <c r="AK67" s="238">
        <v>0</v>
      </c>
      <c r="AL67" s="54" t="str">
        <f t="shared" si="135"/>
        <v/>
      </c>
      <c r="AM67" s="353">
        <f>+Расходы!F17/1000</f>
        <v>3.0819999999999999</v>
      </c>
      <c r="AN67" s="54">
        <f t="shared" si="136"/>
        <v>1.9614843892700056E-4</v>
      </c>
      <c r="AO67" s="468" t="str">
        <f t="shared" si="100"/>
        <v/>
      </c>
      <c r="AP67" s="468" t="str">
        <f t="shared" si="101"/>
        <v/>
      </c>
      <c r="AQ67" s="344"/>
      <c r="AR67" s="54" t="str">
        <f t="shared" si="137"/>
        <v/>
      </c>
      <c r="AS67" s="238">
        <v>0</v>
      </c>
      <c r="AT67" s="54" t="str">
        <f t="shared" si="138"/>
        <v/>
      </c>
      <c r="AU67" s="353">
        <f>+Расходы!G17/1000</f>
        <v>0</v>
      </c>
      <c r="AV67" s="54" t="str">
        <f t="shared" si="139"/>
        <v/>
      </c>
      <c r="AW67" s="468" t="str">
        <f t="shared" si="102"/>
        <v/>
      </c>
      <c r="AX67" s="468" t="str">
        <f t="shared" si="103"/>
        <v/>
      </c>
      <c r="AY67" s="344"/>
      <c r="AZ67" s="54" t="str">
        <f t="shared" si="140"/>
        <v/>
      </c>
      <c r="BA67" s="238">
        <v>0</v>
      </c>
      <c r="BB67" s="54" t="str">
        <f t="shared" si="141"/>
        <v/>
      </c>
      <c r="BC67" s="353">
        <f>+Расходы!H17/1000</f>
        <v>0</v>
      </c>
      <c r="BD67" s="54" t="str">
        <f t="shared" si="142"/>
        <v/>
      </c>
      <c r="BE67" s="468" t="str">
        <f t="shared" si="104"/>
        <v/>
      </c>
      <c r="BF67" s="468" t="str">
        <f t="shared" si="105"/>
        <v/>
      </c>
      <c r="BG67" s="344"/>
      <c r="BH67" s="54" t="str">
        <f t="shared" si="143"/>
        <v/>
      </c>
      <c r="BI67" s="238">
        <v>0</v>
      </c>
      <c r="BJ67" s="54" t="str">
        <f t="shared" si="144"/>
        <v/>
      </c>
      <c r="BK67" s="353">
        <f>+Расходы!I17/1000</f>
        <v>0</v>
      </c>
      <c r="BL67" s="54" t="str">
        <f t="shared" si="145"/>
        <v/>
      </c>
      <c r="BM67" s="468" t="str">
        <f t="shared" si="106"/>
        <v/>
      </c>
      <c r="BN67" s="468" t="str">
        <f t="shared" si="107"/>
        <v/>
      </c>
      <c r="BO67" s="344"/>
      <c r="BP67" s="54" t="str">
        <f t="shared" si="146"/>
        <v/>
      </c>
      <c r="BQ67" s="238">
        <v>0</v>
      </c>
      <c r="BR67" s="54" t="str">
        <f t="shared" si="147"/>
        <v/>
      </c>
      <c r="BS67" s="353">
        <f>+Расходы!J17/1000</f>
        <v>0</v>
      </c>
      <c r="BT67" s="54" t="str">
        <f t="shared" si="148"/>
        <v/>
      </c>
      <c r="BU67" s="468" t="str">
        <f t="shared" si="108"/>
        <v/>
      </c>
      <c r="BV67" s="468" t="str">
        <f t="shared" si="109"/>
        <v/>
      </c>
      <c r="BW67" s="344"/>
      <c r="BX67" s="54" t="str">
        <f t="shared" si="149"/>
        <v/>
      </c>
      <c r="BY67" s="238">
        <v>0</v>
      </c>
      <c r="BZ67" s="54" t="str">
        <f t="shared" si="150"/>
        <v/>
      </c>
      <c r="CA67" s="353">
        <f>+Расходы!K17/1000</f>
        <v>0</v>
      </c>
      <c r="CB67" s="54" t="str">
        <f t="shared" si="151"/>
        <v/>
      </c>
      <c r="CC67" s="468" t="str">
        <f t="shared" si="110"/>
        <v/>
      </c>
      <c r="CD67" s="468" t="str">
        <f t="shared" si="111"/>
        <v/>
      </c>
      <c r="CE67" s="344"/>
      <c r="CF67" s="54" t="str">
        <f t="shared" si="152"/>
        <v/>
      </c>
      <c r="CG67" s="238">
        <v>0</v>
      </c>
      <c r="CH67" s="54" t="str">
        <f t="shared" si="153"/>
        <v/>
      </c>
      <c r="CI67" s="353">
        <f>+Расходы!L17/1000</f>
        <v>0</v>
      </c>
      <c r="CJ67" s="54" t="str">
        <f t="shared" si="154"/>
        <v/>
      </c>
      <c r="CK67" s="468" t="str">
        <f t="shared" si="112"/>
        <v/>
      </c>
      <c r="CL67" s="468" t="str">
        <f t="shared" si="113"/>
        <v/>
      </c>
      <c r="CM67" s="344"/>
      <c r="CN67" s="54" t="str">
        <f t="shared" si="155"/>
        <v/>
      </c>
      <c r="CO67" s="238">
        <v>0</v>
      </c>
      <c r="CP67" s="54" t="str">
        <f t="shared" si="156"/>
        <v/>
      </c>
      <c r="CQ67" s="353">
        <f>+Расходы!M17/1000</f>
        <v>0</v>
      </c>
      <c r="CR67" s="54" t="str">
        <f t="shared" si="157"/>
        <v/>
      </c>
      <c r="CS67" s="468" t="str">
        <f t="shared" si="114"/>
        <v/>
      </c>
      <c r="CT67" s="468" t="str">
        <f t="shared" si="115"/>
        <v/>
      </c>
      <c r="CU67" s="344">
        <f t="shared" si="24"/>
        <v>0</v>
      </c>
      <c r="CV67" s="54" t="str">
        <f t="shared" si="116"/>
        <v/>
      </c>
      <c r="CW67" s="238">
        <f t="shared" si="26"/>
        <v>0</v>
      </c>
      <c r="CX67" s="54">
        <f t="shared" si="117"/>
        <v>0</v>
      </c>
      <c r="CY67" s="353">
        <f t="shared" si="118"/>
        <v>9.4540000000000006</v>
      </c>
      <c r="CZ67" s="54">
        <f t="shared" si="119"/>
        <v>1.9057010192960594E-4</v>
      </c>
      <c r="DA67" s="468" t="str">
        <f t="shared" si="120"/>
        <v/>
      </c>
      <c r="DB67" s="468" t="str">
        <f t="shared" si="121"/>
        <v/>
      </c>
    </row>
    <row r="68" spans="2:106" s="103" customFormat="1" ht="13.9" customHeight="1" outlineLevel="1">
      <c r="B68" s="58" t="str">
        <f>+Расходы!A18</f>
        <v>Затраты на персонал</v>
      </c>
      <c r="C68" s="480">
        <f>SUM(C69:C78)</f>
        <v>0</v>
      </c>
      <c r="D68" s="51" t="str">
        <f t="shared" si="122"/>
        <v/>
      </c>
      <c r="E68" s="480">
        <f>SUM(E69:E78)</f>
        <v>0</v>
      </c>
      <c r="F68" s="51" t="str">
        <f t="shared" si="123"/>
        <v/>
      </c>
      <c r="G68" s="354">
        <f>+Расходы!B18/1000</f>
        <v>0</v>
      </c>
      <c r="H68" s="51" t="str">
        <f t="shared" si="124"/>
        <v/>
      </c>
      <c r="I68" s="478" t="str">
        <f t="shared" si="92"/>
        <v/>
      </c>
      <c r="J68" s="478" t="str">
        <f t="shared" si="93"/>
        <v/>
      </c>
      <c r="K68" s="480">
        <f>SUM(K69:K78)</f>
        <v>0</v>
      </c>
      <c r="L68" s="51" t="str">
        <f t="shared" si="125"/>
        <v/>
      </c>
      <c r="M68" s="480">
        <f>SUM(M69:M78)</f>
        <v>0</v>
      </c>
      <c r="N68" s="51" t="str">
        <f t="shared" si="126"/>
        <v/>
      </c>
      <c r="O68" s="354">
        <f>+Расходы!C18/1000</f>
        <v>0</v>
      </c>
      <c r="P68" s="51" t="str">
        <f t="shared" si="127"/>
        <v/>
      </c>
      <c r="Q68" s="478" t="str">
        <f t="shared" si="94"/>
        <v/>
      </c>
      <c r="R68" s="478" t="str">
        <f t="shared" si="95"/>
        <v/>
      </c>
      <c r="S68" s="480">
        <f>SUM(S69:S78)</f>
        <v>0</v>
      </c>
      <c r="T68" s="51" t="str">
        <f t="shared" si="128"/>
        <v/>
      </c>
      <c r="U68" s="480">
        <f>SUM(U69:U78)</f>
        <v>0</v>
      </c>
      <c r="V68" s="51" t="str">
        <f t="shared" si="129"/>
        <v/>
      </c>
      <c r="W68" s="354">
        <f>+Расходы!D18/1000</f>
        <v>176.92275000000001</v>
      </c>
      <c r="X68" s="51">
        <f t="shared" si="130"/>
        <v>2.9835705492504094E-2</v>
      </c>
      <c r="Y68" s="478" t="str">
        <f t="shared" si="96"/>
        <v/>
      </c>
      <c r="Z68" s="478" t="str">
        <f t="shared" si="97"/>
        <v/>
      </c>
      <c r="AA68" s="480">
        <f>SUM(AA69:AA78)</f>
        <v>0</v>
      </c>
      <c r="AB68" s="51" t="str">
        <f t="shared" si="131"/>
        <v/>
      </c>
      <c r="AC68" s="480">
        <f>SUM(AC69:AC78)</f>
        <v>400</v>
      </c>
      <c r="AD68" s="51">
        <f t="shared" si="132"/>
        <v>2.9257217755620311E-2</v>
      </c>
      <c r="AE68" s="354">
        <f>+Расходы!E18/1000</f>
        <v>457.06824999999998</v>
      </c>
      <c r="AF68" s="51">
        <f t="shared" si="133"/>
        <v>3.333053189627512E-2</v>
      </c>
      <c r="AG68" s="478">
        <f t="shared" si="98"/>
        <v>0.14267062500000005</v>
      </c>
      <c r="AH68" s="478" t="str">
        <f t="shared" si="99"/>
        <v/>
      </c>
      <c r="AI68" s="480">
        <f>SUM(AI69:AI78)</f>
        <v>0</v>
      </c>
      <c r="AJ68" s="51" t="str">
        <f t="shared" si="134"/>
        <v/>
      </c>
      <c r="AK68" s="480">
        <f>SUM(AK69:AK78)</f>
        <v>410</v>
      </c>
      <c r="AL68" s="51">
        <f t="shared" si="135"/>
        <v>2.9344403091898081E-2</v>
      </c>
      <c r="AM68" s="354">
        <f>+Расходы!F18/1000</f>
        <v>416.75132000000002</v>
      </c>
      <c r="AN68" s="51">
        <f t="shared" si="136"/>
        <v>2.6523400661507747E-2</v>
      </c>
      <c r="AO68" s="478">
        <f t="shared" si="100"/>
        <v>1.646663414634153E-2</v>
      </c>
      <c r="AP68" s="478" t="str">
        <f t="shared" si="101"/>
        <v/>
      </c>
      <c r="AQ68" s="481">
        <f>SUM(AQ69:AQ78)</f>
        <v>0</v>
      </c>
      <c r="AR68" s="51" t="str">
        <f t="shared" si="137"/>
        <v/>
      </c>
      <c r="AS68" s="480">
        <f>SUM(AS69:AS78)</f>
        <v>545</v>
      </c>
      <c r="AT68" s="51">
        <f t="shared" si="138"/>
        <v>3.614058355437666E-2</v>
      </c>
      <c r="AU68" s="354">
        <f>+Расходы!G18/1000</f>
        <v>457.02009999999996</v>
      </c>
      <c r="AV68" s="51">
        <f t="shared" si="139"/>
        <v>3.2064045851393115E-2</v>
      </c>
      <c r="AW68" s="478">
        <f t="shared" si="102"/>
        <v>-0.16143100917431197</v>
      </c>
      <c r="AX68" s="478" t="str">
        <f t="shared" si="103"/>
        <v/>
      </c>
      <c r="AY68" s="481">
        <f>SUM(AY69:AY78)</f>
        <v>0</v>
      </c>
      <c r="AZ68" s="51" t="str">
        <f t="shared" si="140"/>
        <v/>
      </c>
      <c r="BA68" s="480">
        <f>SUM(BA69:BA78)</f>
        <v>535</v>
      </c>
      <c r="BB68" s="51">
        <f t="shared" si="141"/>
        <v>3.414711983405138E-2</v>
      </c>
      <c r="BC68" s="354">
        <f>+Расходы!H18/1000</f>
        <v>0</v>
      </c>
      <c r="BD68" s="51" t="str">
        <f t="shared" si="142"/>
        <v/>
      </c>
      <c r="BE68" s="478">
        <f t="shared" si="104"/>
        <v>-1</v>
      </c>
      <c r="BF68" s="478" t="str">
        <f t="shared" si="105"/>
        <v/>
      </c>
      <c r="BG68" s="481">
        <f>SUM(BG69:BG78)</f>
        <v>0</v>
      </c>
      <c r="BH68" s="51" t="str">
        <f t="shared" si="143"/>
        <v/>
      </c>
      <c r="BI68" s="480">
        <f>SUM(BI69:BI78)</f>
        <v>500</v>
      </c>
      <c r="BJ68" s="51">
        <f t="shared" si="144"/>
        <v>3.1913196106590075E-2</v>
      </c>
      <c r="BK68" s="354">
        <f>+Расходы!I18/1000</f>
        <v>0</v>
      </c>
      <c r="BL68" s="51" t="str">
        <f t="shared" si="145"/>
        <v/>
      </c>
      <c r="BM68" s="478">
        <f t="shared" si="106"/>
        <v>-1</v>
      </c>
      <c r="BN68" s="478" t="str">
        <f t="shared" si="107"/>
        <v/>
      </c>
      <c r="BO68" s="481">
        <f>SUM(BO69:BO78)</f>
        <v>0</v>
      </c>
      <c r="BP68" s="51" t="str">
        <f t="shared" si="146"/>
        <v/>
      </c>
      <c r="BQ68" s="480">
        <f>SUM(BQ69:BQ78)</f>
        <v>470</v>
      </c>
      <c r="BR68" s="51">
        <f t="shared" si="147"/>
        <v>3.2458563535911603E-2</v>
      </c>
      <c r="BS68" s="354">
        <f>+Расходы!J18/1000</f>
        <v>0</v>
      </c>
      <c r="BT68" s="51" t="str">
        <f t="shared" si="148"/>
        <v/>
      </c>
      <c r="BU68" s="478">
        <f t="shared" si="108"/>
        <v>-1</v>
      </c>
      <c r="BV68" s="478" t="str">
        <f t="shared" si="109"/>
        <v/>
      </c>
      <c r="BW68" s="481">
        <f>SUM(BW69:BW78)</f>
        <v>0</v>
      </c>
      <c r="BX68" s="51" t="str">
        <f t="shared" si="149"/>
        <v/>
      </c>
      <c r="BY68" s="480">
        <f>SUM(BY69:BY78)</f>
        <v>0</v>
      </c>
      <c r="BZ68" s="51" t="str">
        <f t="shared" si="150"/>
        <v/>
      </c>
      <c r="CA68" s="354">
        <f>+Расходы!K18/1000</f>
        <v>0</v>
      </c>
      <c r="CB68" s="51" t="str">
        <f t="shared" si="151"/>
        <v/>
      </c>
      <c r="CC68" s="478" t="str">
        <f t="shared" si="110"/>
        <v/>
      </c>
      <c r="CD68" s="478" t="str">
        <f t="shared" si="111"/>
        <v/>
      </c>
      <c r="CE68" s="481">
        <f>SUM(CE69:CE78)</f>
        <v>0</v>
      </c>
      <c r="CF68" s="51" t="str">
        <f t="shared" si="152"/>
        <v/>
      </c>
      <c r="CG68" s="480">
        <f>SUM(CG69:CG78)</f>
        <v>0</v>
      </c>
      <c r="CH68" s="51" t="str">
        <f t="shared" si="153"/>
        <v/>
      </c>
      <c r="CI68" s="354">
        <f>+Расходы!L18/1000</f>
        <v>0</v>
      </c>
      <c r="CJ68" s="51" t="str">
        <f t="shared" si="154"/>
        <v/>
      </c>
      <c r="CK68" s="478" t="str">
        <f t="shared" si="112"/>
        <v/>
      </c>
      <c r="CL68" s="478" t="str">
        <f t="shared" si="113"/>
        <v/>
      </c>
      <c r="CM68" s="481">
        <f>SUM(CM69:CM78)</f>
        <v>0</v>
      </c>
      <c r="CN68" s="51" t="str">
        <f t="shared" si="155"/>
        <v/>
      </c>
      <c r="CO68" s="480">
        <f>SUM(CO69:CO78)</f>
        <v>0</v>
      </c>
      <c r="CP68" s="51" t="str">
        <f t="shared" si="156"/>
        <v/>
      </c>
      <c r="CQ68" s="354">
        <f>+Расходы!M18/1000</f>
        <v>0</v>
      </c>
      <c r="CR68" s="51" t="str">
        <f t="shared" si="157"/>
        <v/>
      </c>
      <c r="CS68" s="478" t="str">
        <f t="shared" si="114"/>
        <v/>
      </c>
      <c r="CT68" s="478" t="str">
        <f t="shared" si="115"/>
        <v/>
      </c>
      <c r="CU68" s="481">
        <f t="shared" ref="CU68:CU131" si="158">SUM(C68,K68,S68,AA68,AI68,AQ68,AY68,BG68,BO68,BW68,CE68,CM68)</f>
        <v>0</v>
      </c>
      <c r="CV68" s="51" t="str">
        <f t="shared" si="116"/>
        <v/>
      </c>
      <c r="CW68" s="480">
        <f t="shared" ref="CW68:CW131" si="159">SUM(E68,M68,U68,AC68,AK68,AS68,BA68,BI68,BQ68,BY68,CG68,CO68)</f>
        <v>2860</v>
      </c>
      <c r="CX68" s="51">
        <f t="shared" si="117"/>
        <v>2.1567004966587557E-2</v>
      </c>
      <c r="CY68" s="354">
        <f t="shared" si="118"/>
        <v>1507.76242</v>
      </c>
      <c r="CZ68" s="51">
        <f t="shared" si="119"/>
        <v>3.0392895923950634E-2</v>
      </c>
      <c r="DA68" s="478">
        <f t="shared" si="120"/>
        <v>-0.47281034265734267</v>
      </c>
      <c r="DB68" s="478" t="str">
        <f t="shared" si="121"/>
        <v/>
      </c>
    </row>
    <row r="69" spans="2:106" s="103" customFormat="1" ht="13.9" customHeight="1" outlineLevel="2">
      <c r="B69" s="61" t="str">
        <f>+Расходы!A19</f>
        <v>Компенсация проезда</v>
      </c>
      <c r="C69" s="238"/>
      <c r="D69" s="53" t="str">
        <f t="shared" si="122"/>
        <v/>
      </c>
      <c r="E69" s="238"/>
      <c r="F69" s="53" t="str">
        <f t="shared" si="123"/>
        <v/>
      </c>
      <c r="G69" s="355">
        <f>+Расходы!B19/1000</f>
        <v>0</v>
      </c>
      <c r="H69" s="54" t="str">
        <f t="shared" si="124"/>
        <v/>
      </c>
      <c r="I69" s="468" t="str">
        <f t="shared" si="92"/>
        <v/>
      </c>
      <c r="J69" s="468" t="str">
        <f t="shared" si="93"/>
        <v/>
      </c>
      <c r="K69" s="238"/>
      <c r="L69" s="53" t="str">
        <f t="shared" si="125"/>
        <v/>
      </c>
      <c r="M69" s="238"/>
      <c r="N69" s="53" t="str">
        <f t="shared" si="126"/>
        <v/>
      </c>
      <c r="O69" s="355">
        <f>+Расходы!C19/1000</f>
        <v>0</v>
      </c>
      <c r="P69" s="54" t="str">
        <f t="shared" si="127"/>
        <v/>
      </c>
      <c r="Q69" s="468" t="str">
        <f t="shared" si="94"/>
        <v/>
      </c>
      <c r="R69" s="468" t="str">
        <f t="shared" si="95"/>
        <v/>
      </c>
      <c r="S69" s="238"/>
      <c r="T69" s="53" t="str">
        <f t="shared" si="128"/>
        <v/>
      </c>
      <c r="U69" s="238">
        <v>0</v>
      </c>
      <c r="V69" s="53" t="str">
        <f t="shared" si="129"/>
        <v/>
      </c>
      <c r="W69" s="355">
        <f>+Расходы!D19/1000</f>
        <v>0</v>
      </c>
      <c r="X69" s="54" t="str">
        <f t="shared" si="130"/>
        <v/>
      </c>
      <c r="Y69" s="468" t="str">
        <f t="shared" si="96"/>
        <v/>
      </c>
      <c r="Z69" s="468" t="str">
        <f t="shared" si="97"/>
        <v/>
      </c>
      <c r="AA69" s="238"/>
      <c r="AB69" s="53" t="str">
        <f t="shared" si="131"/>
        <v/>
      </c>
      <c r="AC69" s="238">
        <v>0</v>
      </c>
      <c r="AD69" s="53" t="str">
        <f t="shared" si="132"/>
        <v/>
      </c>
      <c r="AE69" s="355">
        <f>+Расходы!E19/1000</f>
        <v>0</v>
      </c>
      <c r="AF69" s="54" t="str">
        <f t="shared" si="133"/>
        <v/>
      </c>
      <c r="AG69" s="468" t="str">
        <f t="shared" si="98"/>
        <v/>
      </c>
      <c r="AH69" s="468" t="str">
        <f t="shared" si="99"/>
        <v/>
      </c>
      <c r="AI69" s="238"/>
      <c r="AJ69" s="53" t="str">
        <f t="shared" si="134"/>
        <v/>
      </c>
      <c r="AK69" s="238">
        <v>0</v>
      </c>
      <c r="AL69" s="53" t="str">
        <f t="shared" si="135"/>
        <v/>
      </c>
      <c r="AM69" s="355">
        <f>+Расходы!F19/1000</f>
        <v>0</v>
      </c>
      <c r="AN69" s="54" t="str">
        <f t="shared" si="136"/>
        <v/>
      </c>
      <c r="AO69" s="468" t="str">
        <f t="shared" si="100"/>
        <v/>
      </c>
      <c r="AP69" s="468" t="str">
        <f t="shared" si="101"/>
        <v/>
      </c>
      <c r="AQ69" s="344"/>
      <c r="AR69" s="53" t="str">
        <f t="shared" si="137"/>
        <v/>
      </c>
      <c r="AS69" s="238">
        <v>0</v>
      </c>
      <c r="AT69" s="53" t="str">
        <f t="shared" si="138"/>
        <v/>
      </c>
      <c r="AU69" s="355">
        <f>+Расходы!G19/1000</f>
        <v>0</v>
      </c>
      <c r="AV69" s="54" t="str">
        <f t="shared" si="139"/>
        <v/>
      </c>
      <c r="AW69" s="468" t="str">
        <f t="shared" si="102"/>
        <v/>
      </c>
      <c r="AX69" s="468" t="str">
        <f t="shared" si="103"/>
        <v/>
      </c>
      <c r="AY69" s="344"/>
      <c r="AZ69" s="53" t="str">
        <f t="shared" si="140"/>
        <v/>
      </c>
      <c r="BA69" s="238">
        <v>0</v>
      </c>
      <c r="BB69" s="53" t="str">
        <f t="shared" si="141"/>
        <v/>
      </c>
      <c r="BC69" s="355">
        <f>+Расходы!H19/1000</f>
        <v>0</v>
      </c>
      <c r="BD69" s="54" t="str">
        <f t="shared" si="142"/>
        <v/>
      </c>
      <c r="BE69" s="468" t="str">
        <f t="shared" si="104"/>
        <v/>
      </c>
      <c r="BF69" s="468" t="str">
        <f t="shared" si="105"/>
        <v/>
      </c>
      <c r="BG69" s="344"/>
      <c r="BH69" s="53" t="str">
        <f t="shared" si="143"/>
        <v/>
      </c>
      <c r="BI69" s="238">
        <v>0</v>
      </c>
      <c r="BJ69" s="53" t="str">
        <f t="shared" si="144"/>
        <v/>
      </c>
      <c r="BK69" s="355">
        <f>+Расходы!I19/1000</f>
        <v>0</v>
      </c>
      <c r="BL69" s="54" t="str">
        <f t="shared" si="145"/>
        <v/>
      </c>
      <c r="BM69" s="468" t="str">
        <f t="shared" si="106"/>
        <v/>
      </c>
      <c r="BN69" s="468" t="str">
        <f t="shared" si="107"/>
        <v/>
      </c>
      <c r="BO69" s="344"/>
      <c r="BP69" s="53" t="str">
        <f t="shared" si="146"/>
        <v/>
      </c>
      <c r="BQ69" s="238">
        <v>0</v>
      </c>
      <c r="BR69" s="53" t="str">
        <f t="shared" si="147"/>
        <v/>
      </c>
      <c r="BS69" s="355">
        <f>+Расходы!J19/1000</f>
        <v>0</v>
      </c>
      <c r="BT69" s="54" t="str">
        <f t="shared" si="148"/>
        <v/>
      </c>
      <c r="BU69" s="468" t="str">
        <f t="shared" si="108"/>
        <v/>
      </c>
      <c r="BV69" s="468" t="str">
        <f t="shared" si="109"/>
        <v/>
      </c>
      <c r="BW69" s="344"/>
      <c r="BX69" s="53" t="str">
        <f t="shared" si="149"/>
        <v/>
      </c>
      <c r="BY69" s="238">
        <v>0</v>
      </c>
      <c r="BZ69" s="53" t="str">
        <f t="shared" si="150"/>
        <v/>
      </c>
      <c r="CA69" s="355">
        <f>+Расходы!K19/1000</f>
        <v>0</v>
      </c>
      <c r="CB69" s="54" t="str">
        <f t="shared" si="151"/>
        <v/>
      </c>
      <c r="CC69" s="468" t="str">
        <f t="shared" si="110"/>
        <v/>
      </c>
      <c r="CD69" s="468" t="str">
        <f t="shared" si="111"/>
        <v/>
      </c>
      <c r="CE69" s="344"/>
      <c r="CF69" s="53" t="str">
        <f t="shared" si="152"/>
        <v/>
      </c>
      <c r="CG69" s="238">
        <v>0</v>
      </c>
      <c r="CH69" s="53" t="str">
        <f t="shared" si="153"/>
        <v/>
      </c>
      <c r="CI69" s="355">
        <f>+Расходы!L19/1000</f>
        <v>0</v>
      </c>
      <c r="CJ69" s="54" t="str">
        <f t="shared" si="154"/>
        <v/>
      </c>
      <c r="CK69" s="468" t="str">
        <f t="shared" si="112"/>
        <v/>
      </c>
      <c r="CL69" s="468" t="str">
        <f t="shared" si="113"/>
        <v/>
      </c>
      <c r="CM69" s="344"/>
      <c r="CN69" s="53" t="str">
        <f t="shared" si="155"/>
        <v/>
      </c>
      <c r="CO69" s="238">
        <v>0</v>
      </c>
      <c r="CP69" s="53" t="str">
        <f t="shared" si="156"/>
        <v/>
      </c>
      <c r="CQ69" s="355">
        <f>+Расходы!M19/1000</f>
        <v>0</v>
      </c>
      <c r="CR69" s="54" t="str">
        <f t="shared" si="157"/>
        <v/>
      </c>
      <c r="CS69" s="468" t="str">
        <f t="shared" si="114"/>
        <v/>
      </c>
      <c r="CT69" s="468" t="str">
        <f t="shared" si="115"/>
        <v/>
      </c>
      <c r="CU69" s="344">
        <f t="shared" si="158"/>
        <v>0</v>
      </c>
      <c r="CV69" s="53" t="str">
        <f t="shared" si="116"/>
        <v/>
      </c>
      <c r="CW69" s="238">
        <f t="shared" si="159"/>
        <v>0</v>
      </c>
      <c r="CX69" s="53">
        <f t="shared" si="117"/>
        <v>0</v>
      </c>
      <c r="CY69" s="355">
        <f t="shared" si="118"/>
        <v>0</v>
      </c>
      <c r="CZ69" s="54">
        <f t="shared" si="119"/>
        <v>0</v>
      </c>
      <c r="DA69" s="468" t="str">
        <f t="shared" si="120"/>
        <v/>
      </c>
      <c r="DB69" s="468" t="str">
        <f t="shared" si="121"/>
        <v/>
      </c>
    </row>
    <row r="70" spans="2:106" s="103" customFormat="1" ht="13.9" customHeight="1" outlineLevel="2">
      <c r="B70" s="61" t="str">
        <f>+Расходы!A20</f>
        <v>Медосмотр сотрудников</v>
      </c>
      <c r="C70" s="238"/>
      <c r="D70" s="53" t="str">
        <f t="shared" si="122"/>
        <v/>
      </c>
      <c r="E70" s="238"/>
      <c r="F70" s="53" t="str">
        <f t="shared" si="123"/>
        <v/>
      </c>
      <c r="G70" s="355">
        <f>+Расходы!B20/1000</f>
        <v>0</v>
      </c>
      <c r="H70" s="54" t="str">
        <f t="shared" si="124"/>
        <v/>
      </c>
      <c r="I70" s="468" t="str">
        <f t="shared" si="92"/>
        <v/>
      </c>
      <c r="J70" s="468" t="str">
        <f t="shared" si="93"/>
        <v/>
      </c>
      <c r="K70" s="238"/>
      <c r="L70" s="53" t="str">
        <f t="shared" si="125"/>
        <v/>
      </c>
      <c r="M70" s="238"/>
      <c r="N70" s="53" t="str">
        <f t="shared" si="126"/>
        <v/>
      </c>
      <c r="O70" s="355">
        <f>+Расходы!C20/1000</f>
        <v>0</v>
      </c>
      <c r="P70" s="54" t="str">
        <f t="shared" si="127"/>
        <v/>
      </c>
      <c r="Q70" s="468" t="str">
        <f t="shared" si="94"/>
        <v/>
      </c>
      <c r="R70" s="468" t="str">
        <f t="shared" si="95"/>
        <v/>
      </c>
      <c r="S70" s="238"/>
      <c r="T70" s="53" t="str">
        <f t="shared" si="128"/>
        <v/>
      </c>
      <c r="U70" s="238">
        <v>0</v>
      </c>
      <c r="V70" s="53" t="str">
        <f t="shared" si="129"/>
        <v/>
      </c>
      <c r="W70" s="355">
        <f>+Расходы!D20/1000</f>
        <v>0</v>
      </c>
      <c r="X70" s="54" t="str">
        <f t="shared" si="130"/>
        <v/>
      </c>
      <c r="Y70" s="468" t="str">
        <f t="shared" si="96"/>
        <v/>
      </c>
      <c r="Z70" s="468" t="str">
        <f t="shared" si="97"/>
        <v/>
      </c>
      <c r="AA70" s="238"/>
      <c r="AB70" s="53" t="str">
        <f t="shared" si="131"/>
        <v/>
      </c>
      <c r="AC70" s="238">
        <v>15</v>
      </c>
      <c r="AD70" s="53">
        <f t="shared" si="132"/>
        <v>1.0971456658357616E-3</v>
      </c>
      <c r="AE70" s="355">
        <f>+Расходы!E20/1000</f>
        <v>10.5</v>
      </c>
      <c r="AF70" s="54">
        <f t="shared" si="133"/>
        <v>7.6568561677799489E-4</v>
      </c>
      <c r="AG70" s="468">
        <f t="shared" si="98"/>
        <v>-0.30000000000000004</v>
      </c>
      <c r="AH70" s="468" t="str">
        <f t="shared" si="99"/>
        <v/>
      </c>
      <c r="AI70" s="238"/>
      <c r="AJ70" s="53" t="str">
        <f t="shared" si="134"/>
        <v/>
      </c>
      <c r="AK70" s="238">
        <v>15</v>
      </c>
      <c r="AL70" s="53">
        <f t="shared" si="135"/>
        <v>1.0735757228743201E-3</v>
      </c>
      <c r="AM70" s="355">
        <f>+Расходы!F20/1000</f>
        <v>23</v>
      </c>
      <c r="AN70" s="54">
        <f t="shared" si="136"/>
        <v>1.4637943203507505E-3</v>
      </c>
      <c r="AO70" s="468">
        <f t="shared" si="100"/>
        <v>0.53333333333333344</v>
      </c>
      <c r="AP70" s="468" t="str">
        <f t="shared" si="101"/>
        <v/>
      </c>
      <c r="AQ70" s="344"/>
      <c r="AR70" s="53" t="str">
        <f t="shared" si="137"/>
        <v/>
      </c>
      <c r="AS70" s="238">
        <v>25</v>
      </c>
      <c r="AT70" s="53">
        <f t="shared" si="138"/>
        <v>1.6578249336870027E-3</v>
      </c>
      <c r="AU70" s="355">
        <f>+Расходы!G20/1000</f>
        <v>11.7</v>
      </c>
      <c r="AV70" s="54">
        <f t="shared" si="139"/>
        <v>8.2085959996354538E-4</v>
      </c>
      <c r="AW70" s="468">
        <f t="shared" si="102"/>
        <v>-0.53200000000000003</v>
      </c>
      <c r="AX70" s="468" t="str">
        <f t="shared" si="103"/>
        <v/>
      </c>
      <c r="AY70" s="344"/>
      <c r="AZ70" s="53" t="str">
        <f t="shared" si="140"/>
        <v/>
      </c>
      <c r="BA70" s="238">
        <v>15</v>
      </c>
      <c r="BB70" s="53">
        <f t="shared" si="141"/>
        <v>9.5739588319770225E-4</v>
      </c>
      <c r="BC70" s="355">
        <f>+Расходы!H20/1000</f>
        <v>0</v>
      </c>
      <c r="BD70" s="54" t="str">
        <f t="shared" si="142"/>
        <v/>
      </c>
      <c r="BE70" s="468">
        <f t="shared" si="104"/>
        <v>-1</v>
      </c>
      <c r="BF70" s="468" t="str">
        <f t="shared" si="105"/>
        <v/>
      </c>
      <c r="BG70" s="344"/>
      <c r="BH70" s="53" t="str">
        <f t="shared" si="143"/>
        <v/>
      </c>
      <c r="BI70" s="238">
        <v>15</v>
      </c>
      <c r="BJ70" s="53">
        <f t="shared" si="144"/>
        <v>9.5739588319770225E-4</v>
      </c>
      <c r="BK70" s="355">
        <f>+Расходы!I20/1000</f>
        <v>0</v>
      </c>
      <c r="BL70" s="54" t="str">
        <f t="shared" si="145"/>
        <v/>
      </c>
      <c r="BM70" s="468">
        <f t="shared" si="106"/>
        <v>-1</v>
      </c>
      <c r="BN70" s="468" t="str">
        <f t="shared" si="107"/>
        <v/>
      </c>
      <c r="BO70" s="344"/>
      <c r="BP70" s="53" t="str">
        <f t="shared" si="146"/>
        <v/>
      </c>
      <c r="BQ70" s="238">
        <v>15</v>
      </c>
      <c r="BR70" s="53">
        <f t="shared" si="147"/>
        <v>1.0359116022099447E-3</v>
      </c>
      <c r="BS70" s="355">
        <f>+Расходы!J20/1000</f>
        <v>0</v>
      </c>
      <c r="BT70" s="54" t="str">
        <f t="shared" si="148"/>
        <v/>
      </c>
      <c r="BU70" s="468">
        <f t="shared" si="108"/>
        <v>-1</v>
      </c>
      <c r="BV70" s="468" t="str">
        <f t="shared" si="109"/>
        <v/>
      </c>
      <c r="BW70" s="344"/>
      <c r="BX70" s="53" t="str">
        <f t="shared" si="149"/>
        <v/>
      </c>
      <c r="BY70" s="238">
        <v>0</v>
      </c>
      <c r="BZ70" s="53" t="str">
        <f t="shared" si="150"/>
        <v/>
      </c>
      <c r="CA70" s="355">
        <f>+Расходы!K20/1000</f>
        <v>0</v>
      </c>
      <c r="CB70" s="54" t="str">
        <f t="shared" si="151"/>
        <v/>
      </c>
      <c r="CC70" s="468" t="str">
        <f t="shared" si="110"/>
        <v/>
      </c>
      <c r="CD70" s="468" t="str">
        <f t="shared" si="111"/>
        <v/>
      </c>
      <c r="CE70" s="344"/>
      <c r="CF70" s="53" t="str">
        <f t="shared" si="152"/>
        <v/>
      </c>
      <c r="CG70" s="238">
        <v>0</v>
      </c>
      <c r="CH70" s="53" t="str">
        <f t="shared" si="153"/>
        <v/>
      </c>
      <c r="CI70" s="355">
        <f>+Расходы!L20/1000</f>
        <v>0</v>
      </c>
      <c r="CJ70" s="54" t="str">
        <f t="shared" si="154"/>
        <v/>
      </c>
      <c r="CK70" s="468" t="str">
        <f t="shared" si="112"/>
        <v/>
      </c>
      <c r="CL70" s="468" t="str">
        <f t="shared" si="113"/>
        <v/>
      </c>
      <c r="CM70" s="344"/>
      <c r="CN70" s="53" t="str">
        <f t="shared" si="155"/>
        <v/>
      </c>
      <c r="CO70" s="238">
        <v>0</v>
      </c>
      <c r="CP70" s="53" t="str">
        <f t="shared" si="156"/>
        <v/>
      </c>
      <c r="CQ70" s="355">
        <f>+Расходы!M20/1000</f>
        <v>0</v>
      </c>
      <c r="CR70" s="54" t="str">
        <f t="shared" si="157"/>
        <v/>
      </c>
      <c r="CS70" s="468" t="str">
        <f t="shared" si="114"/>
        <v/>
      </c>
      <c r="CT70" s="468" t="str">
        <f t="shared" si="115"/>
        <v/>
      </c>
      <c r="CU70" s="344">
        <f t="shared" si="158"/>
        <v>0</v>
      </c>
      <c r="CV70" s="53" t="str">
        <f t="shared" si="116"/>
        <v/>
      </c>
      <c r="CW70" s="238">
        <f t="shared" si="159"/>
        <v>100</v>
      </c>
      <c r="CX70" s="53">
        <f t="shared" si="117"/>
        <v>7.5409108274781666E-4</v>
      </c>
      <c r="CY70" s="355">
        <f t="shared" si="118"/>
        <v>45.2</v>
      </c>
      <c r="CZ70" s="54">
        <f t="shared" si="119"/>
        <v>9.1112424446987395E-4</v>
      </c>
      <c r="DA70" s="468">
        <f t="shared" si="120"/>
        <v>-0.54800000000000004</v>
      </c>
      <c r="DB70" s="468" t="str">
        <f t="shared" si="121"/>
        <v/>
      </c>
    </row>
    <row r="71" spans="2:106" s="103" customFormat="1" ht="13.9" customHeight="1" outlineLevel="2">
      <c r="B71" s="61" t="str">
        <f>+Расходы!A21</f>
        <v>Оплата проживания</v>
      </c>
      <c r="C71" s="238"/>
      <c r="D71" s="53" t="str">
        <f t="shared" si="122"/>
        <v/>
      </c>
      <c r="E71" s="238"/>
      <c r="F71" s="53" t="str">
        <f t="shared" si="123"/>
        <v/>
      </c>
      <c r="G71" s="355">
        <f>+Расходы!B21/1000</f>
        <v>0</v>
      </c>
      <c r="H71" s="54" t="str">
        <f t="shared" si="124"/>
        <v/>
      </c>
      <c r="I71" s="468" t="str">
        <f t="shared" si="92"/>
        <v/>
      </c>
      <c r="J71" s="468" t="str">
        <f t="shared" si="93"/>
        <v/>
      </c>
      <c r="K71" s="238"/>
      <c r="L71" s="53" t="str">
        <f t="shared" si="125"/>
        <v/>
      </c>
      <c r="M71" s="238"/>
      <c r="N71" s="53" t="str">
        <f t="shared" si="126"/>
        <v/>
      </c>
      <c r="O71" s="355">
        <f>+Расходы!C21/1000</f>
        <v>0</v>
      </c>
      <c r="P71" s="54" t="str">
        <f t="shared" si="127"/>
        <v/>
      </c>
      <c r="Q71" s="468" t="str">
        <f t="shared" si="94"/>
        <v/>
      </c>
      <c r="R71" s="468" t="str">
        <f t="shared" si="95"/>
        <v/>
      </c>
      <c r="S71" s="238"/>
      <c r="T71" s="53" t="str">
        <f t="shared" si="128"/>
        <v/>
      </c>
      <c r="U71" s="238">
        <v>0</v>
      </c>
      <c r="V71" s="53" t="str">
        <f t="shared" si="129"/>
        <v/>
      </c>
      <c r="W71" s="355">
        <f>+Расходы!D21/1000</f>
        <v>0</v>
      </c>
      <c r="X71" s="54" t="str">
        <f t="shared" si="130"/>
        <v/>
      </c>
      <c r="Y71" s="468" t="str">
        <f t="shared" si="96"/>
        <v/>
      </c>
      <c r="Z71" s="468" t="str">
        <f t="shared" si="97"/>
        <v/>
      </c>
      <c r="AA71" s="238"/>
      <c r="AB71" s="53" t="str">
        <f t="shared" si="131"/>
        <v/>
      </c>
      <c r="AC71" s="238">
        <v>0</v>
      </c>
      <c r="AD71" s="53" t="str">
        <f t="shared" si="132"/>
        <v/>
      </c>
      <c r="AE71" s="355">
        <f>+Расходы!E21/1000</f>
        <v>0</v>
      </c>
      <c r="AF71" s="54" t="str">
        <f t="shared" si="133"/>
        <v/>
      </c>
      <c r="AG71" s="468" t="str">
        <f t="shared" si="98"/>
        <v/>
      </c>
      <c r="AH71" s="468" t="str">
        <f t="shared" si="99"/>
        <v/>
      </c>
      <c r="AI71" s="238"/>
      <c r="AJ71" s="53" t="str">
        <f t="shared" si="134"/>
        <v/>
      </c>
      <c r="AK71" s="238">
        <v>0</v>
      </c>
      <c r="AL71" s="53" t="str">
        <f t="shared" si="135"/>
        <v/>
      </c>
      <c r="AM71" s="355">
        <f>+Расходы!F21/1000</f>
        <v>0</v>
      </c>
      <c r="AN71" s="54" t="str">
        <f t="shared" si="136"/>
        <v/>
      </c>
      <c r="AO71" s="468" t="str">
        <f t="shared" si="100"/>
        <v/>
      </c>
      <c r="AP71" s="468" t="str">
        <f t="shared" si="101"/>
        <v/>
      </c>
      <c r="AQ71" s="344"/>
      <c r="AR71" s="53" t="str">
        <f t="shared" si="137"/>
        <v/>
      </c>
      <c r="AS71" s="238">
        <v>0</v>
      </c>
      <c r="AT71" s="53" t="str">
        <f t="shared" si="138"/>
        <v/>
      </c>
      <c r="AU71" s="355">
        <f>+Расходы!G21/1000</f>
        <v>0</v>
      </c>
      <c r="AV71" s="54" t="str">
        <f t="shared" si="139"/>
        <v/>
      </c>
      <c r="AW71" s="468" t="str">
        <f t="shared" si="102"/>
        <v/>
      </c>
      <c r="AX71" s="468" t="str">
        <f t="shared" si="103"/>
        <v/>
      </c>
      <c r="AY71" s="344"/>
      <c r="AZ71" s="53" t="str">
        <f t="shared" si="140"/>
        <v/>
      </c>
      <c r="BA71" s="238">
        <v>0</v>
      </c>
      <c r="BB71" s="53" t="str">
        <f t="shared" si="141"/>
        <v/>
      </c>
      <c r="BC71" s="355">
        <f>+Расходы!H21/1000</f>
        <v>0</v>
      </c>
      <c r="BD71" s="54" t="str">
        <f t="shared" si="142"/>
        <v/>
      </c>
      <c r="BE71" s="468" t="str">
        <f t="shared" si="104"/>
        <v/>
      </c>
      <c r="BF71" s="468" t="str">
        <f t="shared" si="105"/>
        <v/>
      </c>
      <c r="BG71" s="344"/>
      <c r="BH71" s="53" t="str">
        <f t="shared" si="143"/>
        <v/>
      </c>
      <c r="BI71" s="238">
        <v>0</v>
      </c>
      <c r="BJ71" s="53" t="str">
        <f t="shared" si="144"/>
        <v/>
      </c>
      <c r="BK71" s="355">
        <f>+Расходы!I21/1000</f>
        <v>0</v>
      </c>
      <c r="BL71" s="54" t="str">
        <f t="shared" si="145"/>
        <v/>
      </c>
      <c r="BM71" s="468" t="str">
        <f t="shared" si="106"/>
        <v/>
      </c>
      <c r="BN71" s="468" t="str">
        <f t="shared" si="107"/>
        <v/>
      </c>
      <c r="BO71" s="344"/>
      <c r="BP71" s="53" t="str">
        <f t="shared" si="146"/>
        <v/>
      </c>
      <c r="BQ71" s="238">
        <v>0</v>
      </c>
      <c r="BR71" s="53" t="str">
        <f t="shared" si="147"/>
        <v/>
      </c>
      <c r="BS71" s="355">
        <f>+Расходы!J21/1000</f>
        <v>0</v>
      </c>
      <c r="BT71" s="54" t="str">
        <f t="shared" si="148"/>
        <v/>
      </c>
      <c r="BU71" s="468" t="str">
        <f t="shared" si="108"/>
        <v/>
      </c>
      <c r="BV71" s="468" t="str">
        <f t="shared" si="109"/>
        <v/>
      </c>
      <c r="BW71" s="344"/>
      <c r="BX71" s="53" t="str">
        <f t="shared" si="149"/>
        <v/>
      </c>
      <c r="BY71" s="238">
        <v>0</v>
      </c>
      <c r="BZ71" s="53" t="str">
        <f t="shared" si="150"/>
        <v/>
      </c>
      <c r="CA71" s="355">
        <f>+Расходы!K21/1000</f>
        <v>0</v>
      </c>
      <c r="CB71" s="54" t="str">
        <f t="shared" si="151"/>
        <v/>
      </c>
      <c r="CC71" s="468" t="str">
        <f t="shared" si="110"/>
        <v/>
      </c>
      <c r="CD71" s="468" t="str">
        <f t="shared" si="111"/>
        <v/>
      </c>
      <c r="CE71" s="344"/>
      <c r="CF71" s="53" t="str">
        <f t="shared" si="152"/>
        <v/>
      </c>
      <c r="CG71" s="238">
        <v>0</v>
      </c>
      <c r="CH71" s="53" t="str">
        <f t="shared" si="153"/>
        <v/>
      </c>
      <c r="CI71" s="355">
        <f>+Расходы!L21/1000</f>
        <v>0</v>
      </c>
      <c r="CJ71" s="54" t="str">
        <f t="shared" si="154"/>
        <v/>
      </c>
      <c r="CK71" s="468" t="str">
        <f t="shared" si="112"/>
        <v/>
      </c>
      <c r="CL71" s="468" t="str">
        <f t="shared" si="113"/>
        <v/>
      </c>
      <c r="CM71" s="344"/>
      <c r="CN71" s="53" t="str">
        <f t="shared" si="155"/>
        <v/>
      </c>
      <c r="CO71" s="238">
        <v>0</v>
      </c>
      <c r="CP71" s="53" t="str">
        <f t="shared" si="156"/>
        <v/>
      </c>
      <c r="CQ71" s="355">
        <f>+Расходы!M21/1000</f>
        <v>0</v>
      </c>
      <c r="CR71" s="54" t="str">
        <f t="shared" si="157"/>
        <v/>
      </c>
      <c r="CS71" s="468" t="str">
        <f t="shared" si="114"/>
        <v/>
      </c>
      <c r="CT71" s="468" t="str">
        <f t="shared" si="115"/>
        <v/>
      </c>
      <c r="CU71" s="344">
        <f t="shared" si="158"/>
        <v>0</v>
      </c>
      <c r="CV71" s="53" t="str">
        <f t="shared" si="116"/>
        <v/>
      </c>
      <c r="CW71" s="238">
        <f t="shared" si="159"/>
        <v>0</v>
      </c>
      <c r="CX71" s="53">
        <f t="shared" si="117"/>
        <v>0</v>
      </c>
      <c r="CY71" s="355">
        <f t="shared" si="118"/>
        <v>0</v>
      </c>
      <c r="CZ71" s="54">
        <f t="shared" si="119"/>
        <v>0</v>
      </c>
      <c r="DA71" s="468" t="str">
        <f t="shared" si="120"/>
        <v/>
      </c>
      <c r="DB71" s="468" t="str">
        <f t="shared" si="121"/>
        <v/>
      </c>
    </row>
    <row r="72" spans="2:106" s="103" customFormat="1" ht="13.9" customHeight="1" outlineLevel="2">
      <c r="B72" s="61" t="str">
        <f>+Расходы!A22</f>
        <v>Питание штата</v>
      </c>
      <c r="C72" s="238"/>
      <c r="D72" s="53" t="str">
        <f t="shared" si="122"/>
        <v/>
      </c>
      <c r="E72" s="238"/>
      <c r="F72" s="53" t="str">
        <f t="shared" si="123"/>
        <v/>
      </c>
      <c r="G72" s="355">
        <f>+Расходы!B22/1000</f>
        <v>0</v>
      </c>
      <c r="H72" s="54" t="str">
        <f t="shared" si="124"/>
        <v/>
      </c>
      <c r="I72" s="468" t="str">
        <f t="shared" si="92"/>
        <v/>
      </c>
      <c r="J72" s="468" t="str">
        <f t="shared" si="93"/>
        <v/>
      </c>
      <c r="K72" s="238"/>
      <c r="L72" s="53" t="str">
        <f t="shared" si="125"/>
        <v/>
      </c>
      <c r="M72" s="238"/>
      <c r="N72" s="53" t="str">
        <f t="shared" si="126"/>
        <v/>
      </c>
      <c r="O72" s="355">
        <f>+Расходы!C22/1000</f>
        <v>0</v>
      </c>
      <c r="P72" s="54" t="str">
        <f t="shared" si="127"/>
        <v/>
      </c>
      <c r="Q72" s="468" t="str">
        <f t="shared" si="94"/>
        <v/>
      </c>
      <c r="R72" s="468" t="str">
        <f t="shared" si="95"/>
        <v/>
      </c>
      <c r="S72" s="238"/>
      <c r="T72" s="53" t="str">
        <f t="shared" si="128"/>
        <v/>
      </c>
      <c r="U72" s="238">
        <v>0</v>
      </c>
      <c r="V72" s="53" t="str">
        <f t="shared" si="129"/>
        <v/>
      </c>
      <c r="W72" s="355">
        <f>+Расходы!D22/1000</f>
        <v>67.195130000000006</v>
      </c>
      <c r="X72" s="54">
        <f t="shared" si="130"/>
        <v>1.1331578947368423E-2</v>
      </c>
      <c r="Y72" s="468" t="str">
        <f t="shared" si="96"/>
        <v/>
      </c>
      <c r="Z72" s="468" t="str">
        <f t="shared" si="97"/>
        <v/>
      </c>
      <c r="AA72" s="238"/>
      <c r="AB72" s="53" t="str">
        <f t="shared" si="131"/>
        <v/>
      </c>
      <c r="AC72" s="238">
        <v>110</v>
      </c>
      <c r="AD72" s="53">
        <f t="shared" si="132"/>
        <v>8.0457348827955855E-3</v>
      </c>
      <c r="AE72" s="355">
        <f>+Расходы!E22/1000</f>
        <v>91.256190000000004</v>
      </c>
      <c r="AF72" s="54">
        <f t="shared" si="133"/>
        <v>6.6546240119009416E-3</v>
      </c>
      <c r="AG72" s="468">
        <f t="shared" si="98"/>
        <v>-0.1703982727272727</v>
      </c>
      <c r="AH72" s="468" t="str">
        <f t="shared" si="99"/>
        <v/>
      </c>
      <c r="AI72" s="238"/>
      <c r="AJ72" s="53" t="str">
        <f t="shared" si="134"/>
        <v/>
      </c>
      <c r="AK72" s="238">
        <v>120</v>
      </c>
      <c r="AL72" s="53">
        <f t="shared" si="135"/>
        <v>8.5886057829945607E-3</v>
      </c>
      <c r="AM72" s="355">
        <f>+Расходы!F22/1000</f>
        <v>94.352919999999997</v>
      </c>
      <c r="AN72" s="54">
        <f t="shared" si="136"/>
        <v>6.00492471323951E-3</v>
      </c>
      <c r="AO72" s="468">
        <f t="shared" si="100"/>
        <v>-0.2137256666666667</v>
      </c>
      <c r="AP72" s="468" t="str">
        <f t="shared" si="101"/>
        <v/>
      </c>
      <c r="AQ72" s="344"/>
      <c r="AR72" s="53" t="str">
        <f t="shared" si="137"/>
        <v/>
      </c>
      <c r="AS72" s="238">
        <v>100</v>
      </c>
      <c r="AT72" s="53">
        <f t="shared" si="138"/>
        <v>6.6312997347480109E-3</v>
      </c>
      <c r="AU72" s="355">
        <f>+Расходы!G22/1000</f>
        <v>108.6118</v>
      </c>
      <c r="AV72" s="54">
        <f t="shared" si="139"/>
        <v>7.6200887777197095E-3</v>
      </c>
      <c r="AW72" s="468">
        <f t="shared" si="102"/>
        <v>8.6117999999999917E-2</v>
      </c>
      <c r="AX72" s="468" t="str">
        <f t="shared" si="103"/>
        <v/>
      </c>
      <c r="AY72" s="344"/>
      <c r="AZ72" s="53" t="str">
        <f t="shared" si="140"/>
        <v/>
      </c>
      <c r="BA72" s="238">
        <v>100</v>
      </c>
      <c r="BB72" s="53">
        <f t="shared" si="141"/>
        <v>6.382639221318015E-3</v>
      </c>
      <c r="BC72" s="355">
        <f>+Расходы!H22/1000</f>
        <v>0</v>
      </c>
      <c r="BD72" s="54" t="str">
        <f t="shared" si="142"/>
        <v/>
      </c>
      <c r="BE72" s="468">
        <f t="shared" si="104"/>
        <v>-1</v>
      </c>
      <c r="BF72" s="468" t="str">
        <f t="shared" si="105"/>
        <v/>
      </c>
      <c r="BG72" s="344"/>
      <c r="BH72" s="53" t="str">
        <f t="shared" si="143"/>
        <v/>
      </c>
      <c r="BI72" s="238">
        <v>100</v>
      </c>
      <c r="BJ72" s="53">
        <f t="shared" si="144"/>
        <v>6.382639221318015E-3</v>
      </c>
      <c r="BK72" s="355">
        <f>+Расходы!I22/1000</f>
        <v>0</v>
      </c>
      <c r="BL72" s="54" t="str">
        <f t="shared" si="145"/>
        <v/>
      </c>
      <c r="BM72" s="468">
        <f t="shared" si="106"/>
        <v>-1</v>
      </c>
      <c r="BN72" s="468" t="str">
        <f t="shared" si="107"/>
        <v/>
      </c>
      <c r="BO72" s="344"/>
      <c r="BP72" s="53" t="str">
        <f t="shared" si="146"/>
        <v/>
      </c>
      <c r="BQ72" s="238">
        <v>100</v>
      </c>
      <c r="BR72" s="53">
        <f t="shared" si="147"/>
        <v>6.9060773480662981E-3</v>
      </c>
      <c r="BS72" s="355">
        <f>+Расходы!J22/1000</f>
        <v>0</v>
      </c>
      <c r="BT72" s="54" t="str">
        <f t="shared" si="148"/>
        <v/>
      </c>
      <c r="BU72" s="468">
        <f t="shared" si="108"/>
        <v>-1</v>
      </c>
      <c r="BV72" s="468" t="str">
        <f t="shared" si="109"/>
        <v/>
      </c>
      <c r="BW72" s="344"/>
      <c r="BX72" s="53" t="str">
        <f t="shared" si="149"/>
        <v/>
      </c>
      <c r="BY72" s="238">
        <v>0</v>
      </c>
      <c r="BZ72" s="53" t="str">
        <f t="shared" si="150"/>
        <v/>
      </c>
      <c r="CA72" s="355">
        <f>+Расходы!K22/1000</f>
        <v>0</v>
      </c>
      <c r="CB72" s="54" t="str">
        <f t="shared" si="151"/>
        <v/>
      </c>
      <c r="CC72" s="468" t="str">
        <f t="shared" si="110"/>
        <v/>
      </c>
      <c r="CD72" s="468" t="str">
        <f t="shared" si="111"/>
        <v/>
      </c>
      <c r="CE72" s="344"/>
      <c r="CF72" s="53" t="str">
        <f t="shared" si="152"/>
        <v/>
      </c>
      <c r="CG72" s="238">
        <v>0</v>
      </c>
      <c r="CH72" s="53" t="str">
        <f t="shared" si="153"/>
        <v/>
      </c>
      <c r="CI72" s="355">
        <f>+Расходы!L22/1000</f>
        <v>0</v>
      </c>
      <c r="CJ72" s="54" t="str">
        <f t="shared" si="154"/>
        <v/>
      </c>
      <c r="CK72" s="468" t="str">
        <f t="shared" si="112"/>
        <v/>
      </c>
      <c r="CL72" s="468" t="str">
        <f t="shared" si="113"/>
        <v/>
      </c>
      <c r="CM72" s="344"/>
      <c r="CN72" s="53" t="str">
        <f t="shared" si="155"/>
        <v/>
      </c>
      <c r="CO72" s="238">
        <v>0</v>
      </c>
      <c r="CP72" s="53" t="str">
        <f t="shared" si="156"/>
        <v/>
      </c>
      <c r="CQ72" s="355">
        <f>+Расходы!M22/1000</f>
        <v>0</v>
      </c>
      <c r="CR72" s="54" t="str">
        <f t="shared" si="157"/>
        <v/>
      </c>
      <c r="CS72" s="468" t="str">
        <f t="shared" si="114"/>
        <v/>
      </c>
      <c r="CT72" s="468" t="str">
        <f t="shared" si="115"/>
        <v/>
      </c>
      <c r="CU72" s="344">
        <f t="shared" si="158"/>
        <v>0</v>
      </c>
      <c r="CV72" s="53" t="str">
        <f t="shared" si="116"/>
        <v/>
      </c>
      <c r="CW72" s="238">
        <f t="shared" si="159"/>
        <v>630</v>
      </c>
      <c r="CX72" s="53">
        <f t="shared" si="117"/>
        <v>4.7507738213112454E-3</v>
      </c>
      <c r="CY72" s="355">
        <f t="shared" si="118"/>
        <v>361.41604000000001</v>
      </c>
      <c r="CZ72" s="54">
        <f t="shared" si="119"/>
        <v>7.2852857607144626E-3</v>
      </c>
      <c r="DA72" s="468">
        <f t="shared" si="120"/>
        <v>-0.42632374603174605</v>
      </c>
      <c r="DB72" s="468" t="str">
        <f t="shared" si="121"/>
        <v/>
      </c>
    </row>
    <row r="73" spans="2:106" s="103" customFormat="1" ht="13.9" customHeight="1" outlineLevel="2">
      <c r="B73" s="61" t="str">
        <f>+Расходы!A23</f>
        <v>Подарки сотрудникам</v>
      </c>
      <c r="C73" s="238"/>
      <c r="D73" s="53" t="str">
        <f t="shared" si="122"/>
        <v/>
      </c>
      <c r="E73" s="238"/>
      <c r="F73" s="53" t="str">
        <f t="shared" si="123"/>
        <v/>
      </c>
      <c r="G73" s="355">
        <f>+Расходы!B23/1000</f>
        <v>0</v>
      </c>
      <c r="H73" s="54" t="str">
        <f t="shared" si="124"/>
        <v/>
      </c>
      <c r="I73" s="468" t="str">
        <f t="shared" si="92"/>
        <v/>
      </c>
      <c r="J73" s="468" t="str">
        <f t="shared" si="93"/>
        <v/>
      </c>
      <c r="K73" s="238"/>
      <c r="L73" s="53" t="str">
        <f t="shared" si="125"/>
        <v/>
      </c>
      <c r="M73" s="238"/>
      <c r="N73" s="53" t="str">
        <f t="shared" si="126"/>
        <v/>
      </c>
      <c r="O73" s="355">
        <f>+Расходы!C23/1000</f>
        <v>0</v>
      </c>
      <c r="P73" s="54" t="str">
        <f t="shared" si="127"/>
        <v/>
      </c>
      <c r="Q73" s="468" t="str">
        <f t="shared" si="94"/>
        <v/>
      </c>
      <c r="R73" s="468" t="str">
        <f t="shared" si="95"/>
        <v/>
      </c>
      <c r="S73" s="238"/>
      <c r="T73" s="53" t="str">
        <f t="shared" si="128"/>
        <v/>
      </c>
      <c r="U73" s="238">
        <v>0</v>
      </c>
      <c r="V73" s="53" t="str">
        <f t="shared" si="129"/>
        <v/>
      </c>
      <c r="W73" s="355">
        <f>+Расходы!D23/1000</f>
        <v>37.455620000000003</v>
      </c>
      <c r="X73" s="54">
        <f t="shared" si="130"/>
        <v>6.3163999392907141E-3</v>
      </c>
      <c r="Y73" s="468" t="str">
        <f t="shared" si="96"/>
        <v/>
      </c>
      <c r="Z73" s="468" t="str">
        <f t="shared" si="97"/>
        <v/>
      </c>
      <c r="AA73" s="238"/>
      <c r="AB73" s="53" t="str">
        <f t="shared" si="131"/>
        <v/>
      </c>
      <c r="AC73" s="238">
        <v>5</v>
      </c>
      <c r="AD73" s="53">
        <f t="shared" si="132"/>
        <v>3.6571522194525391E-4</v>
      </c>
      <c r="AE73" s="355">
        <f>+Расходы!E23/1000</f>
        <v>2.3620100000000002</v>
      </c>
      <c r="AF73" s="54">
        <f t="shared" si="133"/>
        <v>1.7224353177959923E-4</v>
      </c>
      <c r="AG73" s="468">
        <f t="shared" si="98"/>
        <v>-0.52759800000000001</v>
      </c>
      <c r="AH73" s="468" t="str">
        <f t="shared" si="99"/>
        <v/>
      </c>
      <c r="AI73" s="238"/>
      <c r="AJ73" s="53" t="str">
        <f t="shared" si="134"/>
        <v/>
      </c>
      <c r="AK73" s="238">
        <v>5</v>
      </c>
      <c r="AL73" s="53">
        <f t="shared" si="135"/>
        <v>3.5785857429144005E-4</v>
      </c>
      <c r="AM73" s="355">
        <f>+Расходы!F23/1000</f>
        <v>5</v>
      </c>
      <c r="AN73" s="54">
        <f t="shared" si="136"/>
        <v>3.1821615659798926E-4</v>
      </c>
      <c r="AO73" s="468" t="str">
        <f t="shared" si="100"/>
        <v/>
      </c>
      <c r="AP73" s="468" t="str">
        <f t="shared" si="101"/>
        <v/>
      </c>
      <c r="AQ73" s="344"/>
      <c r="AR73" s="53" t="str">
        <f t="shared" si="137"/>
        <v/>
      </c>
      <c r="AS73" s="238">
        <v>5</v>
      </c>
      <c r="AT73" s="53">
        <f t="shared" si="138"/>
        <v>3.3156498673740051E-4</v>
      </c>
      <c r="AU73" s="355">
        <f>+Расходы!G23/1000</f>
        <v>0</v>
      </c>
      <c r="AV73" s="54" t="str">
        <f t="shared" si="139"/>
        <v/>
      </c>
      <c r="AW73" s="468">
        <f t="shared" si="102"/>
        <v>-1</v>
      </c>
      <c r="AX73" s="468" t="str">
        <f t="shared" si="103"/>
        <v/>
      </c>
      <c r="AY73" s="344"/>
      <c r="AZ73" s="53" t="str">
        <f t="shared" si="140"/>
        <v/>
      </c>
      <c r="BA73" s="238">
        <v>5</v>
      </c>
      <c r="BB73" s="53">
        <f t="shared" si="141"/>
        <v>3.1913196106590075E-4</v>
      </c>
      <c r="BC73" s="355">
        <f>+Расходы!H23/1000</f>
        <v>0</v>
      </c>
      <c r="BD73" s="54" t="str">
        <f t="shared" si="142"/>
        <v/>
      </c>
      <c r="BE73" s="468">
        <f t="shared" si="104"/>
        <v>-1</v>
      </c>
      <c r="BF73" s="468" t="str">
        <f t="shared" si="105"/>
        <v/>
      </c>
      <c r="BG73" s="344"/>
      <c r="BH73" s="53" t="str">
        <f t="shared" si="143"/>
        <v/>
      </c>
      <c r="BI73" s="238">
        <v>5</v>
      </c>
      <c r="BJ73" s="53">
        <f t="shared" si="144"/>
        <v>3.1913196106590075E-4</v>
      </c>
      <c r="BK73" s="355">
        <f>+Расходы!I23/1000</f>
        <v>0</v>
      </c>
      <c r="BL73" s="54" t="str">
        <f t="shared" si="145"/>
        <v/>
      </c>
      <c r="BM73" s="468">
        <f t="shared" si="106"/>
        <v>-1</v>
      </c>
      <c r="BN73" s="468" t="str">
        <f t="shared" si="107"/>
        <v/>
      </c>
      <c r="BO73" s="344"/>
      <c r="BP73" s="53" t="str">
        <f t="shared" si="146"/>
        <v/>
      </c>
      <c r="BQ73" s="238">
        <v>5</v>
      </c>
      <c r="BR73" s="53">
        <f t="shared" si="147"/>
        <v>3.453038674033149E-4</v>
      </c>
      <c r="BS73" s="355">
        <f>+Расходы!J23/1000</f>
        <v>0</v>
      </c>
      <c r="BT73" s="54" t="str">
        <f t="shared" si="148"/>
        <v/>
      </c>
      <c r="BU73" s="468">
        <f t="shared" si="108"/>
        <v>-1</v>
      </c>
      <c r="BV73" s="468" t="str">
        <f t="shared" si="109"/>
        <v/>
      </c>
      <c r="BW73" s="344"/>
      <c r="BX73" s="53" t="str">
        <f t="shared" si="149"/>
        <v/>
      </c>
      <c r="BY73" s="238">
        <v>0</v>
      </c>
      <c r="BZ73" s="53" t="str">
        <f t="shared" si="150"/>
        <v/>
      </c>
      <c r="CA73" s="355">
        <f>+Расходы!K23/1000</f>
        <v>0</v>
      </c>
      <c r="CB73" s="54" t="str">
        <f t="shared" si="151"/>
        <v/>
      </c>
      <c r="CC73" s="468" t="str">
        <f t="shared" si="110"/>
        <v/>
      </c>
      <c r="CD73" s="468" t="str">
        <f t="shared" si="111"/>
        <v/>
      </c>
      <c r="CE73" s="344"/>
      <c r="CF73" s="53" t="str">
        <f t="shared" si="152"/>
        <v/>
      </c>
      <c r="CG73" s="238">
        <v>0</v>
      </c>
      <c r="CH73" s="53" t="str">
        <f t="shared" si="153"/>
        <v/>
      </c>
      <c r="CI73" s="355">
        <f>+Расходы!L23/1000</f>
        <v>0</v>
      </c>
      <c r="CJ73" s="54" t="str">
        <f t="shared" si="154"/>
        <v/>
      </c>
      <c r="CK73" s="468" t="str">
        <f t="shared" si="112"/>
        <v/>
      </c>
      <c r="CL73" s="468" t="str">
        <f t="shared" si="113"/>
        <v/>
      </c>
      <c r="CM73" s="344"/>
      <c r="CN73" s="53" t="str">
        <f t="shared" si="155"/>
        <v/>
      </c>
      <c r="CO73" s="238">
        <v>0</v>
      </c>
      <c r="CP73" s="53" t="str">
        <f t="shared" si="156"/>
        <v/>
      </c>
      <c r="CQ73" s="355">
        <f>+Расходы!M23/1000</f>
        <v>0</v>
      </c>
      <c r="CR73" s="54" t="str">
        <f t="shared" si="157"/>
        <v/>
      </c>
      <c r="CS73" s="468" t="str">
        <f t="shared" si="114"/>
        <v/>
      </c>
      <c r="CT73" s="468" t="str">
        <f t="shared" si="115"/>
        <v/>
      </c>
      <c r="CU73" s="344">
        <f t="shared" si="158"/>
        <v>0</v>
      </c>
      <c r="CV73" s="53" t="str">
        <f t="shared" si="116"/>
        <v/>
      </c>
      <c r="CW73" s="238">
        <f t="shared" si="159"/>
        <v>30</v>
      </c>
      <c r="CX73" s="53">
        <f t="shared" si="117"/>
        <v>2.2622732482434501E-4</v>
      </c>
      <c r="CY73" s="355">
        <f t="shared" si="118"/>
        <v>44.817630000000001</v>
      </c>
      <c r="CZ73" s="54">
        <f t="shared" si="119"/>
        <v>9.0341657682921133E-4</v>
      </c>
      <c r="DA73" s="468">
        <f t="shared" si="120"/>
        <v>0.49392100000000005</v>
      </c>
      <c r="DB73" s="468" t="str">
        <f t="shared" si="121"/>
        <v/>
      </c>
    </row>
    <row r="74" spans="2:106" s="103" customFormat="1" ht="13.9" customHeight="1" outlineLevel="2">
      <c r="B74" s="61" t="str">
        <f>+Расходы!A24</f>
        <v>Содержание столовой</v>
      </c>
      <c r="C74" s="238"/>
      <c r="D74" s="53" t="str">
        <f t="shared" si="122"/>
        <v/>
      </c>
      <c r="E74" s="238"/>
      <c r="F74" s="53" t="str">
        <f t="shared" si="123"/>
        <v/>
      </c>
      <c r="G74" s="355">
        <f>+Расходы!B24/1000</f>
        <v>0</v>
      </c>
      <c r="H74" s="54" t="str">
        <f t="shared" si="124"/>
        <v/>
      </c>
      <c r="I74" s="468" t="str">
        <f t="shared" si="92"/>
        <v/>
      </c>
      <c r="J74" s="468" t="str">
        <f t="shared" si="93"/>
        <v/>
      </c>
      <c r="K74" s="238"/>
      <c r="L74" s="53" t="str">
        <f t="shared" si="125"/>
        <v/>
      </c>
      <c r="M74" s="238"/>
      <c r="N74" s="53" t="str">
        <f t="shared" si="126"/>
        <v/>
      </c>
      <c r="O74" s="355">
        <f>+Расходы!C24/1000</f>
        <v>0</v>
      </c>
      <c r="P74" s="54" t="str">
        <f t="shared" si="127"/>
        <v/>
      </c>
      <c r="Q74" s="468" t="str">
        <f t="shared" si="94"/>
        <v/>
      </c>
      <c r="R74" s="468" t="str">
        <f t="shared" si="95"/>
        <v/>
      </c>
      <c r="S74" s="238"/>
      <c r="T74" s="53" t="str">
        <f t="shared" si="128"/>
        <v/>
      </c>
      <c r="U74" s="238">
        <v>0</v>
      </c>
      <c r="V74" s="53" t="str">
        <f t="shared" si="129"/>
        <v/>
      </c>
      <c r="W74" s="355">
        <f>+Расходы!D24/1000</f>
        <v>0</v>
      </c>
      <c r="X74" s="54" t="str">
        <f t="shared" si="130"/>
        <v/>
      </c>
      <c r="Y74" s="468" t="str">
        <f t="shared" si="96"/>
        <v/>
      </c>
      <c r="Z74" s="468" t="str">
        <f t="shared" si="97"/>
        <v/>
      </c>
      <c r="AA74" s="238"/>
      <c r="AB74" s="53" t="str">
        <f t="shared" si="131"/>
        <v/>
      </c>
      <c r="AC74" s="238">
        <v>0</v>
      </c>
      <c r="AD74" s="53" t="str">
        <f t="shared" si="132"/>
        <v/>
      </c>
      <c r="AE74" s="355">
        <f>+Расходы!E24/1000</f>
        <v>0</v>
      </c>
      <c r="AF74" s="54" t="str">
        <f t="shared" si="133"/>
        <v/>
      </c>
      <c r="AG74" s="468" t="str">
        <f t="shared" si="98"/>
        <v/>
      </c>
      <c r="AH74" s="468" t="str">
        <f t="shared" si="99"/>
        <v/>
      </c>
      <c r="AI74" s="238"/>
      <c r="AJ74" s="53" t="str">
        <f t="shared" si="134"/>
        <v/>
      </c>
      <c r="AK74" s="238">
        <v>0</v>
      </c>
      <c r="AL74" s="53" t="str">
        <f t="shared" si="135"/>
        <v/>
      </c>
      <c r="AM74" s="355">
        <f>+Расходы!F24/1000</f>
        <v>0</v>
      </c>
      <c r="AN74" s="54" t="str">
        <f t="shared" si="136"/>
        <v/>
      </c>
      <c r="AO74" s="468" t="str">
        <f t="shared" si="100"/>
        <v/>
      </c>
      <c r="AP74" s="468" t="str">
        <f t="shared" si="101"/>
        <v/>
      </c>
      <c r="AQ74" s="344"/>
      <c r="AR74" s="53" t="str">
        <f t="shared" si="137"/>
        <v/>
      </c>
      <c r="AS74" s="238">
        <v>0</v>
      </c>
      <c r="AT74" s="53" t="str">
        <f t="shared" si="138"/>
        <v/>
      </c>
      <c r="AU74" s="355">
        <f>+Расходы!G24/1000</f>
        <v>0</v>
      </c>
      <c r="AV74" s="54" t="str">
        <f t="shared" si="139"/>
        <v/>
      </c>
      <c r="AW74" s="468" t="str">
        <f t="shared" si="102"/>
        <v/>
      </c>
      <c r="AX74" s="468" t="str">
        <f t="shared" si="103"/>
        <v/>
      </c>
      <c r="AY74" s="344"/>
      <c r="AZ74" s="53" t="str">
        <f t="shared" si="140"/>
        <v/>
      </c>
      <c r="BA74" s="238">
        <v>0</v>
      </c>
      <c r="BB74" s="53" t="str">
        <f t="shared" si="141"/>
        <v/>
      </c>
      <c r="BC74" s="355">
        <f>+Расходы!H24/1000</f>
        <v>0</v>
      </c>
      <c r="BD74" s="54" t="str">
        <f t="shared" si="142"/>
        <v/>
      </c>
      <c r="BE74" s="468" t="str">
        <f t="shared" si="104"/>
        <v/>
      </c>
      <c r="BF74" s="468" t="str">
        <f t="shared" si="105"/>
        <v/>
      </c>
      <c r="BG74" s="344"/>
      <c r="BH74" s="53" t="str">
        <f t="shared" si="143"/>
        <v/>
      </c>
      <c r="BI74" s="238">
        <v>0</v>
      </c>
      <c r="BJ74" s="53" t="str">
        <f t="shared" si="144"/>
        <v/>
      </c>
      <c r="BK74" s="355">
        <f>+Расходы!I24/1000</f>
        <v>0</v>
      </c>
      <c r="BL74" s="54" t="str">
        <f t="shared" si="145"/>
        <v/>
      </c>
      <c r="BM74" s="468" t="str">
        <f t="shared" si="106"/>
        <v/>
      </c>
      <c r="BN74" s="468" t="str">
        <f t="shared" si="107"/>
        <v/>
      </c>
      <c r="BO74" s="344"/>
      <c r="BP74" s="53" t="str">
        <f t="shared" si="146"/>
        <v/>
      </c>
      <c r="BQ74" s="238">
        <v>0</v>
      </c>
      <c r="BR74" s="53" t="str">
        <f t="shared" si="147"/>
        <v/>
      </c>
      <c r="BS74" s="355">
        <f>+Расходы!J24/1000</f>
        <v>0</v>
      </c>
      <c r="BT74" s="54" t="str">
        <f t="shared" si="148"/>
        <v/>
      </c>
      <c r="BU74" s="468" t="str">
        <f t="shared" si="108"/>
        <v/>
      </c>
      <c r="BV74" s="468" t="str">
        <f t="shared" si="109"/>
        <v/>
      </c>
      <c r="BW74" s="344"/>
      <c r="BX74" s="53" t="str">
        <f t="shared" si="149"/>
        <v/>
      </c>
      <c r="BY74" s="238">
        <v>0</v>
      </c>
      <c r="BZ74" s="53" t="str">
        <f t="shared" si="150"/>
        <v/>
      </c>
      <c r="CA74" s="355">
        <f>+Расходы!K24/1000</f>
        <v>0</v>
      </c>
      <c r="CB74" s="54" t="str">
        <f t="shared" si="151"/>
        <v/>
      </c>
      <c r="CC74" s="468" t="str">
        <f t="shared" si="110"/>
        <v/>
      </c>
      <c r="CD74" s="468" t="str">
        <f t="shared" si="111"/>
        <v/>
      </c>
      <c r="CE74" s="344"/>
      <c r="CF74" s="53" t="str">
        <f t="shared" si="152"/>
        <v/>
      </c>
      <c r="CG74" s="238">
        <v>0</v>
      </c>
      <c r="CH74" s="53" t="str">
        <f t="shared" si="153"/>
        <v/>
      </c>
      <c r="CI74" s="355">
        <f>+Расходы!L24/1000</f>
        <v>0</v>
      </c>
      <c r="CJ74" s="54" t="str">
        <f t="shared" si="154"/>
        <v/>
      </c>
      <c r="CK74" s="468" t="str">
        <f t="shared" si="112"/>
        <v/>
      </c>
      <c r="CL74" s="468" t="str">
        <f t="shared" si="113"/>
        <v/>
      </c>
      <c r="CM74" s="344"/>
      <c r="CN74" s="53" t="str">
        <f t="shared" si="155"/>
        <v/>
      </c>
      <c r="CO74" s="238">
        <v>0</v>
      </c>
      <c r="CP74" s="53" t="str">
        <f t="shared" si="156"/>
        <v/>
      </c>
      <c r="CQ74" s="355">
        <f>+Расходы!M24/1000</f>
        <v>0</v>
      </c>
      <c r="CR74" s="54" t="str">
        <f t="shared" si="157"/>
        <v/>
      </c>
      <c r="CS74" s="468" t="str">
        <f t="shared" si="114"/>
        <v/>
      </c>
      <c r="CT74" s="468" t="str">
        <f t="shared" si="115"/>
        <v/>
      </c>
      <c r="CU74" s="344">
        <f t="shared" si="158"/>
        <v>0</v>
      </c>
      <c r="CV74" s="53" t="str">
        <f t="shared" si="116"/>
        <v/>
      </c>
      <c r="CW74" s="238">
        <f t="shared" si="159"/>
        <v>0</v>
      </c>
      <c r="CX74" s="53">
        <f t="shared" si="117"/>
        <v>0</v>
      </c>
      <c r="CY74" s="355">
        <f t="shared" si="118"/>
        <v>0</v>
      </c>
      <c r="CZ74" s="54">
        <f t="shared" si="119"/>
        <v>0</v>
      </c>
      <c r="DA74" s="468" t="str">
        <f t="shared" si="120"/>
        <v/>
      </c>
      <c r="DB74" s="468" t="str">
        <f t="shared" si="121"/>
        <v/>
      </c>
    </row>
    <row r="75" spans="2:106" s="103" customFormat="1" ht="13.15" customHeight="1" outlineLevel="2" collapsed="1">
      <c r="B75" s="61" t="str">
        <f>+Расходы!A25</f>
        <v>Сотовая связь</v>
      </c>
      <c r="C75" s="238"/>
      <c r="D75" s="54" t="str">
        <f t="shared" si="122"/>
        <v/>
      </c>
      <c r="E75" s="238"/>
      <c r="F75" s="54" t="str">
        <f t="shared" si="123"/>
        <v/>
      </c>
      <c r="G75" s="353">
        <f>+Расходы!B25/1000</f>
        <v>0</v>
      </c>
      <c r="H75" s="54" t="str">
        <f t="shared" si="124"/>
        <v/>
      </c>
      <c r="I75" s="468" t="str">
        <f t="shared" si="92"/>
        <v/>
      </c>
      <c r="J75" s="468" t="str">
        <f t="shared" si="93"/>
        <v/>
      </c>
      <c r="K75" s="238"/>
      <c r="L75" s="54" t="str">
        <f t="shared" si="125"/>
        <v/>
      </c>
      <c r="M75" s="238"/>
      <c r="N75" s="54" t="str">
        <f t="shared" si="126"/>
        <v/>
      </c>
      <c r="O75" s="353">
        <f>+Расходы!C25/1000</f>
        <v>0</v>
      </c>
      <c r="P75" s="54" t="str">
        <f t="shared" si="127"/>
        <v/>
      </c>
      <c r="Q75" s="468" t="str">
        <f t="shared" si="94"/>
        <v/>
      </c>
      <c r="R75" s="468" t="str">
        <f t="shared" si="95"/>
        <v/>
      </c>
      <c r="S75" s="238"/>
      <c r="T75" s="54" t="str">
        <f t="shared" si="128"/>
        <v/>
      </c>
      <c r="U75" s="238">
        <v>0</v>
      </c>
      <c r="V75" s="54" t="str">
        <f t="shared" si="129"/>
        <v/>
      </c>
      <c r="W75" s="353">
        <f>+Расходы!D25/1000</f>
        <v>0</v>
      </c>
      <c r="X75" s="54" t="str">
        <f t="shared" si="130"/>
        <v/>
      </c>
      <c r="Y75" s="468" t="str">
        <f t="shared" si="96"/>
        <v/>
      </c>
      <c r="Z75" s="468" t="str">
        <f t="shared" si="97"/>
        <v/>
      </c>
      <c r="AA75" s="238"/>
      <c r="AB75" s="54" t="str">
        <f t="shared" si="131"/>
        <v/>
      </c>
      <c r="AC75" s="238">
        <v>0</v>
      </c>
      <c r="AD75" s="54" t="str">
        <f t="shared" si="132"/>
        <v/>
      </c>
      <c r="AE75" s="353">
        <f>+Расходы!E25/1000</f>
        <v>0</v>
      </c>
      <c r="AF75" s="54" t="str">
        <f t="shared" si="133"/>
        <v/>
      </c>
      <c r="AG75" s="468" t="str">
        <f t="shared" si="98"/>
        <v/>
      </c>
      <c r="AH75" s="468" t="str">
        <f t="shared" si="99"/>
        <v/>
      </c>
      <c r="AI75" s="238"/>
      <c r="AJ75" s="54" t="str">
        <f t="shared" si="134"/>
        <v/>
      </c>
      <c r="AK75" s="238">
        <v>0</v>
      </c>
      <c r="AL75" s="54" t="str">
        <f t="shared" si="135"/>
        <v/>
      </c>
      <c r="AM75" s="353">
        <f>+Расходы!F25/1000</f>
        <v>0</v>
      </c>
      <c r="AN75" s="54" t="str">
        <f t="shared" si="136"/>
        <v/>
      </c>
      <c r="AO75" s="468" t="str">
        <f t="shared" si="100"/>
        <v/>
      </c>
      <c r="AP75" s="468" t="str">
        <f t="shared" si="101"/>
        <v/>
      </c>
      <c r="AQ75" s="344"/>
      <c r="AR75" s="54" t="str">
        <f t="shared" si="137"/>
        <v/>
      </c>
      <c r="AS75" s="238">
        <v>0</v>
      </c>
      <c r="AT75" s="54" t="str">
        <f t="shared" si="138"/>
        <v/>
      </c>
      <c r="AU75" s="353">
        <f>+Расходы!G25/1000</f>
        <v>0</v>
      </c>
      <c r="AV75" s="54" t="str">
        <f t="shared" si="139"/>
        <v/>
      </c>
      <c r="AW75" s="468" t="str">
        <f t="shared" si="102"/>
        <v/>
      </c>
      <c r="AX75" s="468" t="str">
        <f t="shared" si="103"/>
        <v/>
      </c>
      <c r="AY75" s="344"/>
      <c r="AZ75" s="54" t="str">
        <f t="shared" si="140"/>
        <v/>
      </c>
      <c r="BA75" s="238">
        <v>0</v>
      </c>
      <c r="BB75" s="54" t="str">
        <f t="shared" si="141"/>
        <v/>
      </c>
      <c r="BC75" s="353">
        <f>+Расходы!H25/1000</f>
        <v>0</v>
      </c>
      <c r="BD75" s="54" t="str">
        <f t="shared" si="142"/>
        <v/>
      </c>
      <c r="BE75" s="468" t="str">
        <f t="shared" si="104"/>
        <v/>
      </c>
      <c r="BF75" s="468" t="str">
        <f t="shared" si="105"/>
        <v/>
      </c>
      <c r="BG75" s="344"/>
      <c r="BH75" s="54" t="str">
        <f t="shared" si="143"/>
        <v/>
      </c>
      <c r="BI75" s="238">
        <v>0</v>
      </c>
      <c r="BJ75" s="54" t="str">
        <f t="shared" si="144"/>
        <v/>
      </c>
      <c r="BK75" s="353">
        <f>+Расходы!I25/1000</f>
        <v>0</v>
      </c>
      <c r="BL75" s="54" t="str">
        <f t="shared" si="145"/>
        <v/>
      </c>
      <c r="BM75" s="468" t="str">
        <f t="shared" si="106"/>
        <v/>
      </c>
      <c r="BN75" s="468" t="str">
        <f t="shared" si="107"/>
        <v/>
      </c>
      <c r="BO75" s="344"/>
      <c r="BP75" s="54" t="str">
        <f t="shared" si="146"/>
        <v/>
      </c>
      <c r="BQ75" s="238">
        <v>0</v>
      </c>
      <c r="BR75" s="54" t="str">
        <f t="shared" si="147"/>
        <v/>
      </c>
      <c r="BS75" s="353">
        <f>+Расходы!J25/1000</f>
        <v>0</v>
      </c>
      <c r="BT75" s="54" t="str">
        <f t="shared" si="148"/>
        <v/>
      </c>
      <c r="BU75" s="468" t="str">
        <f t="shared" si="108"/>
        <v/>
      </c>
      <c r="BV75" s="468" t="str">
        <f t="shared" si="109"/>
        <v/>
      </c>
      <c r="BW75" s="344"/>
      <c r="BX75" s="54" t="str">
        <f t="shared" si="149"/>
        <v/>
      </c>
      <c r="BY75" s="238">
        <v>0</v>
      </c>
      <c r="BZ75" s="54" t="str">
        <f t="shared" si="150"/>
        <v/>
      </c>
      <c r="CA75" s="353">
        <f>+Расходы!K25/1000</f>
        <v>0</v>
      </c>
      <c r="CB75" s="54" t="str">
        <f t="shared" si="151"/>
        <v/>
      </c>
      <c r="CC75" s="468" t="str">
        <f t="shared" si="110"/>
        <v/>
      </c>
      <c r="CD75" s="468" t="str">
        <f t="shared" si="111"/>
        <v/>
      </c>
      <c r="CE75" s="344"/>
      <c r="CF75" s="54" t="str">
        <f t="shared" si="152"/>
        <v/>
      </c>
      <c r="CG75" s="238">
        <v>0</v>
      </c>
      <c r="CH75" s="54" t="str">
        <f t="shared" si="153"/>
        <v/>
      </c>
      <c r="CI75" s="353">
        <f>+Расходы!L25/1000</f>
        <v>0</v>
      </c>
      <c r="CJ75" s="54" t="str">
        <f t="shared" si="154"/>
        <v/>
      </c>
      <c r="CK75" s="468" t="str">
        <f t="shared" si="112"/>
        <v/>
      </c>
      <c r="CL75" s="468" t="str">
        <f t="shared" si="113"/>
        <v/>
      </c>
      <c r="CM75" s="344"/>
      <c r="CN75" s="54" t="str">
        <f t="shared" si="155"/>
        <v/>
      </c>
      <c r="CO75" s="238">
        <v>0</v>
      </c>
      <c r="CP75" s="54" t="str">
        <f t="shared" si="156"/>
        <v/>
      </c>
      <c r="CQ75" s="353">
        <f>+Расходы!M25/1000</f>
        <v>0</v>
      </c>
      <c r="CR75" s="54" t="str">
        <f t="shared" si="157"/>
        <v/>
      </c>
      <c r="CS75" s="468" t="str">
        <f t="shared" si="114"/>
        <v/>
      </c>
      <c r="CT75" s="468" t="str">
        <f t="shared" si="115"/>
        <v/>
      </c>
      <c r="CU75" s="344">
        <f t="shared" si="158"/>
        <v>0</v>
      </c>
      <c r="CV75" s="54" t="str">
        <f t="shared" si="116"/>
        <v/>
      </c>
      <c r="CW75" s="238">
        <f t="shared" si="159"/>
        <v>0</v>
      </c>
      <c r="CX75" s="54">
        <f t="shared" si="117"/>
        <v>0</v>
      </c>
      <c r="CY75" s="353">
        <f t="shared" si="118"/>
        <v>0</v>
      </c>
      <c r="CZ75" s="54">
        <f t="shared" si="119"/>
        <v>0</v>
      </c>
      <c r="DA75" s="468" t="str">
        <f t="shared" si="120"/>
        <v/>
      </c>
      <c r="DB75" s="468" t="str">
        <f t="shared" si="121"/>
        <v/>
      </c>
    </row>
    <row r="76" spans="2:106" s="103" customFormat="1" ht="13.9" customHeight="1" outlineLevel="2">
      <c r="B76" s="61" t="str">
        <f>+Расходы!A26</f>
        <v>Спецодежда</v>
      </c>
      <c r="C76" s="238"/>
      <c r="D76" s="53" t="str">
        <f t="shared" si="122"/>
        <v/>
      </c>
      <c r="E76" s="238"/>
      <c r="F76" s="53" t="str">
        <f t="shared" si="123"/>
        <v/>
      </c>
      <c r="G76" s="355">
        <f>+Расходы!B26/1000</f>
        <v>0</v>
      </c>
      <c r="H76" s="54" t="str">
        <f t="shared" si="124"/>
        <v/>
      </c>
      <c r="I76" s="468" t="str">
        <f t="shared" si="92"/>
        <v/>
      </c>
      <c r="J76" s="468" t="str">
        <f t="shared" si="93"/>
        <v/>
      </c>
      <c r="K76" s="238"/>
      <c r="L76" s="53" t="str">
        <f t="shared" si="125"/>
        <v/>
      </c>
      <c r="M76" s="238"/>
      <c r="N76" s="53" t="str">
        <f t="shared" si="126"/>
        <v/>
      </c>
      <c r="O76" s="355">
        <f>+Расходы!C26/1000</f>
        <v>0</v>
      </c>
      <c r="P76" s="54" t="str">
        <f t="shared" si="127"/>
        <v/>
      </c>
      <c r="Q76" s="468" t="str">
        <f t="shared" si="94"/>
        <v/>
      </c>
      <c r="R76" s="468" t="str">
        <f t="shared" si="95"/>
        <v/>
      </c>
      <c r="S76" s="238"/>
      <c r="T76" s="53" t="str">
        <f t="shared" si="128"/>
        <v/>
      </c>
      <c r="U76" s="238">
        <v>0</v>
      </c>
      <c r="V76" s="53" t="str">
        <f t="shared" si="129"/>
        <v/>
      </c>
      <c r="W76" s="355">
        <f>+Расходы!D26/1000</f>
        <v>5.1289999999999996</v>
      </c>
      <c r="X76" s="54">
        <f t="shared" si="130"/>
        <v>8.6493870048398786E-4</v>
      </c>
      <c r="Y76" s="468" t="str">
        <f t="shared" si="96"/>
        <v/>
      </c>
      <c r="Z76" s="468" t="str">
        <f t="shared" si="97"/>
        <v/>
      </c>
      <c r="AA76" s="238"/>
      <c r="AB76" s="53" t="str">
        <f t="shared" si="131"/>
        <v/>
      </c>
      <c r="AC76" s="238">
        <v>20</v>
      </c>
      <c r="AD76" s="53">
        <f t="shared" si="132"/>
        <v>1.4628608877810157E-3</v>
      </c>
      <c r="AE76" s="355">
        <f>+Расходы!E26/1000</f>
        <v>49.747999999999998</v>
      </c>
      <c r="AF76" s="54">
        <f t="shared" si="133"/>
        <v>3.6277455298544463E-3</v>
      </c>
      <c r="AG76" s="468">
        <f t="shared" si="98"/>
        <v>1.4874000000000001</v>
      </c>
      <c r="AH76" s="468" t="str">
        <f t="shared" si="99"/>
        <v/>
      </c>
      <c r="AI76" s="238"/>
      <c r="AJ76" s="53" t="str">
        <f t="shared" si="134"/>
        <v/>
      </c>
      <c r="AK76" s="238">
        <v>20</v>
      </c>
      <c r="AL76" s="53">
        <f t="shared" si="135"/>
        <v>1.4314342971657602E-3</v>
      </c>
      <c r="AM76" s="355">
        <f>+Расходы!F26/1000</f>
        <v>19.992000000000001</v>
      </c>
      <c r="AN76" s="54">
        <f t="shared" si="136"/>
        <v>1.2723554805414003E-3</v>
      </c>
      <c r="AO76" s="468">
        <f t="shared" si="100"/>
        <v>-3.9999999999995595E-4</v>
      </c>
      <c r="AP76" s="468" t="str">
        <f t="shared" si="101"/>
        <v/>
      </c>
      <c r="AQ76" s="344"/>
      <c r="AR76" s="53" t="str">
        <f t="shared" si="137"/>
        <v/>
      </c>
      <c r="AS76" s="238">
        <v>85</v>
      </c>
      <c r="AT76" s="53">
        <f t="shared" si="138"/>
        <v>5.6366047745358087E-3</v>
      </c>
      <c r="AU76" s="355">
        <f>+Расходы!G26/1000</f>
        <v>5.2560000000000002</v>
      </c>
      <c r="AV76" s="54">
        <f t="shared" si="139"/>
        <v>3.6875538952208501E-4</v>
      </c>
      <c r="AW76" s="468">
        <f t="shared" si="102"/>
        <v>-0.9381647058823529</v>
      </c>
      <c r="AX76" s="468" t="str">
        <f t="shared" si="103"/>
        <v/>
      </c>
      <c r="AY76" s="344"/>
      <c r="AZ76" s="53" t="str">
        <f t="shared" si="140"/>
        <v/>
      </c>
      <c r="BA76" s="238">
        <v>85</v>
      </c>
      <c r="BB76" s="53">
        <f t="shared" si="141"/>
        <v>5.4252433381203127E-3</v>
      </c>
      <c r="BC76" s="355">
        <f>+Расходы!H26/1000</f>
        <v>0</v>
      </c>
      <c r="BD76" s="54" t="str">
        <f t="shared" si="142"/>
        <v/>
      </c>
      <c r="BE76" s="468">
        <f t="shared" si="104"/>
        <v>-1</v>
      </c>
      <c r="BF76" s="468" t="str">
        <f t="shared" si="105"/>
        <v/>
      </c>
      <c r="BG76" s="344"/>
      <c r="BH76" s="53" t="str">
        <f t="shared" si="143"/>
        <v/>
      </c>
      <c r="BI76" s="238">
        <v>50</v>
      </c>
      <c r="BJ76" s="53">
        <f t="shared" si="144"/>
        <v>3.1913196106590075E-3</v>
      </c>
      <c r="BK76" s="355">
        <f>+Расходы!I26/1000</f>
        <v>0</v>
      </c>
      <c r="BL76" s="54" t="str">
        <f t="shared" si="145"/>
        <v/>
      </c>
      <c r="BM76" s="468">
        <f t="shared" si="106"/>
        <v>-1</v>
      </c>
      <c r="BN76" s="468" t="str">
        <f t="shared" si="107"/>
        <v/>
      </c>
      <c r="BO76" s="344"/>
      <c r="BP76" s="53" t="str">
        <f t="shared" si="146"/>
        <v/>
      </c>
      <c r="BQ76" s="238">
        <v>20</v>
      </c>
      <c r="BR76" s="53">
        <f t="shared" si="147"/>
        <v>1.3812154696132596E-3</v>
      </c>
      <c r="BS76" s="355">
        <f>+Расходы!J26/1000</f>
        <v>0</v>
      </c>
      <c r="BT76" s="54" t="str">
        <f t="shared" si="148"/>
        <v/>
      </c>
      <c r="BU76" s="468">
        <f t="shared" si="108"/>
        <v>-1</v>
      </c>
      <c r="BV76" s="468" t="str">
        <f t="shared" si="109"/>
        <v/>
      </c>
      <c r="BW76" s="344"/>
      <c r="BX76" s="53" t="str">
        <f t="shared" si="149"/>
        <v/>
      </c>
      <c r="BY76" s="238">
        <v>0</v>
      </c>
      <c r="BZ76" s="53" t="str">
        <f t="shared" si="150"/>
        <v/>
      </c>
      <c r="CA76" s="355">
        <f>+Расходы!K26/1000</f>
        <v>0</v>
      </c>
      <c r="CB76" s="54" t="str">
        <f t="shared" si="151"/>
        <v/>
      </c>
      <c r="CC76" s="468" t="str">
        <f t="shared" si="110"/>
        <v/>
      </c>
      <c r="CD76" s="468" t="str">
        <f t="shared" si="111"/>
        <v/>
      </c>
      <c r="CE76" s="344"/>
      <c r="CF76" s="53" t="str">
        <f t="shared" si="152"/>
        <v/>
      </c>
      <c r="CG76" s="238">
        <v>0</v>
      </c>
      <c r="CH76" s="53" t="str">
        <f t="shared" si="153"/>
        <v/>
      </c>
      <c r="CI76" s="355">
        <f>+Расходы!L26/1000</f>
        <v>0</v>
      </c>
      <c r="CJ76" s="54" t="str">
        <f t="shared" si="154"/>
        <v/>
      </c>
      <c r="CK76" s="468" t="str">
        <f t="shared" si="112"/>
        <v/>
      </c>
      <c r="CL76" s="468" t="str">
        <f t="shared" si="113"/>
        <v/>
      </c>
      <c r="CM76" s="344"/>
      <c r="CN76" s="53" t="str">
        <f t="shared" si="155"/>
        <v/>
      </c>
      <c r="CO76" s="238">
        <v>0</v>
      </c>
      <c r="CP76" s="53" t="str">
        <f t="shared" si="156"/>
        <v/>
      </c>
      <c r="CQ76" s="355">
        <f>+Расходы!M26/1000</f>
        <v>0</v>
      </c>
      <c r="CR76" s="54" t="str">
        <f t="shared" si="157"/>
        <v/>
      </c>
      <c r="CS76" s="468" t="str">
        <f t="shared" si="114"/>
        <v/>
      </c>
      <c r="CT76" s="468" t="str">
        <f t="shared" si="115"/>
        <v/>
      </c>
      <c r="CU76" s="344">
        <f t="shared" si="158"/>
        <v>0</v>
      </c>
      <c r="CV76" s="53" t="str">
        <f t="shared" si="116"/>
        <v/>
      </c>
      <c r="CW76" s="238">
        <f t="shared" si="159"/>
        <v>280</v>
      </c>
      <c r="CX76" s="53">
        <f t="shared" si="117"/>
        <v>2.1114550316938866E-3</v>
      </c>
      <c r="CY76" s="355">
        <f t="shared" si="118"/>
        <v>80.125</v>
      </c>
      <c r="CZ76" s="54">
        <f t="shared" si="119"/>
        <v>1.6151289842510762E-3</v>
      </c>
      <c r="DA76" s="468">
        <f t="shared" si="120"/>
        <v>-0.71383928571428568</v>
      </c>
      <c r="DB76" s="468" t="str">
        <f t="shared" si="121"/>
        <v/>
      </c>
    </row>
    <row r="77" spans="2:106" s="103" customFormat="1" ht="13.15" customHeight="1" outlineLevel="2">
      <c r="B77" s="61" t="str">
        <f>+Расходы!A27</f>
        <v>Такси</v>
      </c>
      <c r="C77" s="238"/>
      <c r="D77" s="54" t="str">
        <f t="shared" si="122"/>
        <v/>
      </c>
      <c r="E77" s="238"/>
      <c r="F77" s="54" t="str">
        <f t="shared" si="123"/>
        <v/>
      </c>
      <c r="G77" s="353">
        <f>+Расходы!B27/1000</f>
        <v>0</v>
      </c>
      <c r="H77" s="54" t="str">
        <f t="shared" si="124"/>
        <v/>
      </c>
      <c r="I77" s="468" t="str">
        <f t="shared" si="92"/>
        <v/>
      </c>
      <c r="J77" s="468" t="str">
        <f t="shared" si="93"/>
        <v/>
      </c>
      <c r="K77" s="238"/>
      <c r="L77" s="54" t="str">
        <f t="shared" si="125"/>
        <v/>
      </c>
      <c r="M77" s="238"/>
      <c r="N77" s="54" t="str">
        <f t="shared" si="126"/>
        <v/>
      </c>
      <c r="O77" s="353">
        <f>+Расходы!C27/1000</f>
        <v>0</v>
      </c>
      <c r="P77" s="54" t="str">
        <f t="shared" si="127"/>
        <v/>
      </c>
      <c r="Q77" s="468" t="str">
        <f t="shared" si="94"/>
        <v/>
      </c>
      <c r="R77" s="468" t="str">
        <f t="shared" si="95"/>
        <v/>
      </c>
      <c r="S77" s="238"/>
      <c r="T77" s="54" t="str">
        <f t="shared" si="128"/>
        <v/>
      </c>
      <c r="U77" s="238">
        <v>0</v>
      </c>
      <c r="V77" s="54" t="str">
        <f t="shared" si="129"/>
        <v/>
      </c>
      <c r="W77" s="353">
        <f>+Расходы!D27/1000</f>
        <v>67.143000000000001</v>
      </c>
      <c r="X77" s="54">
        <f t="shared" si="130"/>
        <v>1.1322787905360968E-2</v>
      </c>
      <c r="Y77" s="468" t="str">
        <f t="shared" si="96"/>
        <v/>
      </c>
      <c r="Z77" s="468" t="str">
        <f t="shared" si="97"/>
        <v/>
      </c>
      <c r="AA77" s="238"/>
      <c r="AB77" s="54" t="str">
        <f t="shared" si="131"/>
        <v/>
      </c>
      <c r="AC77" s="238">
        <v>150</v>
      </c>
      <c r="AD77" s="54">
        <f t="shared" si="132"/>
        <v>1.0971456658357616E-2</v>
      </c>
      <c r="AE77" s="353">
        <f>+Расходы!E27/1000</f>
        <v>303.20204999999999</v>
      </c>
      <c r="AF77" s="54">
        <f t="shared" si="133"/>
        <v>2.2110233205962136E-2</v>
      </c>
      <c r="AG77" s="468">
        <f t="shared" si="98"/>
        <v>1.021347</v>
      </c>
      <c r="AH77" s="468" t="str">
        <f t="shared" si="99"/>
        <v/>
      </c>
      <c r="AI77" s="238"/>
      <c r="AJ77" s="54" t="str">
        <f t="shared" si="134"/>
        <v/>
      </c>
      <c r="AK77" s="238">
        <v>150</v>
      </c>
      <c r="AL77" s="54">
        <f t="shared" si="135"/>
        <v>1.07357572287432E-2</v>
      </c>
      <c r="AM77" s="353">
        <f>+Расходы!F27/1000</f>
        <v>274.40640000000002</v>
      </c>
      <c r="AN77" s="54">
        <f t="shared" si="136"/>
        <v>1.7464109990778097E-2</v>
      </c>
      <c r="AO77" s="468">
        <f t="shared" si="100"/>
        <v>0.82937600000000011</v>
      </c>
      <c r="AP77" s="468" t="str">
        <f t="shared" si="101"/>
        <v/>
      </c>
      <c r="AQ77" s="344"/>
      <c r="AR77" s="54" t="str">
        <f t="shared" si="137"/>
        <v/>
      </c>
      <c r="AS77" s="238">
        <v>250</v>
      </c>
      <c r="AT77" s="54">
        <f t="shared" si="138"/>
        <v>1.6578249336870028E-2</v>
      </c>
      <c r="AU77" s="353">
        <f>+Расходы!G27/1000</f>
        <v>331.45229999999998</v>
      </c>
      <c r="AV77" s="54">
        <f t="shared" si="139"/>
        <v>2.3254342084187779E-2</v>
      </c>
      <c r="AW77" s="468">
        <f t="shared" si="102"/>
        <v>0.32580919999999991</v>
      </c>
      <c r="AX77" s="468" t="str">
        <f t="shared" si="103"/>
        <v/>
      </c>
      <c r="AY77" s="344"/>
      <c r="AZ77" s="54" t="str">
        <f t="shared" si="140"/>
        <v/>
      </c>
      <c r="BA77" s="238">
        <v>250</v>
      </c>
      <c r="BB77" s="54">
        <f t="shared" si="141"/>
        <v>1.5956598053295037E-2</v>
      </c>
      <c r="BC77" s="353">
        <f>+Расходы!H27/1000</f>
        <v>0</v>
      </c>
      <c r="BD77" s="54" t="str">
        <f t="shared" si="142"/>
        <v/>
      </c>
      <c r="BE77" s="468">
        <f t="shared" si="104"/>
        <v>-1</v>
      </c>
      <c r="BF77" s="468" t="str">
        <f t="shared" si="105"/>
        <v/>
      </c>
      <c r="BG77" s="344"/>
      <c r="BH77" s="54" t="str">
        <f t="shared" si="143"/>
        <v/>
      </c>
      <c r="BI77" s="238">
        <v>250</v>
      </c>
      <c r="BJ77" s="54">
        <f t="shared" si="144"/>
        <v>1.5956598053295037E-2</v>
      </c>
      <c r="BK77" s="353">
        <f>+Расходы!I27/1000</f>
        <v>0</v>
      </c>
      <c r="BL77" s="54" t="str">
        <f t="shared" si="145"/>
        <v/>
      </c>
      <c r="BM77" s="468">
        <f t="shared" si="106"/>
        <v>-1</v>
      </c>
      <c r="BN77" s="468" t="str">
        <f t="shared" si="107"/>
        <v/>
      </c>
      <c r="BO77" s="344"/>
      <c r="BP77" s="54" t="str">
        <f t="shared" si="146"/>
        <v/>
      </c>
      <c r="BQ77" s="238">
        <v>250</v>
      </c>
      <c r="BR77" s="54">
        <f t="shared" si="147"/>
        <v>1.7265193370165747E-2</v>
      </c>
      <c r="BS77" s="353">
        <f>+Расходы!J27/1000</f>
        <v>0</v>
      </c>
      <c r="BT77" s="54" t="str">
        <f t="shared" si="148"/>
        <v/>
      </c>
      <c r="BU77" s="468">
        <f t="shared" si="108"/>
        <v>-1</v>
      </c>
      <c r="BV77" s="468" t="str">
        <f t="shared" si="109"/>
        <v/>
      </c>
      <c r="BW77" s="344"/>
      <c r="BX77" s="54" t="str">
        <f t="shared" si="149"/>
        <v/>
      </c>
      <c r="BY77" s="238">
        <v>0</v>
      </c>
      <c r="BZ77" s="54" t="str">
        <f t="shared" si="150"/>
        <v/>
      </c>
      <c r="CA77" s="353">
        <f>+Расходы!K27/1000</f>
        <v>0</v>
      </c>
      <c r="CB77" s="54" t="str">
        <f t="shared" si="151"/>
        <v/>
      </c>
      <c r="CC77" s="468" t="str">
        <f t="shared" si="110"/>
        <v/>
      </c>
      <c r="CD77" s="468" t="str">
        <f t="shared" si="111"/>
        <v/>
      </c>
      <c r="CE77" s="344"/>
      <c r="CF77" s="54" t="str">
        <f t="shared" si="152"/>
        <v/>
      </c>
      <c r="CG77" s="238">
        <v>0</v>
      </c>
      <c r="CH77" s="54" t="str">
        <f t="shared" si="153"/>
        <v/>
      </c>
      <c r="CI77" s="353">
        <f>+Расходы!L27/1000</f>
        <v>0</v>
      </c>
      <c r="CJ77" s="54" t="str">
        <f t="shared" si="154"/>
        <v/>
      </c>
      <c r="CK77" s="468" t="str">
        <f t="shared" si="112"/>
        <v/>
      </c>
      <c r="CL77" s="468" t="str">
        <f t="shared" si="113"/>
        <v/>
      </c>
      <c r="CM77" s="344"/>
      <c r="CN77" s="54" t="str">
        <f t="shared" si="155"/>
        <v/>
      </c>
      <c r="CO77" s="238">
        <v>0</v>
      </c>
      <c r="CP77" s="54" t="str">
        <f t="shared" si="156"/>
        <v/>
      </c>
      <c r="CQ77" s="353">
        <f>+Расходы!M27/1000</f>
        <v>0</v>
      </c>
      <c r="CR77" s="54" t="str">
        <f t="shared" si="157"/>
        <v/>
      </c>
      <c r="CS77" s="468" t="str">
        <f t="shared" si="114"/>
        <v/>
      </c>
      <c r="CT77" s="468" t="str">
        <f t="shared" si="115"/>
        <v/>
      </c>
      <c r="CU77" s="344">
        <f t="shared" si="158"/>
        <v>0</v>
      </c>
      <c r="CV77" s="54" t="str">
        <f t="shared" si="116"/>
        <v/>
      </c>
      <c r="CW77" s="238">
        <f t="shared" si="159"/>
        <v>1300</v>
      </c>
      <c r="CX77" s="54">
        <f t="shared" si="117"/>
        <v>9.8031840757216177E-3</v>
      </c>
      <c r="CY77" s="353">
        <f t="shared" si="118"/>
        <v>976.2037499999999</v>
      </c>
      <c r="CZ77" s="54">
        <f t="shared" si="119"/>
        <v>1.9677940357686007E-2</v>
      </c>
      <c r="DA77" s="468">
        <f t="shared" si="120"/>
        <v>-0.24907403846153853</v>
      </c>
      <c r="DB77" s="468" t="str">
        <f t="shared" si="121"/>
        <v/>
      </c>
    </row>
    <row r="78" spans="2:106" s="103" customFormat="1" ht="13.15" customHeight="1" outlineLevel="2">
      <c r="B78" s="61" t="str">
        <f>+Расходы!A28</f>
        <v>Такси завтраки</v>
      </c>
      <c r="C78" s="238"/>
      <c r="D78" s="54" t="str">
        <f t="shared" si="122"/>
        <v/>
      </c>
      <c r="E78" s="238"/>
      <c r="F78" s="54" t="str">
        <f t="shared" si="123"/>
        <v/>
      </c>
      <c r="G78" s="353">
        <f>+Расходы!B28/1000</f>
        <v>0</v>
      </c>
      <c r="H78" s="54" t="str">
        <f t="shared" si="124"/>
        <v/>
      </c>
      <c r="I78" s="468" t="str">
        <f t="shared" si="92"/>
        <v/>
      </c>
      <c r="J78" s="468" t="str">
        <f t="shared" si="93"/>
        <v/>
      </c>
      <c r="K78" s="238"/>
      <c r="L78" s="54" t="str">
        <f t="shared" si="125"/>
        <v/>
      </c>
      <c r="M78" s="238"/>
      <c r="N78" s="54" t="str">
        <f t="shared" si="126"/>
        <v/>
      </c>
      <c r="O78" s="353">
        <f>+Расходы!C28/1000</f>
        <v>0</v>
      </c>
      <c r="P78" s="54" t="str">
        <f t="shared" si="127"/>
        <v/>
      </c>
      <c r="Q78" s="468" t="str">
        <f t="shared" si="94"/>
        <v/>
      </c>
      <c r="R78" s="468" t="str">
        <f t="shared" si="95"/>
        <v/>
      </c>
      <c r="S78" s="238"/>
      <c r="T78" s="54" t="str">
        <f t="shared" si="128"/>
        <v/>
      </c>
      <c r="U78" s="238">
        <v>0</v>
      </c>
      <c r="V78" s="54" t="str">
        <f t="shared" si="129"/>
        <v/>
      </c>
      <c r="W78" s="353">
        <f>+Расходы!D28/1000</f>
        <v>0</v>
      </c>
      <c r="X78" s="54" t="str">
        <f t="shared" si="130"/>
        <v/>
      </c>
      <c r="Y78" s="468" t="str">
        <f t="shared" si="96"/>
        <v/>
      </c>
      <c r="Z78" s="468" t="str">
        <f t="shared" si="97"/>
        <v/>
      </c>
      <c r="AA78" s="238"/>
      <c r="AB78" s="54" t="str">
        <f t="shared" si="131"/>
        <v/>
      </c>
      <c r="AC78" s="238">
        <v>100</v>
      </c>
      <c r="AD78" s="54">
        <f t="shared" si="132"/>
        <v>7.3143044389050779E-3</v>
      </c>
      <c r="AE78" s="353">
        <f>+Расходы!E28/1000</f>
        <v>0</v>
      </c>
      <c r="AF78" s="54" t="str">
        <f t="shared" si="133"/>
        <v/>
      </c>
      <c r="AG78" s="468">
        <f t="shared" si="98"/>
        <v>-1</v>
      </c>
      <c r="AH78" s="468" t="str">
        <f t="shared" si="99"/>
        <v/>
      </c>
      <c r="AI78" s="238"/>
      <c r="AJ78" s="54" t="str">
        <f t="shared" si="134"/>
        <v/>
      </c>
      <c r="AK78" s="238">
        <v>100</v>
      </c>
      <c r="AL78" s="54">
        <f t="shared" si="135"/>
        <v>7.1571714858288003E-3</v>
      </c>
      <c r="AM78" s="353">
        <f>+Расходы!F28/1000</f>
        <v>0</v>
      </c>
      <c r="AN78" s="54" t="str">
        <f t="shared" si="136"/>
        <v/>
      </c>
      <c r="AO78" s="468">
        <f t="shared" si="100"/>
        <v>-1</v>
      </c>
      <c r="AP78" s="468" t="str">
        <f t="shared" si="101"/>
        <v/>
      </c>
      <c r="AQ78" s="344"/>
      <c r="AR78" s="54" t="str">
        <f t="shared" si="137"/>
        <v/>
      </c>
      <c r="AS78" s="238">
        <v>80</v>
      </c>
      <c r="AT78" s="54">
        <f t="shared" si="138"/>
        <v>5.3050397877984082E-3</v>
      </c>
      <c r="AU78" s="353">
        <f>+Расходы!G28/1000</f>
        <v>0</v>
      </c>
      <c r="AV78" s="54" t="str">
        <f t="shared" si="139"/>
        <v/>
      </c>
      <c r="AW78" s="468">
        <f t="shared" si="102"/>
        <v>-1</v>
      </c>
      <c r="AX78" s="468" t="str">
        <f t="shared" si="103"/>
        <v/>
      </c>
      <c r="AY78" s="344"/>
      <c r="AZ78" s="54" t="str">
        <f t="shared" si="140"/>
        <v/>
      </c>
      <c r="BA78" s="238">
        <v>80</v>
      </c>
      <c r="BB78" s="54">
        <f t="shared" si="141"/>
        <v>5.106111377054412E-3</v>
      </c>
      <c r="BC78" s="353">
        <f>+Расходы!H28/1000</f>
        <v>0</v>
      </c>
      <c r="BD78" s="54" t="str">
        <f t="shared" si="142"/>
        <v/>
      </c>
      <c r="BE78" s="468">
        <f t="shared" si="104"/>
        <v>-1</v>
      </c>
      <c r="BF78" s="468" t="str">
        <f t="shared" si="105"/>
        <v/>
      </c>
      <c r="BG78" s="344"/>
      <c r="BH78" s="54" t="str">
        <f t="shared" si="143"/>
        <v/>
      </c>
      <c r="BI78" s="238">
        <v>80</v>
      </c>
      <c r="BJ78" s="54">
        <f t="shared" si="144"/>
        <v>5.106111377054412E-3</v>
      </c>
      <c r="BK78" s="353">
        <f>+Расходы!I28/1000</f>
        <v>0</v>
      </c>
      <c r="BL78" s="54" t="str">
        <f t="shared" si="145"/>
        <v/>
      </c>
      <c r="BM78" s="468">
        <f t="shared" si="106"/>
        <v>-1</v>
      </c>
      <c r="BN78" s="468" t="str">
        <f t="shared" si="107"/>
        <v/>
      </c>
      <c r="BO78" s="344"/>
      <c r="BP78" s="54" t="str">
        <f t="shared" si="146"/>
        <v/>
      </c>
      <c r="BQ78" s="238">
        <v>80</v>
      </c>
      <c r="BR78" s="54">
        <f t="shared" si="147"/>
        <v>5.5248618784530384E-3</v>
      </c>
      <c r="BS78" s="353">
        <f>+Расходы!J28/1000</f>
        <v>0</v>
      </c>
      <c r="BT78" s="54" t="str">
        <f t="shared" si="148"/>
        <v/>
      </c>
      <c r="BU78" s="468">
        <f t="shared" si="108"/>
        <v>-1</v>
      </c>
      <c r="BV78" s="468" t="str">
        <f t="shared" si="109"/>
        <v/>
      </c>
      <c r="BW78" s="344"/>
      <c r="BX78" s="54" t="str">
        <f t="shared" si="149"/>
        <v/>
      </c>
      <c r="BY78" s="238">
        <v>0</v>
      </c>
      <c r="BZ78" s="54" t="str">
        <f t="shared" si="150"/>
        <v/>
      </c>
      <c r="CA78" s="353">
        <f>+Расходы!K28/1000</f>
        <v>0</v>
      </c>
      <c r="CB78" s="54" t="str">
        <f t="shared" si="151"/>
        <v/>
      </c>
      <c r="CC78" s="468" t="str">
        <f t="shared" si="110"/>
        <v/>
      </c>
      <c r="CD78" s="468" t="str">
        <f t="shared" si="111"/>
        <v/>
      </c>
      <c r="CE78" s="344"/>
      <c r="CF78" s="54" t="str">
        <f t="shared" si="152"/>
        <v/>
      </c>
      <c r="CG78" s="238">
        <v>0</v>
      </c>
      <c r="CH78" s="54" t="str">
        <f t="shared" si="153"/>
        <v/>
      </c>
      <c r="CI78" s="353">
        <f>+Расходы!L28/1000</f>
        <v>0</v>
      </c>
      <c r="CJ78" s="54" t="str">
        <f t="shared" si="154"/>
        <v/>
      </c>
      <c r="CK78" s="468" t="str">
        <f t="shared" si="112"/>
        <v/>
      </c>
      <c r="CL78" s="468" t="str">
        <f t="shared" si="113"/>
        <v/>
      </c>
      <c r="CM78" s="344"/>
      <c r="CN78" s="54" t="str">
        <f t="shared" si="155"/>
        <v/>
      </c>
      <c r="CO78" s="238">
        <v>0</v>
      </c>
      <c r="CP78" s="54" t="str">
        <f t="shared" si="156"/>
        <v/>
      </c>
      <c r="CQ78" s="353">
        <f>+Расходы!M28/1000</f>
        <v>0</v>
      </c>
      <c r="CR78" s="54" t="str">
        <f t="shared" si="157"/>
        <v/>
      </c>
      <c r="CS78" s="468" t="str">
        <f t="shared" si="114"/>
        <v/>
      </c>
      <c r="CT78" s="468" t="str">
        <f t="shared" si="115"/>
        <v/>
      </c>
      <c r="CU78" s="344">
        <f t="shared" si="158"/>
        <v>0</v>
      </c>
      <c r="CV78" s="54" t="str">
        <f t="shared" si="116"/>
        <v/>
      </c>
      <c r="CW78" s="238">
        <f t="shared" si="159"/>
        <v>520</v>
      </c>
      <c r="CX78" s="54">
        <f t="shared" si="117"/>
        <v>3.9212736302886471E-3</v>
      </c>
      <c r="CY78" s="353">
        <f t="shared" si="118"/>
        <v>0</v>
      </c>
      <c r="CZ78" s="54">
        <f t="shared" si="119"/>
        <v>0</v>
      </c>
      <c r="DA78" s="468">
        <f t="shared" si="120"/>
        <v>-1</v>
      </c>
      <c r="DB78" s="468" t="str">
        <f t="shared" si="121"/>
        <v/>
      </c>
    </row>
    <row r="79" spans="2:106" s="103" customFormat="1" ht="8.4499999999999993" customHeight="1" outlineLevel="1">
      <c r="B79" s="61" t="str">
        <f>IF(Расходы!A29="","",Расходы!A29)</f>
        <v/>
      </c>
      <c r="C79" s="238"/>
      <c r="D79" s="53" t="str">
        <f t="shared" si="122"/>
        <v/>
      </c>
      <c r="E79" s="238"/>
      <c r="F79" s="53" t="str">
        <f t="shared" si="123"/>
        <v/>
      </c>
      <c r="G79" s="355">
        <f>+Расходы!B29/1000</f>
        <v>0</v>
      </c>
      <c r="H79" s="54" t="str">
        <f t="shared" si="124"/>
        <v/>
      </c>
      <c r="I79" s="468" t="str">
        <f t="shared" si="92"/>
        <v/>
      </c>
      <c r="J79" s="468" t="str">
        <f t="shared" si="93"/>
        <v/>
      </c>
      <c r="K79" s="238"/>
      <c r="L79" s="53" t="str">
        <f t="shared" si="125"/>
        <v/>
      </c>
      <c r="M79" s="238"/>
      <c r="N79" s="53" t="str">
        <f t="shared" si="126"/>
        <v/>
      </c>
      <c r="O79" s="355">
        <f>+Расходы!C29/1000</f>
        <v>0</v>
      </c>
      <c r="P79" s="54" t="str">
        <f t="shared" si="127"/>
        <v/>
      </c>
      <c r="Q79" s="468" t="str">
        <f t="shared" si="94"/>
        <v/>
      </c>
      <c r="R79" s="468" t="str">
        <f t="shared" si="95"/>
        <v/>
      </c>
      <c r="S79" s="238"/>
      <c r="T79" s="53" t="str">
        <f t="shared" si="128"/>
        <v/>
      </c>
      <c r="U79" s="238">
        <v>0</v>
      </c>
      <c r="V79" s="53" t="str">
        <f t="shared" si="129"/>
        <v/>
      </c>
      <c r="W79" s="355">
        <f>+Расходы!D29/1000</f>
        <v>0</v>
      </c>
      <c r="X79" s="54" t="str">
        <f t="shared" si="130"/>
        <v/>
      </c>
      <c r="Y79" s="468" t="str">
        <f t="shared" si="96"/>
        <v/>
      </c>
      <c r="Z79" s="468" t="str">
        <f t="shared" si="97"/>
        <v/>
      </c>
      <c r="AA79" s="238"/>
      <c r="AB79" s="53" t="str">
        <f t="shared" si="131"/>
        <v/>
      </c>
      <c r="AC79" s="238">
        <v>0</v>
      </c>
      <c r="AD79" s="53" t="str">
        <f t="shared" si="132"/>
        <v/>
      </c>
      <c r="AE79" s="355">
        <f>+Расходы!E29/1000</f>
        <v>0</v>
      </c>
      <c r="AF79" s="54" t="str">
        <f t="shared" si="133"/>
        <v/>
      </c>
      <c r="AG79" s="468" t="str">
        <f t="shared" si="98"/>
        <v/>
      </c>
      <c r="AH79" s="468" t="str">
        <f t="shared" si="99"/>
        <v/>
      </c>
      <c r="AI79" s="238"/>
      <c r="AJ79" s="53" t="str">
        <f t="shared" si="134"/>
        <v/>
      </c>
      <c r="AK79" s="238">
        <v>0</v>
      </c>
      <c r="AL79" s="53" t="str">
        <f t="shared" si="135"/>
        <v/>
      </c>
      <c r="AM79" s="355">
        <f>+Расходы!F29/1000</f>
        <v>0</v>
      </c>
      <c r="AN79" s="54" t="str">
        <f t="shared" si="136"/>
        <v/>
      </c>
      <c r="AO79" s="468" t="str">
        <f t="shared" si="100"/>
        <v/>
      </c>
      <c r="AP79" s="468" t="str">
        <f t="shared" si="101"/>
        <v/>
      </c>
      <c r="AQ79" s="344"/>
      <c r="AR79" s="53" t="str">
        <f t="shared" si="137"/>
        <v/>
      </c>
      <c r="AS79" s="238">
        <v>0</v>
      </c>
      <c r="AT79" s="53" t="str">
        <f t="shared" si="138"/>
        <v/>
      </c>
      <c r="AU79" s="355">
        <f>+Расходы!G29/1000</f>
        <v>0</v>
      </c>
      <c r="AV79" s="54" t="str">
        <f t="shared" si="139"/>
        <v/>
      </c>
      <c r="AW79" s="468" t="str">
        <f t="shared" si="102"/>
        <v/>
      </c>
      <c r="AX79" s="468" t="str">
        <f t="shared" si="103"/>
        <v/>
      </c>
      <c r="AY79" s="344"/>
      <c r="AZ79" s="53" t="str">
        <f t="shared" si="140"/>
        <v/>
      </c>
      <c r="BA79" s="238">
        <v>0</v>
      </c>
      <c r="BB79" s="53" t="str">
        <f t="shared" si="141"/>
        <v/>
      </c>
      <c r="BC79" s="355">
        <f>+Расходы!H29/1000</f>
        <v>0</v>
      </c>
      <c r="BD79" s="54" t="str">
        <f t="shared" si="142"/>
        <v/>
      </c>
      <c r="BE79" s="468" t="str">
        <f t="shared" si="104"/>
        <v/>
      </c>
      <c r="BF79" s="468" t="str">
        <f t="shared" si="105"/>
        <v/>
      </c>
      <c r="BG79" s="344"/>
      <c r="BH79" s="53" t="str">
        <f t="shared" si="143"/>
        <v/>
      </c>
      <c r="BI79" s="238">
        <v>0</v>
      </c>
      <c r="BJ79" s="53" t="str">
        <f t="shared" si="144"/>
        <v/>
      </c>
      <c r="BK79" s="355">
        <f>+Расходы!I29/1000</f>
        <v>0</v>
      </c>
      <c r="BL79" s="54" t="str">
        <f t="shared" si="145"/>
        <v/>
      </c>
      <c r="BM79" s="468" t="str">
        <f t="shared" si="106"/>
        <v/>
      </c>
      <c r="BN79" s="468" t="str">
        <f t="shared" si="107"/>
        <v/>
      </c>
      <c r="BO79" s="344"/>
      <c r="BP79" s="53" t="str">
        <f t="shared" si="146"/>
        <v/>
      </c>
      <c r="BQ79" s="238">
        <v>0</v>
      </c>
      <c r="BR79" s="53" t="str">
        <f t="shared" si="147"/>
        <v/>
      </c>
      <c r="BS79" s="355">
        <f>+Расходы!J29/1000</f>
        <v>0</v>
      </c>
      <c r="BT79" s="54" t="str">
        <f t="shared" si="148"/>
        <v/>
      </c>
      <c r="BU79" s="468" t="str">
        <f t="shared" si="108"/>
        <v/>
      </c>
      <c r="BV79" s="468" t="str">
        <f t="shared" si="109"/>
        <v/>
      </c>
      <c r="BW79" s="344"/>
      <c r="BX79" s="53" t="str">
        <f t="shared" si="149"/>
        <v/>
      </c>
      <c r="BY79" s="238">
        <v>0</v>
      </c>
      <c r="BZ79" s="53" t="str">
        <f t="shared" si="150"/>
        <v/>
      </c>
      <c r="CA79" s="355">
        <f>+Расходы!K29/1000</f>
        <v>0</v>
      </c>
      <c r="CB79" s="54" t="str">
        <f t="shared" si="151"/>
        <v/>
      </c>
      <c r="CC79" s="468" t="str">
        <f t="shared" si="110"/>
        <v/>
      </c>
      <c r="CD79" s="468" t="str">
        <f t="shared" si="111"/>
        <v/>
      </c>
      <c r="CE79" s="344"/>
      <c r="CF79" s="53" t="str">
        <f t="shared" si="152"/>
        <v/>
      </c>
      <c r="CG79" s="238">
        <v>0</v>
      </c>
      <c r="CH79" s="53" t="str">
        <f t="shared" si="153"/>
        <v/>
      </c>
      <c r="CI79" s="355">
        <f>+Расходы!L29/1000</f>
        <v>0</v>
      </c>
      <c r="CJ79" s="54" t="str">
        <f t="shared" si="154"/>
        <v/>
      </c>
      <c r="CK79" s="468" t="str">
        <f t="shared" si="112"/>
        <v/>
      </c>
      <c r="CL79" s="468" t="str">
        <f t="shared" si="113"/>
        <v/>
      </c>
      <c r="CM79" s="344"/>
      <c r="CN79" s="53" t="str">
        <f t="shared" si="155"/>
        <v/>
      </c>
      <c r="CO79" s="238">
        <v>0</v>
      </c>
      <c r="CP79" s="53" t="str">
        <f t="shared" si="156"/>
        <v/>
      </c>
      <c r="CQ79" s="355">
        <f>+Расходы!M29/1000</f>
        <v>0</v>
      </c>
      <c r="CR79" s="54" t="str">
        <f t="shared" si="157"/>
        <v/>
      </c>
      <c r="CS79" s="468" t="str">
        <f t="shared" si="114"/>
        <v/>
      </c>
      <c r="CT79" s="468" t="str">
        <f t="shared" si="115"/>
        <v/>
      </c>
      <c r="CU79" s="344">
        <f t="shared" si="158"/>
        <v>0</v>
      </c>
      <c r="CV79" s="53" t="str">
        <f t="shared" si="116"/>
        <v/>
      </c>
      <c r="CW79" s="238">
        <f t="shared" si="159"/>
        <v>0</v>
      </c>
      <c r="CX79" s="53">
        <f t="shared" si="117"/>
        <v>0</v>
      </c>
      <c r="CY79" s="355">
        <f t="shared" si="118"/>
        <v>0</v>
      </c>
      <c r="CZ79" s="54">
        <f t="shared" si="119"/>
        <v>0</v>
      </c>
      <c r="DA79" s="468" t="str">
        <f t="shared" si="120"/>
        <v/>
      </c>
      <c r="DB79" s="468" t="str">
        <f t="shared" si="121"/>
        <v/>
      </c>
    </row>
    <row r="80" spans="2:106" s="103" customFormat="1" ht="13.9" customHeight="1" outlineLevel="1">
      <c r="B80" s="52" t="str">
        <f>+Расходы!A30</f>
        <v>Арендные платежи</v>
      </c>
      <c r="C80" s="482">
        <f>SUM(C81:C92)</f>
        <v>0</v>
      </c>
      <c r="D80" s="482" t="str">
        <f t="shared" si="122"/>
        <v/>
      </c>
      <c r="E80" s="482">
        <f>SUM(E81:E92)</f>
        <v>0</v>
      </c>
      <c r="F80" s="63" t="str">
        <f t="shared" si="123"/>
        <v/>
      </c>
      <c r="G80" s="356">
        <f>+Расходы!B30/1000</f>
        <v>0</v>
      </c>
      <c r="H80" s="64" t="str">
        <f t="shared" si="124"/>
        <v/>
      </c>
      <c r="I80" s="483" t="str">
        <f t="shared" si="92"/>
        <v/>
      </c>
      <c r="J80" s="483" t="str">
        <f t="shared" si="93"/>
        <v/>
      </c>
      <c r="K80" s="482">
        <f>SUM(K81:K92)</f>
        <v>0</v>
      </c>
      <c r="L80" s="482" t="str">
        <f t="shared" si="125"/>
        <v/>
      </c>
      <c r="M80" s="482">
        <f>SUM(M81:M92)</f>
        <v>0</v>
      </c>
      <c r="N80" s="63" t="str">
        <f t="shared" si="126"/>
        <v/>
      </c>
      <c r="O80" s="356">
        <f>+Расходы!C30/1000</f>
        <v>0</v>
      </c>
      <c r="P80" s="64" t="str">
        <f t="shared" si="127"/>
        <v/>
      </c>
      <c r="Q80" s="483" t="str">
        <f t="shared" si="94"/>
        <v/>
      </c>
      <c r="R80" s="483" t="str">
        <f t="shared" si="95"/>
        <v/>
      </c>
      <c r="S80" s="482">
        <f>SUM(S81:S92)</f>
        <v>0</v>
      </c>
      <c r="T80" s="482" t="str">
        <f t="shared" si="128"/>
        <v/>
      </c>
      <c r="U80" s="482">
        <v>0</v>
      </c>
      <c r="V80" s="63" t="str">
        <f t="shared" si="129"/>
        <v/>
      </c>
      <c r="W80" s="356">
        <f>+Расходы!D30/1000</f>
        <v>195.16129000000001</v>
      </c>
      <c r="X80" s="64">
        <f t="shared" si="130"/>
        <v>3.2911396482234102E-2</v>
      </c>
      <c r="Y80" s="483" t="str">
        <f t="shared" si="96"/>
        <v/>
      </c>
      <c r="Z80" s="483" t="str">
        <f t="shared" si="97"/>
        <v/>
      </c>
      <c r="AA80" s="482">
        <f>SUM(AA81:AA92)</f>
        <v>0</v>
      </c>
      <c r="AB80" s="482" t="str">
        <f t="shared" si="131"/>
        <v/>
      </c>
      <c r="AC80" s="482">
        <v>550</v>
      </c>
      <c r="AD80" s="63">
        <f t="shared" si="132"/>
        <v>4.0228674413977927E-2</v>
      </c>
      <c r="AE80" s="356">
        <f>+Расходы!E30/1000</f>
        <v>576.88009999999997</v>
      </c>
      <c r="AF80" s="64">
        <f t="shared" si="133"/>
        <v>4.2067504302423939E-2</v>
      </c>
      <c r="AG80" s="483">
        <f t="shared" si="98"/>
        <v>4.8872909090909022E-2</v>
      </c>
      <c r="AH80" s="483" t="str">
        <f t="shared" si="99"/>
        <v/>
      </c>
      <c r="AI80" s="482">
        <f>SUM(AI81:AI92)</f>
        <v>0</v>
      </c>
      <c r="AJ80" s="482" t="str">
        <f t="shared" si="134"/>
        <v/>
      </c>
      <c r="AK80" s="482">
        <v>550</v>
      </c>
      <c r="AL80" s="63">
        <f t="shared" si="135"/>
        <v>3.9364443172058401E-2</v>
      </c>
      <c r="AM80" s="356">
        <f>+Расходы!F30/1000</f>
        <v>561</v>
      </c>
      <c r="AN80" s="64">
        <f t="shared" si="136"/>
        <v>3.5703852770294392E-2</v>
      </c>
      <c r="AO80" s="483">
        <f t="shared" si="100"/>
        <v>2.0000000000000018E-2</v>
      </c>
      <c r="AP80" s="483" t="str">
        <f t="shared" si="101"/>
        <v/>
      </c>
      <c r="AQ80" s="484">
        <f>SUM(AQ81:AQ92)</f>
        <v>0</v>
      </c>
      <c r="AR80" s="484" t="str">
        <f t="shared" si="137"/>
        <v/>
      </c>
      <c r="AS80" s="482">
        <v>580</v>
      </c>
      <c r="AT80" s="63">
        <f t="shared" si="138"/>
        <v>3.8461538461538464E-2</v>
      </c>
      <c r="AU80" s="356">
        <f>+Расходы!G30/1000</f>
        <v>564.34799999999996</v>
      </c>
      <c r="AV80" s="64">
        <f t="shared" si="139"/>
        <v>3.9594057565831356E-2</v>
      </c>
      <c r="AW80" s="483">
        <f t="shared" si="102"/>
        <v>-2.6986206896551845E-2</v>
      </c>
      <c r="AX80" s="483" t="str">
        <f t="shared" si="103"/>
        <v/>
      </c>
      <c r="AY80" s="484">
        <f>SUM(AY81:AY92)</f>
        <v>0</v>
      </c>
      <c r="AZ80" s="484" t="str">
        <f t="shared" si="140"/>
        <v/>
      </c>
      <c r="BA80" s="482">
        <v>580</v>
      </c>
      <c r="BB80" s="63">
        <f t="shared" si="141"/>
        <v>3.7019307483644487E-2</v>
      </c>
      <c r="BC80" s="356">
        <f>+Расходы!H30/1000</f>
        <v>0</v>
      </c>
      <c r="BD80" s="64" t="str">
        <f t="shared" si="142"/>
        <v/>
      </c>
      <c r="BE80" s="483">
        <f t="shared" si="104"/>
        <v>-1</v>
      </c>
      <c r="BF80" s="483" t="str">
        <f t="shared" si="105"/>
        <v/>
      </c>
      <c r="BG80" s="484">
        <f>SUM(BG81:BG92)</f>
        <v>0</v>
      </c>
      <c r="BH80" s="484" t="str">
        <f t="shared" si="143"/>
        <v/>
      </c>
      <c r="BI80" s="482">
        <v>580</v>
      </c>
      <c r="BJ80" s="63">
        <f t="shared" si="144"/>
        <v>3.7019307483644487E-2</v>
      </c>
      <c r="BK80" s="356">
        <f>+Расходы!I30/1000</f>
        <v>0</v>
      </c>
      <c r="BL80" s="64" t="str">
        <f t="shared" si="145"/>
        <v/>
      </c>
      <c r="BM80" s="483">
        <f t="shared" si="106"/>
        <v>-1</v>
      </c>
      <c r="BN80" s="483" t="str">
        <f t="shared" si="107"/>
        <v/>
      </c>
      <c r="BO80" s="484">
        <f>SUM(BO81:BO92)</f>
        <v>0</v>
      </c>
      <c r="BP80" s="484" t="str">
        <f t="shared" si="146"/>
        <v/>
      </c>
      <c r="BQ80" s="482">
        <v>580</v>
      </c>
      <c r="BR80" s="63">
        <f t="shared" si="147"/>
        <v>4.0055248618784532E-2</v>
      </c>
      <c r="BS80" s="356">
        <f>+Расходы!J30/1000</f>
        <v>0</v>
      </c>
      <c r="BT80" s="64" t="str">
        <f t="shared" si="148"/>
        <v/>
      </c>
      <c r="BU80" s="483">
        <f t="shared" si="108"/>
        <v>-1</v>
      </c>
      <c r="BV80" s="483" t="str">
        <f t="shared" si="109"/>
        <v/>
      </c>
      <c r="BW80" s="484">
        <f>SUM(BW81:BW92)</f>
        <v>0</v>
      </c>
      <c r="BX80" s="484" t="str">
        <f t="shared" si="149"/>
        <v/>
      </c>
      <c r="BY80" s="482">
        <v>580</v>
      </c>
      <c r="BZ80" s="63">
        <f t="shared" si="150"/>
        <v>4.1181392757938494E-2</v>
      </c>
      <c r="CA80" s="356">
        <f>+Расходы!K30/1000</f>
        <v>0</v>
      </c>
      <c r="CB80" s="64" t="str">
        <f t="shared" si="151"/>
        <v/>
      </c>
      <c r="CC80" s="483">
        <f t="shared" si="110"/>
        <v>-1</v>
      </c>
      <c r="CD80" s="483" t="str">
        <f t="shared" si="111"/>
        <v/>
      </c>
      <c r="CE80" s="484">
        <f>SUM(CE81:CE92)</f>
        <v>0</v>
      </c>
      <c r="CF80" s="484" t="str">
        <f t="shared" si="152"/>
        <v/>
      </c>
      <c r="CG80" s="482">
        <v>580</v>
      </c>
      <c r="CH80" s="63">
        <f t="shared" si="153"/>
        <v>3.9887148451097504E-2</v>
      </c>
      <c r="CI80" s="356">
        <f>+Расходы!L30/1000</f>
        <v>0</v>
      </c>
      <c r="CJ80" s="64" t="str">
        <f t="shared" si="154"/>
        <v/>
      </c>
      <c r="CK80" s="483">
        <f t="shared" si="112"/>
        <v>-1</v>
      </c>
      <c r="CL80" s="483" t="str">
        <f t="shared" si="113"/>
        <v/>
      </c>
      <c r="CM80" s="484">
        <f>SUM(CM81:CM92)</f>
        <v>0</v>
      </c>
      <c r="CN80" s="484" t="str">
        <f t="shared" si="155"/>
        <v/>
      </c>
      <c r="CO80" s="482">
        <v>757.86700000000008</v>
      </c>
      <c r="CP80" s="63">
        <f t="shared" si="156"/>
        <v>4.906532805928035E-2</v>
      </c>
      <c r="CQ80" s="356">
        <f>+Расходы!M30/1000</f>
        <v>0</v>
      </c>
      <c r="CR80" s="64" t="str">
        <f t="shared" si="157"/>
        <v/>
      </c>
      <c r="CS80" s="483">
        <f t="shared" si="114"/>
        <v>-1</v>
      </c>
      <c r="CT80" s="483" t="str">
        <f t="shared" si="115"/>
        <v/>
      </c>
      <c r="CU80" s="484">
        <f t="shared" si="158"/>
        <v>0</v>
      </c>
      <c r="CV80" s="484" t="str">
        <f t="shared" si="116"/>
        <v/>
      </c>
      <c r="CW80" s="482">
        <f t="shared" si="159"/>
        <v>5337.8670000000002</v>
      </c>
      <c r="CX80" s="63">
        <f t="shared" si="117"/>
        <v>4.0252379055938405E-2</v>
      </c>
      <c r="CY80" s="356">
        <f t="shared" si="118"/>
        <v>1897.3893899999998</v>
      </c>
      <c r="CZ80" s="64">
        <f t="shared" si="119"/>
        <v>3.8246846779400545E-2</v>
      </c>
      <c r="DA80" s="483">
        <f t="shared" si="120"/>
        <v>-0.6445416511876374</v>
      </c>
      <c r="DB80" s="483" t="str">
        <f t="shared" si="121"/>
        <v/>
      </c>
    </row>
    <row r="81" spans="2:106" s="103" customFormat="1" ht="13.15" customHeight="1" outlineLevel="2">
      <c r="B81" s="61" t="str">
        <f>+Расходы!A31</f>
        <v>Аренда алкогольного склада</v>
      </c>
      <c r="C81" s="238"/>
      <c r="D81" s="38" t="str">
        <f t="shared" si="122"/>
        <v/>
      </c>
      <c r="E81" s="238"/>
      <c r="F81" s="38" t="str">
        <f t="shared" si="123"/>
        <v/>
      </c>
      <c r="G81" s="357">
        <f>+Расходы!B31/1000</f>
        <v>0</v>
      </c>
      <c r="H81" s="38" t="str">
        <f t="shared" si="124"/>
        <v/>
      </c>
      <c r="I81" s="470" t="str">
        <f t="shared" si="92"/>
        <v/>
      </c>
      <c r="J81" s="470" t="str">
        <f t="shared" si="93"/>
        <v/>
      </c>
      <c r="K81" s="238"/>
      <c r="L81" s="38" t="str">
        <f t="shared" si="125"/>
        <v/>
      </c>
      <c r="M81" s="238"/>
      <c r="N81" s="38" t="str">
        <f t="shared" si="126"/>
        <v/>
      </c>
      <c r="O81" s="357">
        <f>+Расходы!C31/1000</f>
        <v>0</v>
      </c>
      <c r="P81" s="38" t="str">
        <f t="shared" si="127"/>
        <v/>
      </c>
      <c r="Q81" s="470" t="str">
        <f t="shared" si="94"/>
        <v/>
      </c>
      <c r="R81" s="470" t="str">
        <f t="shared" si="95"/>
        <v/>
      </c>
      <c r="S81" s="238"/>
      <c r="T81" s="38" t="str">
        <f t="shared" si="128"/>
        <v/>
      </c>
      <c r="U81" s="238">
        <v>0</v>
      </c>
      <c r="V81" s="38" t="str">
        <f t="shared" si="129"/>
        <v/>
      </c>
      <c r="W81" s="357">
        <f>+Расходы!D31/1000</f>
        <v>0</v>
      </c>
      <c r="X81" s="38" t="str">
        <f t="shared" si="130"/>
        <v/>
      </c>
      <c r="Y81" s="470" t="str">
        <f t="shared" si="96"/>
        <v/>
      </c>
      <c r="Z81" s="470" t="str">
        <f t="shared" si="97"/>
        <v/>
      </c>
      <c r="AA81" s="238"/>
      <c r="AB81" s="38" t="str">
        <f t="shared" si="131"/>
        <v/>
      </c>
      <c r="AC81" s="238">
        <v>0</v>
      </c>
      <c r="AD81" s="38" t="str">
        <f t="shared" si="132"/>
        <v/>
      </c>
      <c r="AE81" s="357">
        <f>+Расходы!E31/1000</f>
        <v>0</v>
      </c>
      <c r="AF81" s="38" t="str">
        <f t="shared" si="133"/>
        <v/>
      </c>
      <c r="AG81" s="470" t="str">
        <f t="shared" si="98"/>
        <v/>
      </c>
      <c r="AH81" s="470" t="str">
        <f t="shared" si="99"/>
        <v/>
      </c>
      <c r="AI81" s="238"/>
      <c r="AJ81" s="38" t="str">
        <f t="shared" si="134"/>
        <v/>
      </c>
      <c r="AK81" s="238">
        <v>0</v>
      </c>
      <c r="AL81" s="38" t="str">
        <f t="shared" si="135"/>
        <v/>
      </c>
      <c r="AM81" s="357">
        <f>+Расходы!F31/1000</f>
        <v>6</v>
      </c>
      <c r="AN81" s="38">
        <f t="shared" si="136"/>
        <v>3.8185938791758712E-4</v>
      </c>
      <c r="AO81" s="470" t="str">
        <f t="shared" si="100"/>
        <v/>
      </c>
      <c r="AP81" s="470" t="str">
        <f t="shared" si="101"/>
        <v/>
      </c>
      <c r="AQ81" s="344"/>
      <c r="AR81" s="38" t="str">
        <f t="shared" si="137"/>
        <v/>
      </c>
      <c r="AS81" s="238">
        <v>0</v>
      </c>
      <c r="AT81" s="38" t="str">
        <f t="shared" si="138"/>
        <v/>
      </c>
      <c r="AU81" s="357">
        <f>+Расходы!G31/1000</f>
        <v>0</v>
      </c>
      <c r="AV81" s="38" t="str">
        <f t="shared" si="139"/>
        <v/>
      </c>
      <c r="AW81" s="470" t="str">
        <f t="shared" si="102"/>
        <v/>
      </c>
      <c r="AX81" s="470" t="str">
        <f t="shared" si="103"/>
        <v/>
      </c>
      <c r="AY81" s="344"/>
      <c r="AZ81" s="38" t="str">
        <f t="shared" si="140"/>
        <v/>
      </c>
      <c r="BA81" s="238">
        <v>0</v>
      </c>
      <c r="BB81" s="38" t="str">
        <f t="shared" si="141"/>
        <v/>
      </c>
      <c r="BC81" s="357">
        <f>+Расходы!H31/1000</f>
        <v>0</v>
      </c>
      <c r="BD81" s="38" t="str">
        <f t="shared" si="142"/>
        <v/>
      </c>
      <c r="BE81" s="470" t="str">
        <f t="shared" si="104"/>
        <v/>
      </c>
      <c r="BF81" s="470" t="str">
        <f t="shared" si="105"/>
        <v/>
      </c>
      <c r="BG81" s="344"/>
      <c r="BH81" s="38" t="str">
        <f t="shared" si="143"/>
        <v/>
      </c>
      <c r="BI81" s="238">
        <v>0</v>
      </c>
      <c r="BJ81" s="38" t="str">
        <f t="shared" si="144"/>
        <v/>
      </c>
      <c r="BK81" s="357">
        <f>+Расходы!I31/1000</f>
        <v>0</v>
      </c>
      <c r="BL81" s="38" t="str">
        <f t="shared" si="145"/>
        <v/>
      </c>
      <c r="BM81" s="470" t="str">
        <f t="shared" si="106"/>
        <v/>
      </c>
      <c r="BN81" s="470" t="str">
        <f t="shared" si="107"/>
        <v/>
      </c>
      <c r="BO81" s="344"/>
      <c r="BP81" s="38" t="str">
        <f t="shared" si="146"/>
        <v/>
      </c>
      <c r="BQ81" s="238">
        <v>0</v>
      </c>
      <c r="BR81" s="38" t="str">
        <f t="shared" si="147"/>
        <v/>
      </c>
      <c r="BS81" s="357">
        <f>+Расходы!J31/1000</f>
        <v>0</v>
      </c>
      <c r="BT81" s="38" t="str">
        <f t="shared" si="148"/>
        <v/>
      </c>
      <c r="BU81" s="470" t="str">
        <f t="shared" si="108"/>
        <v/>
      </c>
      <c r="BV81" s="470" t="str">
        <f t="shared" si="109"/>
        <v/>
      </c>
      <c r="BW81" s="344"/>
      <c r="BX81" s="38" t="str">
        <f t="shared" si="149"/>
        <v/>
      </c>
      <c r="BY81" s="238">
        <v>0</v>
      </c>
      <c r="BZ81" s="38" t="str">
        <f t="shared" si="150"/>
        <v/>
      </c>
      <c r="CA81" s="357">
        <f>+Расходы!K31/1000</f>
        <v>0</v>
      </c>
      <c r="CB81" s="38" t="str">
        <f t="shared" si="151"/>
        <v/>
      </c>
      <c r="CC81" s="470" t="str">
        <f t="shared" si="110"/>
        <v/>
      </c>
      <c r="CD81" s="470" t="str">
        <f t="shared" si="111"/>
        <v/>
      </c>
      <c r="CE81" s="344"/>
      <c r="CF81" s="38" t="str">
        <f t="shared" si="152"/>
        <v/>
      </c>
      <c r="CG81" s="238">
        <v>0</v>
      </c>
      <c r="CH81" s="38" t="str">
        <f t="shared" si="153"/>
        <v/>
      </c>
      <c r="CI81" s="357">
        <f>+Расходы!L31/1000</f>
        <v>0</v>
      </c>
      <c r="CJ81" s="38" t="str">
        <f t="shared" si="154"/>
        <v/>
      </c>
      <c r="CK81" s="470" t="str">
        <f t="shared" si="112"/>
        <v/>
      </c>
      <c r="CL81" s="470" t="str">
        <f t="shared" si="113"/>
        <v/>
      </c>
      <c r="CM81" s="344"/>
      <c r="CN81" s="38" t="str">
        <f t="shared" si="155"/>
        <v/>
      </c>
      <c r="CO81" s="238">
        <v>0</v>
      </c>
      <c r="CP81" s="38" t="str">
        <f t="shared" si="156"/>
        <v/>
      </c>
      <c r="CQ81" s="357">
        <f>+Расходы!M31/1000</f>
        <v>0</v>
      </c>
      <c r="CR81" s="38" t="str">
        <f t="shared" si="157"/>
        <v/>
      </c>
      <c r="CS81" s="470" t="str">
        <f t="shared" si="114"/>
        <v/>
      </c>
      <c r="CT81" s="470" t="str">
        <f t="shared" si="115"/>
        <v/>
      </c>
      <c r="CU81" s="344">
        <f t="shared" si="158"/>
        <v>0</v>
      </c>
      <c r="CV81" s="38" t="str">
        <f t="shared" si="116"/>
        <v/>
      </c>
      <c r="CW81" s="238">
        <f t="shared" si="159"/>
        <v>0</v>
      </c>
      <c r="CX81" s="38">
        <f t="shared" si="117"/>
        <v>0</v>
      </c>
      <c r="CY81" s="357">
        <f t="shared" si="118"/>
        <v>6</v>
      </c>
      <c r="CZ81" s="38">
        <f t="shared" si="119"/>
        <v>1.2094569616856732E-4</v>
      </c>
      <c r="DA81" s="470" t="str">
        <f t="shared" si="120"/>
        <v/>
      </c>
      <c r="DB81" s="470" t="str">
        <f t="shared" si="121"/>
        <v/>
      </c>
    </row>
    <row r="82" spans="2:106" s="103" customFormat="1" ht="13.15" customHeight="1" outlineLevel="2">
      <c r="B82" s="61" t="str">
        <f>+Расходы!A32</f>
        <v>Аренда гаража</v>
      </c>
      <c r="C82" s="238"/>
      <c r="D82" s="38" t="str">
        <f t="shared" si="122"/>
        <v/>
      </c>
      <c r="E82" s="238"/>
      <c r="F82" s="38" t="str">
        <f t="shared" si="123"/>
        <v/>
      </c>
      <c r="G82" s="357">
        <f>+Расходы!B32/1000</f>
        <v>0</v>
      </c>
      <c r="H82" s="38" t="str">
        <f t="shared" si="124"/>
        <v/>
      </c>
      <c r="I82" s="470" t="str">
        <f t="shared" si="92"/>
        <v/>
      </c>
      <c r="J82" s="470" t="str">
        <f t="shared" si="93"/>
        <v/>
      </c>
      <c r="K82" s="238"/>
      <c r="L82" s="38" t="str">
        <f t="shared" si="125"/>
        <v/>
      </c>
      <c r="M82" s="238"/>
      <c r="N82" s="38" t="str">
        <f t="shared" si="126"/>
        <v/>
      </c>
      <c r="O82" s="357">
        <f>+Расходы!C32/1000</f>
        <v>0</v>
      </c>
      <c r="P82" s="38" t="str">
        <f t="shared" si="127"/>
        <v/>
      </c>
      <c r="Q82" s="470" t="str">
        <f t="shared" si="94"/>
        <v/>
      </c>
      <c r="R82" s="470" t="str">
        <f t="shared" si="95"/>
        <v/>
      </c>
      <c r="S82" s="238"/>
      <c r="T82" s="38" t="str">
        <f t="shared" si="128"/>
        <v/>
      </c>
      <c r="U82" s="238">
        <v>0</v>
      </c>
      <c r="V82" s="38" t="str">
        <f t="shared" si="129"/>
        <v/>
      </c>
      <c r="W82" s="357">
        <f>+Расходы!D32/1000</f>
        <v>0</v>
      </c>
      <c r="X82" s="38" t="str">
        <f t="shared" si="130"/>
        <v/>
      </c>
      <c r="Y82" s="470" t="str">
        <f t="shared" si="96"/>
        <v/>
      </c>
      <c r="Z82" s="470" t="str">
        <f t="shared" si="97"/>
        <v/>
      </c>
      <c r="AA82" s="238"/>
      <c r="AB82" s="38" t="str">
        <f t="shared" si="131"/>
        <v/>
      </c>
      <c r="AC82" s="238">
        <v>0</v>
      </c>
      <c r="AD82" s="38" t="str">
        <f t="shared" si="132"/>
        <v/>
      </c>
      <c r="AE82" s="357">
        <f>+Расходы!E32/1000</f>
        <v>0</v>
      </c>
      <c r="AF82" s="38" t="str">
        <f t="shared" si="133"/>
        <v/>
      </c>
      <c r="AG82" s="470" t="str">
        <f t="shared" si="98"/>
        <v/>
      </c>
      <c r="AH82" s="470" t="str">
        <f t="shared" si="99"/>
        <v/>
      </c>
      <c r="AI82" s="238"/>
      <c r="AJ82" s="38" t="str">
        <f t="shared" si="134"/>
        <v/>
      </c>
      <c r="AK82" s="238">
        <v>0</v>
      </c>
      <c r="AL82" s="38" t="str">
        <f t="shared" si="135"/>
        <v/>
      </c>
      <c r="AM82" s="357">
        <f>+Расходы!F32/1000</f>
        <v>0</v>
      </c>
      <c r="AN82" s="38" t="str">
        <f t="shared" si="136"/>
        <v/>
      </c>
      <c r="AO82" s="470" t="str">
        <f t="shared" si="100"/>
        <v/>
      </c>
      <c r="AP82" s="470" t="str">
        <f t="shared" si="101"/>
        <v/>
      </c>
      <c r="AQ82" s="344">
        <f>SUM(AQ83:AQ94)</f>
        <v>0</v>
      </c>
      <c r="AR82" s="38" t="str">
        <f t="shared" si="137"/>
        <v/>
      </c>
      <c r="AS82" s="238">
        <v>0</v>
      </c>
      <c r="AT82" s="38" t="str">
        <f t="shared" si="138"/>
        <v/>
      </c>
      <c r="AU82" s="357">
        <f>+Расходы!G32/1000</f>
        <v>0</v>
      </c>
      <c r="AV82" s="38" t="str">
        <f t="shared" si="139"/>
        <v/>
      </c>
      <c r="AW82" s="470" t="str">
        <f t="shared" si="102"/>
        <v/>
      </c>
      <c r="AX82" s="470" t="str">
        <f t="shared" si="103"/>
        <v/>
      </c>
      <c r="AY82" s="344">
        <f>SUM(AY83:AY94)</f>
        <v>0</v>
      </c>
      <c r="AZ82" s="38" t="str">
        <f t="shared" si="140"/>
        <v/>
      </c>
      <c r="BA82" s="238">
        <v>0</v>
      </c>
      <c r="BB82" s="38" t="str">
        <f t="shared" si="141"/>
        <v/>
      </c>
      <c r="BC82" s="357">
        <f>+Расходы!H32/1000</f>
        <v>0</v>
      </c>
      <c r="BD82" s="38" t="str">
        <f t="shared" si="142"/>
        <v/>
      </c>
      <c r="BE82" s="470" t="str">
        <f t="shared" si="104"/>
        <v/>
      </c>
      <c r="BF82" s="470" t="str">
        <f t="shared" si="105"/>
        <v/>
      </c>
      <c r="BG82" s="344">
        <f>SUM(BG83:BG94)</f>
        <v>0</v>
      </c>
      <c r="BH82" s="38" t="str">
        <f t="shared" si="143"/>
        <v/>
      </c>
      <c r="BI82" s="238">
        <v>0</v>
      </c>
      <c r="BJ82" s="38" t="str">
        <f t="shared" si="144"/>
        <v/>
      </c>
      <c r="BK82" s="357">
        <f>+Расходы!I32/1000</f>
        <v>0</v>
      </c>
      <c r="BL82" s="38" t="str">
        <f t="shared" si="145"/>
        <v/>
      </c>
      <c r="BM82" s="470" t="str">
        <f t="shared" si="106"/>
        <v/>
      </c>
      <c r="BN82" s="470" t="str">
        <f t="shared" si="107"/>
        <v/>
      </c>
      <c r="BO82" s="344">
        <f>SUM(BO83:BO94)</f>
        <v>0</v>
      </c>
      <c r="BP82" s="38" t="str">
        <f t="shared" si="146"/>
        <v/>
      </c>
      <c r="BQ82" s="238">
        <v>0</v>
      </c>
      <c r="BR82" s="38" t="str">
        <f t="shared" si="147"/>
        <v/>
      </c>
      <c r="BS82" s="357">
        <f>+Расходы!J32/1000</f>
        <v>0</v>
      </c>
      <c r="BT82" s="38" t="str">
        <f t="shared" si="148"/>
        <v/>
      </c>
      <c r="BU82" s="470" t="str">
        <f t="shared" si="108"/>
        <v/>
      </c>
      <c r="BV82" s="470" t="str">
        <f t="shared" si="109"/>
        <v/>
      </c>
      <c r="BW82" s="344">
        <f>SUM(BW83:BW94)</f>
        <v>0</v>
      </c>
      <c r="BX82" s="38" t="str">
        <f t="shared" si="149"/>
        <v/>
      </c>
      <c r="BY82" s="238">
        <v>0</v>
      </c>
      <c r="BZ82" s="38" t="str">
        <f t="shared" si="150"/>
        <v/>
      </c>
      <c r="CA82" s="357">
        <f>+Расходы!K32/1000</f>
        <v>0</v>
      </c>
      <c r="CB82" s="38" t="str">
        <f t="shared" si="151"/>
        <v/>
      </c>
      <c r="CC82" s="470" t="str">
        <f t="shared" si="110"/>
        <v/>
      </c>
      <c r="CD82" s="470" t="str">
        <f t="shared" si="111"/>
        <v/>
      </c>
      <c r="CE82" s="344">
        <f>SUM(CE83:CE94)</f>
        <v>0</v>
      </c>
      <c r="CF82" s="38" t="str">
        <f t="shared" si="152"/>
        <v/>
      </c>
      <c r="CG82" s="238">
        <v>0</v>
      </c>
      <c r="CH82" s="38" t="str">
        <f t="shared" si="153"/>
        <v/>
      </c>
      <c r="CI82" s="357">
        <f>+Расходы!L32/1000</f>
        <v>0</v>
      </c>
      <c r="CJ82" s="38" t="str">
        <f t="shared" si="154"/>
        <v/>
      </c>
      <c r="CK82" s="470" t="str">
        <f t="shared" si="112"/>
        <v/>
      </c>
      <c r="CL82" s="470" t="str">
        <f t="shared" si="113"/>
        <v/>
      </c>
      <c r="CM82" s="344">
        <f>SUM(CM83:CM94)</f>
        <v>0</v>
      </c>
      <c r="CN82" s="38" t="str">
        <f t="shared" si="155"/>
        <v/>
      </c>
      <c r="CO82" s="238">
        <v>0</v>
      </c>
      <c r="CP82" s="38" t="str">
        <f t="shared" si="156"/>
        <v/>
      </c>
      <c r="CQ82" s="357">
        <f>+Расходы!M32/1000</f>
        <v>0</v>
      </c>
      <c r="CR82" s="38" t="str">
        <f t="shared" si="157"/>
        <v/>
      </c>
      <c r="CS82" s="470" t="str">
        <f t="shared" si="114"/>
        <v/>
      </c>
      <c r="CT82" s="470" t="str">
        <f t="shared" si="115"/>
        <v/>
      </c>
      <c r="CU82" s="344">
        <f t="shared" si="158"/>
        <v>0</v>
      </c>
      <c r="CV82" s="38" t="str">
        <f t="shared" si="116"/>
        <v/>
      </c>
      <c r="CW82" s="238">
        <f t="shared" si="159"/>
        <v>0</v>
      </c>
      <c r="CX82" s="38">
        <f t="shared" si="117"/>
        <v>0</v>
      </c>
      <c r="CY82" s="357">
        <f t="shared" si="118"/>
        <v>0</v>
      </c>
      <c r="CZ82" s="38">
        <f t="shared" si="119"/>
        <v>0</v>
      </c>
      <c r="DA82" s="470" t="str">
        <f t="shared" si="120"/>
        <v/>
      </c>
      <c r="DB82" s="470" t="str">
        <f t="shared" si="121"/>
        <v/>
      </c>
    </row>
    <row r="83" spans="2:106" s="103" customFormat="1" ht="13.9" customHeight="1" outlineLevel="2">
      <c r="B83" s="61" t="str">
        <f>+Расходы!A33</f>
        <v>Аренда заведения</v>
      </c>
      <c r="C83" s="238"/>
      <c r="D83" s="53" t="str">
        <f t="shared" si="122"/>
        <v/>
      </c>
      <c r="E83" s="238"/>
      <c r="F83" s="53" t="str">
        <f t="shared" si="123"/>
        <v/>
      </c>
      <c r="G83" s="355">
        <f>+Расходы!B33/1000</f>
        <v>0</v>
      </c>
      <c r="H83" s="54" t="str">
        <f t="shared" si="124"/>
        <v/>
      </c>
      <c r="I83" s="468" t="str">
        <f t="shared" ref="I83:I114" si="160">IF(IFERROR(G83/E83-1,"")=0,"",IFERROR(+G83/E83-1,""))</f>
        <v/>
      </c>
      <c r="J83" s="468" t="str">
        <f t="shared" ref="J83:J114" si="161">IF(IFERROR(G83/C83-1,"")=0,"",IFERROR(+G83/C83-1,""))</f>
        <v/>
      </c>
      <c r="K83" s="238"/>
      <c r="L83" s="53" t="str">
        <f t="shared" si="125"/>
        <v/>
      </c>
      <c r="M83" s="238"/>
      <c r="N83" s="53" t="str">
        <f t="shared" si="126"/>
        <v/>
      </c>
      <c r="O83" s="355">
        <f>+Расходы!C33/1000</f>
        <v>0</v>
      </c>
      <c r="P83" s="54" t="str">
        <f t="shared" si="127"/>
        <v/>
      </c>
      <c r="Q83" s="468" t="str">
        <f t="shared" ref="Q83:Q114" si="162">IF(IFERROR(O83/M83-1,"")=0,"",IFERROR(+O83/M83-1,""))</f>
        <v/>
      </c>
      <c r="R83" s="468" t="str">
        <f t="shared" ref="R83:R114" si="163">IF(IFERROR(O83/K83-1,"")=0,"",IFERROR(+O83/K83-1,""))</f>
        <v/>
      </c>
      <c r="S83" s="238"/>
      <c r="T83" s="53" t="str">
        <f t="shared" si="128"/>
        <v/>
      </c>
      <c r="U83" s="238">
        <v>0</v>
      </c>
      <c r="V83" s="53" t="str">
        <f t="shared" si="129"/>
        <v/>
      </c>
      <c r="W83" s="355">
        <f>+Расходы!D33/1000</f>
        <v>195.16129000000001</v>
      </c>
      <c r="X83" s="54">
        <f t="shared" si="130"/>
        <v>3.2911396482234102E-2</v>
      </c>
      <c r="Y83" s="468" t="str">
        <f t="shared" ref="Y83:Y114" si="164">IF(IFERROR(W83/U83-1,"")=0,"",IFERROR(+W83/U83-1,""))</f>
        <v/>
      </c>
      <c r="Z83" s="468" t="str">
        <f t="shared" ref="Z83:Z114" si="165">IF(IFERROR(W83/S83-1,"")=0,"",IFERROR(+W83/S83-1,""))</f>
        <v/>
      </c>
      <c r="AA83" s="238"/>
      <c r="AB83" s="53" t="str">
        <f t="shared" si="131"/>
        <v/>
      </c>
      <c r="AC83" s="238">
        <v>0</v>
      </c>
      <c r="AD83" s="53" t="str">
        <f t="shared" si="132"/>
        <v/>
      </c>
      <c r="AE83" s="355">
        <f>+Расходы!E33/1000</f>
        <v>550</v>
      </c>
      <c r="AF83" s="54">
        <f t="shared" si="133"/>
        <v>4.0107341831228306E-2</v>
      </c>
      <c r="AG83" s="468" t="str">
        <f t="shared" ref="AG83:AG114" si="166">IF(IFERROR(AE83/AC83-1,"")=0,"",IFERROR(+AE83/AC83-1,""))</f>
        <v/>
      </c>
      <c r="AH83" s="468" t="str">
        <f t="shared" ref="AH83:AH114" si="167">IF(IFERROR(AE83/AA83-1,"")=0,"",IFERROR(+AE83/AA83-1,""))</f>
        <v/>
      </c>
      <c r="AI83" s="238"/>
      <c r="AJ83" s="53" t="str">
        <f t="shared" si="134"/>
        <v/>
      </c>
      <c r="AK83" s="238">
        <v>0</v>
      </c>
      <c r="AL83" s="53" t="str">
        <f t="shared" si="135"/>
        <v/>
      </c>
      <c r="AM83" s="355">
        <f>+Расходы!F33/1000</f>
        <v>550</v>
      </c>
      <c r="AN83" s="54">
        <f t="shared" si="136"/>
        <v>3.5003777225778819E-2</v>
      </c>
      <c r="AO83" s="468" t="str">
        <f t="shared" ref="AO83:AO114" si="168">IF(IFERROR(AM83/AK83-1,"")=0,"",IFERROR(+AM83/AK83-1,""))</f>
        <v/>
      </c>
      <c r="AP83" s="468" t="str">
        <f t="shared" ref="AP83:AP114" si="169">IF(IFERROR(AM83/AI83-1,"")=0,"",IFERROR(+AM83/AI83-1,""))</f>
        <v/>
      </c>
      <c r="AQ83" s="344"/>
      <c r="AR83" s="53" t="str">
        <f t="shared" si="137"/>
        <v/>
      </c>
      <c r="AS83" s="238">
        <v>0</v>
      </c>
      <c r="AT83" s="53" t="str">
        <f t="shared" si="138"/>
        <v/>
      </c>
      <c r="AU83" s="355">
        <f>+Расходы!G33/1000</f>
        <v>550</v>
      </c>
      <c r="AV83" s="54">
        <f t="shared" si="139"/>
        <v>3.8587417092303414E-2</v>
      </c>
      <c r="AW83" s="468" t="str">
        <f t="shared" ref="AW83:AW114" si="170">IF(IFERROR(AU83/AS83-1,"")=0,"",IFERROR(+AU83/AS83-1,""))</f>
        <v/>
      </c>
      <c r="AX83" s="468" t="str">
        <f t="shared" ref="AX83:AX114" si="171">IF(IFERROR(AU83/AQ83-1,"")=0,"",IFERROR(+AU83/AQ83-1,""))</f>
        <v/>
      </c>
      <c r="AY83" s="344"/>
      <c r="AZ83" s="53" t="str">
        <f t="shared" si="140"/>
        <v/>
      </c>
      <c r="BA83" s="238">
        <v>0</v>
      </c>
      <c r="BB83" s="53" t="str">
        <f t="shared" si="141"/>
        <v/>
      </c>
      <c r="BC83" s="355">
        <f>+Расходы!H33/1000</f>
        <v>0</v>
      </c>
      <c r="BD83" s="54" t="str">
        <f t="shared" si="142"/>
        <v/>
      </c>
      <c r="BE83" s="468" t="str">
        <f t="shared" ref="BE83:BE114" si="172">IF(IFERROR(BC83/BA83-1,"")=0,"",IFERROR(+BC83/BA83-1,""))</f>
        <v/>
      </c>
      <c r="BF83" s="468" t="str">
        <f t="shared" ref="BF83:BF114" si="173">IF(IFERROR(BC83/AY83-1,"")=0,"",IFERROR(+BC83/AY83-1,""))</f>
        <v/>
      </c>
      <c r="BG83" s="344"/>
      <c r="BH83" s="53" t="str">
        <f t="shared" si="143"/>
        <v/>
      </c>
      <c r="BI83" s="238">
        <v>0</v>
      </c>
      <c r="BJ83" s="53" t="str">
        <f t="shared" si="144"/>
        <v/>
      </c>
      <c r="BK83" s="355">
        <f>+Расходы!I33/1000</f>
        <v>0</v>
      </c>
      <c r="BL83" s="54" t="str">
        <f t="shared" si="145"/>
        <v/>
      </c>
      <c r="BM83" s="468" t="str">
        <f t="shared" ref="BM83:BM114" si="174">IF(IFERROR(BK83/BI83-1,"")=0,"",IFERROR(+BK83/BI83-1,""))</f>
        <v/>
      </c>
      <c r="BN83" s="468" t="str">
        <f t="shared" ref="BN83:BN114" si="175">IF(IFERROR(BK83/BG83-1,"")=0,"",IFERROR(+BK83/BG83-1,""))</f>
        <v/>
      </c>
      <c r="BO83" s="344"/>
      <c r="BP83" s="53" t="str">
        <f t="shared" si="146"/>
        <v/>
      </c>
      <c r="BQ83" s="238">
        <v>0</v>
      </c>
      <c r="BR83" s="53" t="str">
        <f t="shared" si="147"/>
        <v/>
      </c>
      <c r="BS83" s="355">
        <f>+Расходы!J33/1000</f>
        <v>0</v>
      </c>
      <c r="BT83" s="54" t="str">
        <f t="shared" si="148"/>
        <v/>
      </c>
      <c r="BU83" s="468" t="str">
        <f t="shared" ref="BU83:BU114" si="176">IF(IFERROR(BS83/BQ83-1,"")=0,"",IFERROR(+BS83/BQ83-1,""))</f>
        <v/>
      </c>
      <c r="BV83" s="468" t="str">
        <f t="shared" ref="BV83:BV114" si="177">IF(IFERROR(BS83/BO83-1,"")=0,"",IFERROR(+BS83/BO83-1,""))</f>
        <v/>
      </c>
      <c r="BW83" s="344"/>
      <c r="BX83" s="53" t="str">
        <f t="shared" si="149"/>
        <v/>
      </c>
      <c r="BY83" s="238">
        <v>0</v>
      </c>
      <c r="BZ83" s="53" t="str">
        <f t="shared" si="150"/>
        <v/>
      </c>
      <c r="CA83" s="355">
        <f>+Расходы!K33/1000</f>
        <v>0</v>
      </c>
      <c r="CB83" s="54" t="str">
        <f t="shared" si="151"/>
        <v/>
      </c>
      <c r="CC83" s="468" t="str">
        <f t="shared" ref="CC83:CC114" si="178">IF(IFERROR(CA83/BY83-1,"")=0,"",IFERROR(+CA83/BY83-1,""))</f>
        <v/>
      </c>
      <c r="CD83" s="468" t="str">
        <f t="shared" ref="CD83:CD114" si="179">IF(IFERROR(CA83/BW83-1,"")=0,"",IFERROR(+CA83/BW83-1,""))</f>
        <v/>
      </c>
      <c r="CE83" s="344"/>
      <c r="CF83" s="53" t="str">
        <f t="shared" si="152"/>
        <v/>
      </c>
      <c r="CG83" s="238">
        <v>0</v>
      </c>
      <c r="CH83" s="53" t="str">
        <f t="shared" si="153"/>
        <v/>
      </c>
      <c r="CI83" s="355">
        <f>+Расходы!L33/1000</f>
        <v>0</v>
      </c>
      <c r="CJ83" s="54" t="str">
        <f t="shared" si="154"/>
        <v/>
      </c>
      <c r="CK83" s="468" t="str">
        <f t="shared" ref="CK83:CK114" si="180">IF(IFERROR(CI83/CG83-1,"")=0,"",IFERROR(+CI83/CG83-1,""))</f>
        <v/>
      </c>
      <c r="CL83" s="468" t="str">
        <f t="shared" ref="CL83:CL114" si="181">IF(IFERROR(CI83/CE83-1,"")=0,"",IFERROR(+CI83/CE83-1,""))</f>
        <v/>
      </c>
      <c r="CM83" s="344"/>
      <c r="CN83" s="53" t="str">
        <f t="shared" si="155"/>
        <v/>
      </c>
      <c r="CO83" s="238">
        <v>0</v>
      </c>
      <c r="CP83" s="53" t="str">
        <f t="shared" si="156"/>
        <v/>
      </c>
      <c r="CQ83" s="355">
        <f>+Расходы!M33/1000</f>
        <v>0</v>
      </c>
      <c r="CR83" s="54" t="str">
        <f t="shared" si="157"/>
        <v/>
      </c>
      <c r="CS83" s="468" t="str">
        <f t="shared" ref="CS83:CS114" si="182">IF(IFERROR(CQ83/CO83-1,"")=0,"",IFERROR(+CQ83/CO83-1,""))</f>
        <v/>
      </c>
      <c r="CT83" s="468" t="str">
        <f t="shared" ref="CT83:CT114" si="183">IF(IFERROR(CQ83/CM83-1,"")=0,"",IFERROR(+CQ83/CM83-1,""))</f>
        <v/>
      </c>
      <c r="CU83" s="344">
        <f t="shared" si="158"/>
        <v>0</v>
      </c>
      <c r="CV83" s="53" t="str">
        <f t="shared" ref="CV83:CV114" si="184">IFERROR(CU83/CU$4,"")</f>
        <v/>
      </c>
      <c r="CW83" s="238">
        <f t="shared" si="159"/>
        <v>0</v>
      </c>
      <c r="CX83" s="53">
        <f t="shared" ref="CX83:CX114" si="185">IFERROR(CW83/CW$4,"")</f>
        <v>0</v>
      </c>
      <c r="CY83" s="355">
        <f t="shared" ref="CY83:CY114" si="186">SUM(G83,O83,W83,AE83,AM83,AU83,BC83,BK83,BS83,CA83,CI83,CQ83)</f>
        <v>1845.16129</v>
      </c>
      <c r="CZ83" s="54">
        <f t="shared" ref="CZ83:CZ114" si="187">IFERROR(CY83/CY$4,"")</f>
        <v>3.7194052793723627E-2</v>
      </c>
      <c r="DA83" s="468" t="str">
        <f t="shared" ref="DA83:DA114" si="188">IF(IFERROR(CY83/CW83-1,"")=0,"",IFERROR(+CY83/CW83-1,""))</f>
        <v/>
      </c>
      <c r="DB83" s="468" t="str">
        <f t="shared" ref="DB83:DB114" si="189">IF(IFERROR(CY83/CU83-1,"")=0,"",IFERROR(+CY83/CU83-1,""))</f>
        <v/>
      </c>
    </row>
    <row r="84" spans="2:106" s="103" customFormat="1" ht="13.15" customHeight="1" outlineLevel="2">
      <c r="B84" s="61" t="str">
        <f>+Расходы!A34</f>
        <v>Аренда земельного участка</v>
      </c>
      <c r="C84" s="238"/>
      <c r="D84" s="38" t="str">
        <f t="shared" si="122"/>
        <v/>
      </c>
      <c r="E84" s="238"/>
      <c r="F84" s="38" t="str">
        <f t="shared" si="123"/>
        <v/>
      </c>
      <c r="G84" s="357">
        <f>+Расходы!B34/1000</f>
        <v>0</v>
      </c>
      <c r="H84" s="38" t="str">
        <f t="shared" si="124"/>
        <v/>
      </c>
      <c r="I84" s="470" t="str">
        <f t="shared" si="160"/>
        <v/>
      </c>
      <c r="J84" s="470" t="str">
        <f t="shared" si="161"/>
        <v/>
      </c>
      <c r="K84" s="238"/>
      <c r="L84" s="38" t="str">
        <f t="shared" si="125"/>
        <v/>
      </c>
      <c r="M84" s="238"/>
      <c r="N84" s="38" t="str">
        <f t="shared" si="126"/>
        <v/>
      </c>
      <c r="O84" s="357">
        <f>+Расходы!C34/1000</f>
        <v>0</v>
      </c>
      <c r="P84" s="38" t="str">
        <f t="shared" si="127"/>
        <v/>
      </c>
      <c r="Q84" s="470" t="str">
        <f t="shared" si="162"/>
        <v/>
      </c>
      <c r="R84" s="470" t="str">
        <f t="shared" si="163"/>
        <v/>
      </c>
      <c r="S84" s="238"/>
      <c r="T84" s="38" t="str">
        <f t="shared" si="128"/>
        <v/>
      </c>
      <c r="U84" s="238">
        <v>0</v>
      </c>
      <c r="V84" s="38" t="str">
        <f t="shared" si="129"/>
        <v/>
      </c>
      <c r="W84" s="357">
        <f>+Расходы!D34/1000</f>
        <v>0</v>
      </c>
      <c r="X84" s="38" t="str">
        <f t="shared" si="130"/>
        <v/>
      </c>
      <c r="Y84" s="470" t="str">
        <f t="shared" si="164"/>
        <v/>
      </c>
      <c r="Z84" s="470" t="str">
        <f t="shared" si="165"/>
        <v/>
      </c>
      <c r="AA84" s="238"/>
      <c r="AB84" s="38" t="str">
        <f t="shared" si="131"/>
        <v/>
      </c>
      <c r="AC84" s="238">
        <v>0</v>
      </c>
      <c r="AD84" s="38" t="str">
        <f t="shared" si="132"/>
        <v/>
      </c>
      <c r="AE84" s="357">
        <f>+Расходы!E34/1000</f>
        <v>0</v>
      </c>
      <c r="AF84" s="38" t="str">
        <f t="shared" si="133"/>
        <v/>
      </c>
      <c r="AG84" s="470" t="str">
        <f t="shared" si="166"/>
        <v/>
      </c>
      <c r="AH84" s="470" t="str">
        <f t="shared" si="167"/>
        <v/>
      </c>
      <c r="AI84" s="238"/>
      <c r="AJ84" s="38" t="str">
        <f t="shared" si="134"/>
        <v/>
      </c>
      <c r="AK84" s="238">
        <v>0</v>
      </c>
      <c r="AL84" s="38" t="str">
        <f t="shared" si="135"/>
        <v/>
      </c>
      <c r="AM84" s="357">
        <f>+Расходы!F34/1000</f>
        <v>0</v>
      </c>
      <c r="AN84" s="38" t="str">
        <f t="shared" si="136"/>
        <v/>
      </c>
      <c r="AO84" s="470" t="str">
        <f t="shared" si="168"/>
        <v/>
      </c>
      <c r="AP84" s="470" t="str">
        <f t="shared" si="169"/>
        <v/>
      </c>
      <c r="AQ84" s="344"/>
      <c r="AR84" s="38" t="str">
        <f t="shared" si="137"/>
        <v/>
      </c>
      <c r="AS84" s="238">
        <v>0</v>
      </c>
      <c r="AT84" s="38" t="str">
        <f t="shared" si="138"/>
        <v/>
      </c>
      <c r="AU84" s="357">
        <f>+Расходы!G34/1000</f>
        <v>0</v>
      </c>
      <c r="AV84" s="38" t="str">
        <f t="shared" si="139"/>
        <v/>
      </c>
      <c r="AW84" s="470" t="str">
        <f t="shared" si="170"/>
        <v/>
      </c>
      <c r="AX84" s="470" t="str">
        <f t="shared" si="171"/>
        <v/>
      </c>
      <c r="AY84" s="344"/>
      <c r="AZ84" s="38" t="str">
        <f t="shared" si="140"/>
        <v/>
      </c>
      <c r="BA84" s="238">
        <v>0</v>
      </c>
      <c r="BB84" s="38" t="str">
        <f t="shared" si="141"/>
        <v/>
      </c>
      <c r="BC84" s="357">
        <f>+Расходы!H34/1000</f>
        <v>0</v>
      </c>
      <c r="BD84" s="38" t="str">
        <f t="shared" si="142"/>
        <v/>
      </c>
      <c r="BE84" s="470" t="str">
        <f t="shared" si="172"/>
        <v/>
      </c>
      <c r="BF84" s="470" t="str">
        <f t="shared" si="173"/>
        <v/>
      </c>
      <c r="BG84" s="344"/>
      <c r="BH84" s="38" t="str">
        <f t="shared" si="143"/>
        <v/>
      </c>
      <c r="BI84" s="238">
        <v>0</v>
      </c>
      <c r="BJ84" s="38" t="str">
        <f t="shared" si="144"/>
        <v/>
      </c>
      <c r="BK84" s="357">
        <f>+Расходы!I34/1000</f>
        <v>0</v>
      </c>
      <c r="BL84" s="38" t="str">
        <f t="shared" si="145"/>
        <v/>
      </c>
      <c r="BM84" s="470" t="str">
        <f t="shared" si="174"/>
        <v/>
      </c>
      <c r="BN84" s="470" t="str">
        <f t="shared" si="175"/>
        <v/>
      </c>
      <c r="BO84" s="344"/>
      <c r="BP84" s="38" t="str">
        <f t="shared" si="146"/>
        <v/>
      </c>
      <c r="BQ84" s="238">
        <v>0</v>
      </c>
      <c r="BR84" s="38" t="str">
        <f t="shared" si="147"/>
        <v/>
      </c>
      <c r="BS84" s="357">
        <f>+Расходы!J34/1000</f>
        <v>0</v>
      </c>
      <c r="BT84" s="38" t="str">
        <f t="shared" si="148"/>
        <v/>
      </c>
      <c r="BU84" s="470" t="str">
        <f t="shared" si="176"/>
        <v/>
      </c>
      <c r="BV84" s="470" t="str">
        <f t="shared" si="177"/>
        <v/>
      </c>
      <c r="BW84" s="344"/>
      <c r="BX84" s="38" t="str">
        <f t="shared" si="149"/>
        <v/>
      </c>
      <c r="BY84" s="238">
        <v>0</v>
      </c>
      <c r="BZ84" s="38" t="str">
        <f t="shared" si="150"/>
        <v/>
      </c>
      <c r="CA84" s="357">
        <f>+Расходы!K34/1000</f>
        <v>0</v>
      </c>
      <c r="CB84" s="38" t="str">
        <f t="shared" si="151"/>
        <v/>
      </c>
      <c r="CC84" s="470" t="str">
        <f t="shared" si="178"/>
        <v/>
      </c>
      <c r="CD84" s="470" t="str">
        <f t="shared" si="179"/>
        <v/>
      </c>
      <c r="CE84" s="344"/>
      <c r="CF84" s="38" t="str">
        <f t="shared" si="152"/>
        <v/>
      </c>
      <c r="CG84" s="238">
        <v>0</v>
      </c>
      <c r="CH84" s="38" t="str">
        <f t="shared" si="153"/>
        <v/>
      </c>
      <c r="CI84" s="357">
        <f>+Расходы!L34/1000</f>
        <v>0</v>
      </c>
      <c r="CJ84" s="38" t="str">
        <f t="shared" si="154"/>
        <v/>
      </c>
      <c r="CK84" s="470" t="str">
        <f t="shared" si="180"/>
        <v/>
      </c>
      <c r="CL84" s="470" t="str">
        <f t="shared" si="181"/>
        <v/>
      </c>
      <c r="CM84" s="344"/>
      <c r="CN84" s="38" t="str">
        <f t="shared" si="155"/>
        <v/>
      </c>
      <c r="CO84" s="238">
        <v>0</v>
      </c>
      <c r="CP84" s="38" t="str">
        <f t="shared" si="156"/>
        <v/>
      </c>
      <c r="CQ84" s="357">
        <f>+Расходы!M34/1000</f>
        <v>0</v>
      </c>
      <c r="CR84" s="38" t="str">
        <f t="shared" si="157"/>
        <v/>
      </c>
      <c r="CS84" s="470" t="str">
        <f t="shared" si="182"/>
        <v/>
      </c>
      <c r="CT84" s="470" t="str">
        <f t="shared" si="183"/>
        <v/>
      </c>
      <c r="CU84" s="344">
        <f t="shared" si="158"/>
        <v>0</v>
      </c>
      <c r="CV84" s="38" t="str">
        <f t="shared" si="184"/>
        <v/>
      </c>
      <c r="CW84" s="238">
        <f t="shared" si="159"/>
        <v>0</v>
      </c>
      <c r="CX84" s="38">
        <f t="shared" si="185"/>
        <v>0</v>
      </c>
      <c r="CY84" s="357">
        <f t="shared" si="186"/>
        <v>0</v>
      </c>
      <c r="CZ84" s="38">
        <f t="shared" si="187"/>
        <v>0</v>
      </c>
      <c r="DA84" s="470" t="str">
        <f t="shared" si="188"/>
        <v/>
      </c>
      <c r="DB84" s="470" t="str">
        <f t="shared" si="189"/>
        <v/>
      </c>
    </row>
    <row r="85" spans="2:106" s="103" customFormat="1" ht="13.9" customHeight="1" outlineLevel="2">
      <c r="B85" s="61" t="str">
        <f>+Расходы!A35</f>
        <v>Аренда имущества</v>
      </c>
      <c r="C85" s="238"/>
      <c r="D85" s="53" t="str">
        <f t="shared" ref="D85:D116" si="190">IF(IFERROR(C85/C$4,"")=0,"",IFERROR(C85/C$4,""))</f>
        <v/>
      </c>
      <c r="E85" s="238"/>
      <c r="F85" s="53" t="str">
        <f t="shared" ref="F85:F116" si="191">IF(IFERROR(E85/E$4,"")=0,"",IFERROR(E85/E$4,""))</f>
        <v/>
      </c>
      <c r="G85" s="355">
        <f>+Расходы!B35/1000</f>
        <v>0</v>
      </c>
      <c r="H85" s="54" t="str">
        <f t="shared" ref="H85:H116" si="192">IF(IFERROR(G85/G$4,"")=0,"",IFERROR(G85/G$4,""))</f>
        <v/>
      </c>
      <c r="I85" s="468" t="str">
        <f t="shared" si="160"/>
        <v/>
      </c>
      <c r="J85" s="468" t="str">
        <f t="shared" si="161"/>
        <v/>
      </c>
      <c r="K85" s="238"/>
      <c r="L85" s="53" t="str">
        <f t="shared" ref="L85:L116" si="193">IF(IFERROR(K85/K$4,"")=0,"",IFERROR(K85/K$4,""))</f>
        <v/>
      </c>
      <c r="M85" s="238"/>
      <c r="N85" s="53" t="str">
        <f t="shared" ref="N85:N116" si="194">IF(IFERROR(M85/M$4,"")=0,"",IFERROR(M85/M$4,""))</f>
        <v/>
      </c>
      <c r="O85" s="355">
        <f>+Расходы!C35/1000</f>
        <v>0</v>
      </c>
      <c r="P85" s="54" t="str">
        <f t="shared" ref="P85:P116" si="195">IF(IFERROR(O85/O$4,"")=0,"",IFERROR(O85/O$4,""))</f>
        <v/>
      </c>
      <c r="Q85" s="468" t="str">
        <f t="shared" si="162"/>
        <v/>
      </c>
      <c r="R85" s="468" t="str">
        <f t="shared" si="163"/>
        <v/>
      </c>
      <c r="S85" s="238"/>
      <c r="T85" s="53" t="str">
        <f t="shared" ref="T85:T116" si="196">IF(IFERROR(S85/S$4,"")=0,"",IFERROR(S85/S$4,""))</f>
        <v/>
      </c>
      <c r="U85" s="238">
        <v>0</v>
      </c>
      <c r="V85" s="53" t="str">
        <f t="shared" ref="V85:V116" si="197">IF(IFERROR(U85/U$4,"")=0,"",IFERROR(U85/U$4,""))</f>
        <v/>
      </c>
      <c r="W85" s="355">
        <f>+Расходы!D35/1000</f>
        <v>0</v>
      </c>
      <c r="X85" s="54" t="str">
        <f t="shared" ref="X85:X116" si="198">IF(IFERROR(W85/W$4,"")=0,"",IFERROR(W85/W$4,""))</f>
        <v/>
      </c>
      <c r="Y85" s="468" t="str">
        <f t="shared" si="164"/>
        <v/>
      </c>
      <c r="Z85" s="468" t="str">
        <f t="shared" si="165"/>
        <v/>
      </c>
      <c r="AA85" s="238"/>
      <c r="AB85" s="53" t="str">
        <f t="shared" ref="AB85:AB116" si="199">IF(IFERROR(AA85/AA$4,"")=0,"",IFERROR(AA85/AA$4,""))</f>
        <v/>
      </c>
      <c r="AC85" s="238">
        <v>0</v>
      </c>
      <c r="AD85" s="53" t="str">
        <f t="shared" ref="AD85:AD116" si="200">IF(IFERROR(AC85/AC$4,"")=0,"",IFERROR(AC85/AC$4,""))</f>
        <v/>
      </c>
      <c r="AE85" s="355">
        <f>+Расходы!E35/1000</f>
        <v>0</v>
      </c>
      <c r="AF85" s="54" t="str">
        <f t="shared" ref="AF85:AF116" si="201">IF(IFERROR(AE85/AE$4,"")=0,"",IFERROR(AE85/AE$4,""))</f>
        <v/>
      </c>
      <c r="AG85" s="468" t="str">
        <f t="shared" si="166"/>
        <v/>
      </c>
      <c r="AH85" s="468" t="str">
        <f t="shared" si="167"/>
        <v/>
      </c>
      <c r="AI85" s="238"/>
      <c r="AJ85" s="53" t="str">
        <f t="shared" ref="AJ85:AJ116" si="202">IF(IFERROR(AI85/AI$4,"")=0,"",IFERROR(AI85/AI$4,""))</f>
        <v/>
      </c>
      <c r="AK85" s="238">
        <v>0</v>
      </c>
      <c r="AL85" s="53" t="str">
        <f t="shared" ref="AL85:AL116" si="203">IF(IFERROR(AK85/AK$4,"")=0,"",IFERROR(AK85/AK$4,""))</f>
        <v/>
      </c>
      <c r="AM85" s="355">
        <f>+Расходы!F35/1000</f>
        <v>0</v>
      </c>
      <c r="AN85" s="54" t="str">
        <f t="shared" ref="AN85:AN116" si="204">IF(IFERROR(AM85/AM$4,"")=0,"",IFERROR(AM85/AM$4,""))</f>
        <v/>
      </c>
      <c r="AO85" s="468" t="str">
        <f t="shared" si="168"/>
        <v/>
      </c>
      <c r="AP85" s="468" t="str">
        <f t="shared" si="169"/>
        <v/>
      </c>
      <c r="AQ85" s="344"/>
      <c r="AR85" s="53" t="str">
        <f t="shared" ref="AR85:AR116" si="205">IF(IFERROR(AQ85/AQ$4,"")=0,"",IFERROR(AQ85/AQ$4,""))</f>
        <v/>
      </c>
      <c r="AS85" s="238">
        <v>0</v>
      </c>
      <c r="AT85" s="53" t="str">
        <f t="shared" ref="AT85:AT116" si="206">IF(IFERROR(AS85/AS$4,"")=0,"",IFERROR(AS85/AS$4,""))</f>
        <v/>
      </c>
      <c r="AU85" s="355">
        <f>+Расходы!G35/1000</f>
        <v>0</v>
      </c>
      <c r="AV85" s="54" t="str">
        <f t="shared" ref="AV85:AV116" si="207">IF(IFERROR(AU85/AU$4,"")=0,"",IFERROR(AU85/AU$4,""))</f>
        <v/>
      </c>
      <c r="AW85" s="468" t="str">
        <f t="shared" si="170"/>
        <v/>
      </c>
      <c r="AX85" s="468" t="str">
        <f t="shared" si="171"/>
        <v/>
      </c>
      <c r="AY85" s="344"/>
      <c r="AZ85" s="53" t="str">
        <f t="shared" ref="AZ85:AZ116" si="208">IF(IFERROR(AY85/AY$4,"")=0,"",IFERROR(AY85/AY$4,""))</f>
        <v/>
      </c>
      <c r="BA85" s="238">
        <v>0</v>
      </c>
      <c r="BB85" s="53" t="str">
        <f t="shared" ref="BB85:BB116" si="209">IF(IFERROR(BA85/BA$4,"")=0,"",IFERROR(BA85/BA$4,""))</f>
        <v/>
      </c>
      <c r="BC85" s="355">
        <f>+Расходы!H35/1000</f>
        <v>0</v>
      </c>
      <c r="BD85" s="54" t="str">
        <f t="shared" ref="BD85:BD116" si="210">IF(IFERROR(BC85/BC$4,"")=0,"",IFERROR(BC85/BC$4,""))</f>
        <v/>
      </c>
      <c r="BE85" s="468" t="str">
        <f t="shared" si="172"/>
        <v/>
      </c>
      <c r="BF85" s="468" t="str">
        <f t="shared" si="173"/>
        <v/>
      </c>
      <c r="BG85" s="344"/>
      <c r="BH85" s="53" t="str">
        <f t="shared" ref="BH85:BH116" si="211">IF(IFERROR(BG85/BG$4,"")=0,"",IFERROR(BG85/BG$4,""))</f>
        <v/>
      </c>
      <c r="BI85" s="238">
        <v>0</v>
      </c>
      <c r="BJ85" s="53" t="str">
        <f t="shared" ref="BJ85:BJ116" si="212">IF(IFERROR(BI85/BI$4,"")=0,"",IFERROR(BI85/BI$4,""))</f>
        <v/>
      </c>
      <c r="BK85" s="355">
        <f>+Расходы!I35/1000</f>
        <v>0</v>
      </c>
      <c r="BL85" s="54" t="str">
        <f t="shared" ref="BL85:BL116" si="213">IF(IFERROR(BK85/BK$4,"")=0,"",IFERROR(BK85/BK$4,""))</f>
        <v/>
      </c>
      <c r="BM85" s="468" t="str">
        <f t="shared" si="174"/>
        <v/>
      </c>
      <c r="BN85" s="468" t="str">
        <f t="shared" si="175"/>
        <v/>
      </c>
      <c r="BO85" s="344"/>
      <c r="BP85" s="53" t="str">
        <f t="shared" ref="BP85:BP116" si="214">IF(IFERROR(BO85/BO$4,"")=0,"",IFERROR(BO85/BO$4,""))</f>
        <v/>
      </c>
      <c r="BQ85" s="238">
        <v>0</v>
      </c>
      <c r="BR85" s="53" t="str">
        <f t="shared" ref="BR85:BR116" si="215">IF(IFERROR(BQ85/BQ$4,"")=0,"",IFERROR(BQ85/BQ$4,""))</f>
        <v/>
      </c>
      <c r="BS85" s="355">
        <f>+Расходы!J35/1000</f>
        <v>0</v>
      </c>
      <c r="BT85" s="54" t="str">
        <f t="shared" ref="BT85:BT116" si="216">IF(IFERROR(BS85/BS$4,"")=0,"",IFERROR(BS85/BS$4,""))</f>
        <v/>
      </c>
      <c r="BU85" s="468" t="str">
        <f t="shared" si="176"/>
        <v/>
      </c>
      <c r="BV85" s="468" t="str">
        <f t="shared" si="177"/>
        <v/>
      </c>
      <c r="BW85" s="344"/>
      <c r="BX85" s="53" t="str">
        <f t="shared" ref="BX85:BX116" si="217">IF(IFERROR(BW85/BW$4,"")=0,"",IFERROR(BW85/BW$4,""))</f>
        <v/>
      </c>
      <c r="BY85" s="238">
        <v>0</v>
      </c>
      <c r="BZ85" s="53" t="str">
        <f t="shared" ref="BZ85:BZ116" si="218">IF(IFERROR(BY85/BY$4,"")=0,"",IFERROR(BY85/BY$4,""))</f>
        <v/>
      </c>
      <c r="CA85" s="355">
        <f>+Расходы!K35/1000</f>
        <v>0</v>
      </c>
      <c r="CB85" s="54" t="str">
        <f t="shared" ref="CB85:CB116" si="219">IF(IFERROR(CA85/CA$4,"")=0,"",IFERROR(CA85/CA$4,""))</f>
        <v/>
      </c>
      <c r="CC85" s="468" t="str">
        <f t="shared" si="178"/>
        <v/>
      </c>
      <c r="CD85" s="468" t="str">
        <f t="shared" si="179"/>
        <v/>
      </c>
      <c r="CE85" s="344"/>
      <c r="CF85" s="53" t="str">
        <f t="shared" ref="CF85:CF116" si="220">IF(IFERROR(CE85/CE$4,"")=0,"",IFERROR(CE85/CE$4,""))</f>
        <v/>
      </c>
      <c r="CG85" s="238">
        <v>0</v>
      </c>
      <c r="CH85" s="53" t="str">
        <f t="shared" ref="CH85:CH116" si="221">IF(IFERROR(CG85/CG$4,"")=0,"",IFERROR(CG85/CG$4,""))</f>
        <v/>
      </c>
      <c r="CI85" s="355">
        <f>+Расходы!L35/1000</f>
        <v>0</v>
      </c>
      <c r="CJ85" s="54" t="str">
        <f t="shared" ref="CJ85:CJ116" si="222">IF(IFERROR(CI85/CI$4,"")=0,"",IFERROR(CI85/CI$4,""))</f>
        <v/>
      </c>
      <c r="CK85" s="468" t="str">
        <f t="shared" si="180"/>
        <v/>
      </c>
      <c r="CL85" s="468" t="str">
        <f t="shared" si="181"/>
        <v/>
      </c>
      <c r="CM85" s="344"/>
      <c r="CN85" s="53" t="str">
        <f t="shared" ref="CN85:CN116" si="223">IF(IFERROR(CM85/CM$4,"")=0,"",IFERROR(CM85/CM$4,""))</f>
        <v/>
      </c>
      <c r="CO85" s="238">
        <v>0</v>
      </c>
      <c r="CP85" s="53" t="str">
        <f t="shared" ref="CP85:CP116" si="224">IF(IFERROR(CO85/CO$4,"")=0,"",IFERROR(CO85/CO$4,""))</f>
        <v/>
      </c>
      <c r="CQ85" s="355">
        <f>+Расходы!M35/1000</f>
        <v>0</v>
      </c>
      <c r="CR85" s="54" t="str">
        <f t="shared" ref="CR85:CR116" si="225">IF(IFERROR(CQ85/CQ$4,"")=0,"",IFERROR(CQ85/CQ$4,""))</f>
        <v/>
      </c>
      <c r="CS85" s="468" t="str">
        <f t="shared" si="182"/>
        <v/>
      </c>
      <c r="CT85" s="468" t="str">
        <f t="shared" si="183"/>
        <v/>
      </c>
      <c r="CU85" s="344">
        <f t="shared" si="158"/>
        <v>0</v>
      </c>
      <c r="CV85" s="53" t="str">
        <f t="shared" si="184"/>
        <v/>
      </c>
      <c r="CW85" s="238">
        <f t="shared" si="159"/>
        <v>0</v>
      </c>
      <c r="CX85" s="53">
        <f t="shared" si="185"/>
        <v>0</v>
      </c>
      <c r="CY85" s="355">
        <f t="shared" si="186"/>
        <v>0</v>
      </c>
      <c r="CZ85" s="54">
        <f t="shared" si="187"/>
        <v>0</v>
      </c>
      <c r="DA85" s="468" t="str">
        <f t="shared" si="188"/>
        <v/>
      </c>
      <c r="DB85" s="468" t="str">
        <f t="shared" si="189"/>
        <v/>
      </c>
    </row>
    <row r="86" spans="2:106" s="103" customFormat="1" ht="13.9" customHeight="1" outlineLevel="2">
      <c r="B86" s="61" t="str">
        <f>+Расходы!A36</f>
        <v>Аренда офисов</v>
      </c>
      <c r="C86" s="238"/>
      <c r="D86" s="53" t="str">
        <f t="shared" si="190"/>
        <v/>
      </c>
      <c r="E86" s="238"/>
      <c r="F86" s="53" t="str">
        <f t="shared" si="191"/>
        <v/>
      </c>
      <c r="G86" s="355">
        <f>+Расходы!B36/1000</f>
        <v>0</v>
      </c>
      <c r="H86" s="54" t="str">
        <f t="shared" si="192"/>
        <v/>
      </c>
      <c r="I86" s="468" t="str">
        <f t="shared" si="160"/>
        <v/>
      </c>
      <c r="J86" s="468" t="str">
        <f t="shared" si="161"/>
        <v/>
      </c>
      <c r="K86" s="238"/>
      <c r="L86" s="53" t="str">
        <f t="shared" si="193"/>
        <v/>
      </c>
      <c r="M86" s="238"/>
      <c r="N86" s="53" t="str">
        <f t="shared" si="194"/>
        <v/>
      </c>
      <c r="O86" s="355">
        <f>+Расходы!C36/1000</f>
        <v>0</v>
      </c>
      <c r="P86" s="54" t="str">
        <f t="shared" si="195"/>
        <v/>
      </c>
      <c r="Q86" s="468" t="str">
        <f t="shared" si="162"/>
        <v/>
      </c>
      <c r="R86" s="468" t="str">
        <f t="shared" si="163"/>
        <v/>
      </c>
      <c r="S86" s="238"/>
      <c r="T86" s="53" t="str">
        <f t="shared" si="196"/>
        <v/>
      </c>
      <c r="U86" s="238">
        <v>0</v>
      </c>
      <c r="V86" s="53" t="str">
        <f t="shared" si="197"/>
        <v/>
      </c>
      <c r="W86" s="355">
        <f>+Расходы!D36/1000</f>
        <v>0</v>
      </c>
      <c r="X86" s="54" t="str">
        <f t="shared" si="198"/>
        <v/>
      </c>
      <c r="Y86" s="468" t="str">
        <f t="shared" si="164"/>
        <v/>
      </c>
      <c r="Z86" s="468" t="str">
        <f t="shared" si="165"/>
        <v/>
      </c>
      <c r="AA86" s="238"/>
      <c r="AB86" s="53" t="str">
        <f t="shared" si="199"/>
        <v/>
      </c>
      <c r="AC86" s="238">
        <v>0</v>
      </c>
      <c r="AD86" s="53" t="str">
        <f t="shared" si="200"/>
        <v/>
      </c>
      <c r="AE86" s="355">
        <f>+Расходы!E36/1000</f>
        <v>0</v>
      </c>
      <c r="AF86" s="54" t="str">
        <f t="shared" si="201"/>
        <v/>
      </c>
      <c r="AG86" s="468" t="str">
        <f t="shared" si="166"/>
        <v/>
      </c>
      <c r="AH86" s="468" t="str">
        <f t="shared" si="167"/>
        <v/>
      </c>
      <c r="AI86" s="238"/>
      <c r="AJ86" s="53" t="str">
        <f t="shared" si="202"/>
        <v/>
      </c>
      <c r="AK86" s="238">
        <v>0</v>
      </c>
      <c r="AL86" s="53" t="str">
        <f t="shared" si="203"/>
        <v/>
      </c>
      <c r="AM86" s="355">
        <f>+Расходы!F36/1000</f>
        <v>0</v>
      </c>
      <c r="AN86" s="54" t="str">
        <f t="shared" si="204"/>
        <v/>
      </c>
      <c r="AO86" s="468" t="str">
        <f t="shared" si="168"/>
        <v/>
      </c>
      <c r="AP86" s="468" t="str">
        <f t="shared" si="169"/>
        <v/>
      </c>
      <c r="AQ86" s="344"/>
      <c r="AR86" s="53" t="str">
        <f t="shared" si="205"/>
        <v/>
      </c>
      <c r="AS86" s="238">
        <v>0</v>
      </c>
      <c r="AT86" s="53" t="str">
        <f t="shared" si="206"/>
        <v/>
      </c>
      <c r="AU86" s="355">
        <f>+Расходы!G36/1000</f>
        <v>0</v>
      </c>
      <c r="AV86" s="54" t="str">
        <f t="shared" si="207"/>
        <v/>
      </c>
      <c r="AW86" s="468" t="str">
        <f t="shared" si="170"/>
        <v/>
      </c>
      <c r="AX86" s="468" t="str">
        <f t="shared" si="171"/>
        <v/>
      </c>
      <c r="AY86" s="344"/>
      <c r="AZ86" s="53" t="str">
        <f t="shared" si="208"/>
        <v/>
      </c>
      <c r="BA86" s="238">
        <v>0</v>
      </c>
      <c r="BB86" s="53" t="str">
        <f t="shared" si="209"/>
        <v/>
      </c>
      <c r="BC86" s="355">
        <f>+Расходы!H36/1000</f>
        <v>0</v>
      </c>
      <c r="BD86" s="54" t="str">
        <f t="shared" si="210"/>
        <v/>
      </c>
      <c r="BE86" s="468" t="str">
        <f t="shared" si="172"/>
        <v/>
      </c>
      <c r="BF86" s="468" t="str">
        <f t="shared" si="173"/>
        <v/>
      </c>
      <c r="BG86" s="344"/>
      <c r="BH86" s="53" t="str">
        <f t="shared" si="211"/>
        <v/>
      </c>
      <c r="BI86" s="238">
        <v>0</v>
      </c>
      <c r="BJ86" s="53" t="str">
        <f t="shared" si="212"/>
        <v/>
      </c>
      <c r="BK86" s="355">
        <f>+Расходы!I36/1000</f>
        <v>0</v>
      </c>
      <c r="BL86" s="54" t="str">
        <f t="shared" si="213"/>
        <v/>
      </c>
      <c r="BM86" s="468" t="str">
        <f t="shared" si="174"/>
        <v/>
      </c>
      <c r="BN86" s="468" t="str">
        <f t="shared" si="175"/>
        <v/>
      </c>
      <c r="BO86" s="344"/>
      <c r="BP86" s="53" t="str">
        <f t="shared" si="214"/>
        <v/>
      </c>
      <c r="BQ86" s="238">
        <v>0</v>
      </c>
      <c r="BR86" s="53" t="str">
        <f t="shared" si="215"/>
        <v/>
      </c>
      <c r="BS86" s="355">
        <f>+Расходы!J36/1000</f>
        <v>0</v>
      </c>
      <c r="BT86" s="54" t="str">
        <f t="shared" si="216"/>
        <v/>
      </c>
      <c r="BU86" s="468" t="str">
        <f t="shared" si="176"/>
        <v/>
      </c>
      <c r="BV86" s="468" t="str">
        <f t="shared" si="177"/>
        <v/>
      </c>
      <c r="BW86" s="344"/>
      <c r="BX86" s="53" t="str">
        <f t="shared" si="217"/>
        <v/>
      </c>
      <c r="BY86" s="238">
        <v>0</v>
      </c>
      <c r="BZ86" s="53" t="str">
        <f t="shared" si="218"/>
        <v/>
      </c>
      <c r="CA86" s="355">
        <f>+Расходы!K36/1000</f>
        <v>0</v>
      </c>
      <c r="CB86" s="54" t="str">
        <f t="shared" si="219"/>
        <v/>
      </c>
      <c r="CC86" s="468" t="str">
        <f t="shared" si="178"/>
        <v/>
      </c>
      <c r="CD86" s="468" t="str">
        <f t="shared" si="179"/>
        <v/>
      </c>
      <c r="CE86" s="344"/>
      <c r="CF86" s="53" t="str">
        <f t="shared" si="220"/>
        <v/>
      </c>
      <c r="CG86" s="238">
        <v>0</v>
      </c>
      <c r="CH86" s="53" t="str">
        <f t="shared" si="221"/>
        <v/>
      </c>
      <c r="CI86" s="355">
        <f>+Расходы!L36/1000</f>
        <v>0</v>
      </c>
      <c r="CJ86" s="54" t="str">
        <f t="shared" si="222"/>
        <v/>
      </c>
      <c r="CK86" s="468" t="str">
        <f t="shared" si="180"/>
        <v/>
      </c>
      <c r="CL86" s="468" t="str">
        <f t="shared" si="181"/>
        <v/>
      </c>
      <c r="CM86" s="344"/>
      <c r="CN86" s="53" t="str">
        <f t="shared" si="223"/>
        <v/>
      </c>
      <c r="CO86" s="238">
        <v>0</v>
      </c>
      <c r="CP86" s="53" t="str">
        <f t="shared" si="224"/>
        <v/>
      </c>
      <c r="CQ86" s="355">
        <f>+Расходы!M36/1000</f>
        <v>0</v>
      </c>
      <c r="CR86" s="54" t="str">
        <f t="shared" si="225"/>
        <v/>
      </c>
      <c r="CS86" s="468" t="str">
        <f t="shared" si="182"/>
        <v/>
      </c>
      <c r="CT86" s="468" t="str">
        <f t="shared" si="183"/>
        <v/>
      </c>
      <c r="CU86" s="344">
        <f t="shared" si="158"/>
        <v>0</v>
      </c>
      <c r="CV86" s="53" t="str">
        <f t="shared" si="184"/>
        <v/>
      </c>
      <c r="CW86" s="238">
        <f t="shared" si="159"/>
        <v>0</v>
      </c>
      <c r="CX86" s="53">
        <f t="shared" si="185"/>
        <v>0</v>
      </c>
      <c r="CY86" s="355">
        <f t="shared" si="186"/>
        <v>0</v>
      </c>
      <c r="CZ86" s="54">
        <f t="shared" si="187"/>
        <v>0</v>
      </c>
      <c r="DA86" s="468" t="str">
        <f t="shared" si="188"/>
        <v/>
      </c>
      <c r="DB86" s="468" t="str">
        <f t="shared" si="189"/>
        <v/>
      </c>
    </row>
    <row r="87" spans="2:106" s="103" customFormat="1" ht="13.9" customHeight="1" outlineLevel="2">
      <c r="B87" s="61" t="str">
        <f>+Расходы!A37</f>
        <v>Аренда парковочных мест</v>
      </c>
      <c r="C87" s="238"/>
      <c r="D87" s="53" t="str">
        <f t="shared" si="190"/>
        <v/>
      </c>
      <c r="E87" s="238"/>
      <c r="F87" s="53" t="str">
        <f t="shared" si="191"/>
        <v/>
      </c>
      <c r="G87" s="355">
        <f>+Расходы!B37/1000</f>
        <v>0</v>
      </c>
      <c r="H87" s="54" t="str">
        <f t="shared" si="192"/>
        <v/>
      </c>
      <c r="I87" s="468" t="str">
        <f t="shared" si="160"/>
        <v/>
      </c>
      <c r="J87" s="468" t="str">
        <f t="shared" si="161"/>
        <v/>
      </c>
      <c r="K87" s="238"/>
      <c r="L87" s="53" t="str">
        <f t="shared" si="193"/>
        <v/>
      </c>
      <c r="M87" s="238"/>
      <c r="N87" s="53" t="str">
        <f t="shared" si="194"/>
        <v/>
      </c>
      <c r="O87" s="355">
        <f>+Расходы!C37/1000</f>
        <v>0</v>
      </c>
      <c r="P87" s="54" t="str">
        <f t="shared" si="195"/>
        <v/>
      </c>
      <c r="Q87" s="468" t="str">
        <f t="shared" si="162"/>
        <v/>
      </c>
      <c r="R87" s="468" t="str">
        <f t="shared" si="163"/>
        <v/>
      </c>
      <c r="S87" s="238"/>
      <c r="T87" s="53" t="str">
        <f t="shared" si="196"/>
        <v/>
      </c>
      <c r="U87" s="238">
        <v>0</v>
      </c>
      <c r="V87" s="53" t="str">
        <f t="shared" si="197"/>
        <v/>
      </c>
      <c r="W87" s="355">
        <f>+Расходы!D37/1000</f>
        <v>0</v>
      </c>
      <c r="X87" s="54" t="str">
        <f t="shared" si="198"/>
        <v/>
      </c>
      <c r="Y87" s="468" t="str">
        <f t="shared" si="164"/>
        <v/>
      </c>
      <c r="Z87" s="468" t="str">
        <f t="shared" si="165"/>
        <v/>
      </c>
      <c r="AA87" s="238"/>
      <c r="AB87" s="53" t="str">
        <f t="shared" si="199"/>
        <v/>
      </c>
      <c r="AC87" s="238">
        <v>0</v>
      </c>
      <c r="AD87" s="53" t="str">
        <f t="shared" si="200"/>
        <v/>
      </c>
      <c r="AE87" s="355">
        <f>+Расходы!E37/1000</f>
        <v>0</v>
      </c>
      <c r="AF87" s="54" t="str">
        <f t="shared" si="201"/>
        <v/>
      </c>
      <c r="AG87" s="468" t="str">
        <f t="shared" si="166"/>
        <v/>
      </c>
      <c r="AH87" s="468" t="str">
        <f t="shared" si="167"/>
        <v/>
      </c>
      <c r="AI87" s="238"/>
      <c r="AJ87" s="53" t="str">
        <f t="shared" si="202"/>
        <v/>
      </c>
      <c r="AK87" s="238">
        <v>0</v>
      </c>
      <c r="AL87" s="53" t="str">
        <f t="shared" si="203"/>
        <v/>
      </c>
      <c r="AM87" s="355">
        <f>+Расходы!F37/1000</f>
        <v>0</v>
      </c>
      <c r="AN87" s="54" t="str">
        <f t="shared" si="204"/>
        <v/>
      </c>
      <c r="AO87" s="468" t="str">
        <f t="shared" si="168"/>
        <v/>
      </c>
      <c r="AP87" s="468" t="str">
        <f t="shared" si="169"/>
        <v/>
      </c>
      <c r="AQ87" s="344"/>
      <c r="AR87" s="53" t="str">
        <f t="shared" si="205"/>
        <v/>
      </c>
      <c r="AS87" s="238">
        <v>0</v>
      </c>
      <c r="AT87" s="53" t="str">
        <f t="shared" si="206"/>
        <v/>
      </c>
      <c r="AU87" s="355">
        <f>+Расходы!G37/1000</f>
        <v>0</v>
      </c>
      <c r="AV87" s="54" t="str">
        <f t="shared" si="207"/>
        <v/>
      </c>
      <c r="AW87" s="468" t="str">
        <f t="shared" si="170"/>
        <v/>
      </c>
      <c r="AX87" s="468" t="str">
        <f t="shared" si="171"/>
        <v/>
      </c>
      <c r="AY87" s="344"/>
      <c r="AZ87" s="53" t="str">
        <f t="shared" si="208"/>
        <v/>
      </c>
      <c r="BA87" s="238">
        <v>0</v>
      </c>
      <c r="BB87" s="53" t="str">
        <f t="shared" si="209"/>
        <v/>
      </c>
      <c r="BC87" s="355">
        <f>+Расходы!H37/1000</f>
        <v>0</v>
      </c>
      <c r="BD87" s="54" t="str">
        <f t="shared" si="210"/>
        <v/>
      </c>
      <c r="BE87" s="468" t="str">
        <f t="shared" si="172"/>
        <v/>
      </c>
      <c r="BF87" s="468" t="str">
        <f t="shared" si="173"/>
        <v/>
      </c>
      <c r="BG87" s="344"/>
      <c r="BH87" s="53" t="str">
        <f t="shared" si="211"/>
        <v/>
      </c>
      <c r="BI87" s="238">
        <v>0</v>
      </c>
      <c r="BJ87" s="53" t="str">
        <f t="shared" si="212"/>
        <v/>
      </c>
      <c r="BK87" s="355">
        <f>+Расходы!I37/1000</f>
        <v>0</v>
      </c>
      <c r="BL87" s="54" t="str">
        <f t="shared" si="213"/>
        <v/>
      </c>
      <c r="BM87" s="468" t="str">
        <f t="shared" si="174"/>
        <v/>
      </c>
      <c r="BN87" s="468" t="str">
        <f t="shared" si="175"/>
        <v/>
      </c>
      <c r="BO87" s="344"/>
      <c r="BP87" s="53" t="str">
        <f t="shared" si="214"/>
        <v/>
      </c>
      <c r="BQ87" s="238">
        <v>0</v>
      </c>
      <c r="BR87" s="53" t="str">
        <f t="shared" si="215"/>
        <v/>
      </c>
      <c r="BS87" s="355">
        <f>+Расходы!J37/1000</f>
        <v>0</v>
      </c>
      <c r="BT87" s="54" t="str">
        <f t="shared" si="216"/>
        <v/>
      </c>
      <c r="BU87" s="468" t="str">
        <f t="shared" si="176"/>
        <v/>
      </c>
      <c r="BV87" s="468" t="str">
        <f t="shared" si="177"/>
        <v/>
      </c>
      <c r="BW87" s="344"/>
      <c r="BX87" s="53" t="str">
        <f t="shared" si="217"/>
        <v/>
      </c>
      <c r="BY87" s="238">
        <v>0</v>
      </c>
      <c r="BZ87" s="53" t="str">
        <f t="shared" si="218"/>
        <v/>
      </c>
      <c r="CA87" s="355">
        <f>+Расходы!K37/1000</f>
        <v>0</v>
      </c>
      <c r="CB87" s="54" t="str">
        <f t="shared" si="219"/>
        <v/>
      </c>
      <c r="CC87" s="468" t="str">
        <f t="shared" si="178"/>
        <v/>
      </c>
      <c r="CD87" s="468" t="str">
        <f t="shared" si="179"/>
        <v/>
      </c>
      <c r="CE87" s="344"/>
      <c r="CF87" s="53" t="str">
        <f t="shared" si="220"/>
        <v/>
      </c>
      <c r="CG87" s="238">
        <v>0</v>
      </c>
      <c r="CH87" s="53" t="str">
        <f t="shared" si="221"/>
        <v/>
      </c>
      <c r="CI87" s="355">
        <f>+Расходы!L37/1000</f>
        <v>0</v>
      </c>
      <c r="CJ87" s="54" t="str">
        <f t="shared" si="222"/>
        <v/>
      </c>
      <c r="CK87" s="468" t="str">
        <f t="shared" si="180"/>
        <v/>
      </c>
      <c r="CL87" s="468" t="str">
        <f t="shared" si="181"/>
        <v/>
      </c>
      <c r="CM87" s="344"/>
      <c r="CN87" s="53" t="str">
        <f t="shared" si="223"/>
        <v/>
      </c>
      <c r="CO87" s="238">
        <v>0</v>
      </c>
      <c r="CP87" s="53" t="str">
        <f t="shared" si="224"/>
        <v/>
      </c>
      <c r="CQ87" s="355">
        <f>+Расходы!M37/1000</f>
        <v>0</v>
      </c>
      <c r="CR87" s="54" t="str">
        <f t="shared" si="225"/>
        <v/>
      </c>
      <c r="CS87" s="468" t="str">
        <f t="shared" si="182"/>
        <v/>
      </c>
      <c r="CT87" s="468" t="str">
        <f t="shared" si="183"/>
        <v/>
      </c>
      <c r="CU87" s="344">
        <f t="shared" si="158"/>
        <v>0</v>
      </c>
      <c r="CV87" s="53" t="str">
        <f t="shared" si="184"/>
        <v/>
      </c>
      <c r="CW87" s="238">
        <f t="shared" si="159"/>
        <v>0</v>
      </c>
      <c r="CX87" s="53">
        <f t="shared" si="185"/>
        <v>0</v>
      </c>
      <c r="CY87" s="355">
        <f t="shared" si="186"/>
        <v>0</v>
      </c>
      <c r="CZ87" s="54">
        <f t="shared" si="187"/>
        <v>0</v>
      </c>
      <c r="DA87" s="468" t="str">
        <f t="shared" si="188"/>
        <v/>
      </c>
      <c r="DB87" s="468" t="str">
        <f t="shared" si="189"/>
        <v/>
      </c>
    </row>
    <row r="88" spans="2:106" s="103" customFormat="1" ht="13.9" customHeight="1" outlineLevel="2">
      <c r="B88" s="61" t="str">
        <f>+Расходы!A38</f>
        <v>Аренда помещения мусорокамеры (Капитанская 12)</v>
      </c>
      <c r="C88" s="238"/>
      <c r="D88" s="53" t="str">
        <f t="shared" si="190"/>
        <v/>
      </c>
      <c r="E88" s="238"/>
      <c r="F88" s="53" t="str">
        <f t="shared" si="191"/>
        <v/>
      </c>
      <c r="G88" s="355">
        <f>+Расходы!B38/1000</f>
        <v>0</v>
      </c>
      <c r="H88" s="54" t="str">
        <f t="shared" si="192"/>
        <v/>
      </c>
      <c r="I88" s="468" t="str">
        <f t="shared" si="160"/>
        <v/>
      </c>
      <c r="J88" s="468" t="str">
        <f t="shared" si="161"/>
        <v/>
      </c>
      <c r="K88" s="238"/>
      <c r="L88" s="53" t="str">
        <f t="shared" si="193"/>
        <v/>
      </c>
      <c r="M88" s="238"/>
      <c r="N88" s="53" t="str">
        <f t="shared" si="194"/>
        <v/>
      </c>
      <c r="O88" s="355">
        <f>+Расходы!C38/1000</f>
        <v>0</v>
      </c>
      <c r="P88" s="54" t="str">
        <f t="shared" si="195"/>
        <v/>
      </c>
      <c r="Q88" s="468" t="str">
        <f t="shared" si="162"/>
        <v/>
      </c>
      <c r="R88" s="468" t="str">
        <f t="shared" si="163"/>
        <v/>
      </c>
      <c r="S88" s="238"/>
      <c r="T88" s="53" t="str">
        <f t="shared" si="196"/>
        <v/>
      </c>
      <c r="U88" s="238">
        <v>0</v>
      </c>
      <c r="V88" s="53" t="str">
        <f t="shared" si="197"/>
        <v/>
      </c>
      <c r="W88" s="355">
        <f>+Расходы!D38/1000</f>
        <v>0</v>
      </c>
      <c r="X88" s="54" t="str">
        <f t="shared" si="198"/>
        <v/>
      </c>
      <c r="Y88" s="468" t="str">
        <f t="shared" si="164"/>
        <v/>
      </c>
      <c r="Z88" s="468" t="str">
        <f t="shared" si="165"/>
        <v/>
      </c>
      <c r="AA88" s="238"/>
      <c r="AB88" s="53" t="str">
        <f t="shared" si="199"/>
        <v/>
      </c>
      <c r="AC88" s="238">
        <v>0</v>
      </c>
      <c r="AD88" s="53" t="str">
        <f t="shared" si="200"/>
        <v/>
      </c>
      <c r="AE88" s="355">
        <f>+Расходы!E38/1000</f>
        <v>0</v>
      </c>
      <c r="AF88" s="54" t="str">
        <f t="shared" si="201"/>
        <v/>
      </c>
      <c r="AG88" s="468" t="str">
        <f t="shared" si="166"/>
        <v/>
      </c>
      <c r="AH88" s="468" t="str">
        <f t="shared" si="167"/>
        <v/>
      </c>
      <c r="AI88" s="238"/>
      <c r="AJ88" s="53" t="str">
        <f t="shared" si="202"/>
        <v/>
      </c>
      <c r="AK88" s="238">
        <v>0</v>
      </c>
      <c r="AL88" s="53" t="str">
        <f t="shared" si="203"/>
        <v/>
      </c>
      <c r="AM88" s="355">
        <f>+Расходы!F38/1000</f>
        <v>0</v>
      </c>
      <c r="AN88" s="54" t="str">
        <f t="shared" si="204"/>
        <v/>
      </c>
      <c r="AO88" s="468" t="str">
        <f t="shared" si="168"/>
        <v/>
      </c>
      <c r="AP88" s="468" t="str">
        <f t="shared" si="169"/>
        <v/>
      </c>
      <c r="AQ88" s="344"/>
      <c r="AR88" s="53" t="str">
        <f t="shared" si="205"/>
        <v/>
      </c>
      <c r="AS88" s="238">
        <v>0</v>
      </c>
      <c r="AT88" s="53" t="str">
        <f t="shared" si="206"/>
        <v/>
      </c>
      <c r="AU88" s="355">
        <f>+Расходы!G38/1000</f>
        <v>0</v>
      </c>
      <c r="AV88" s="54" t="str">
        <f t="shared" si="207"/>
        <v/>
      </c>
      <c r="AW88" s="468" t="str">
        <f t="shared" si="170"/>
        <v/>
      </c>
      <c r="AX88" s="468" t="str">
        <f t="shared" si="171"/>
        <v/>
      </c>
      <c r="AY88" s="344"/>
      <c r="AZ88" s="53" t="str">
        <f t="shared" si="208"/>
        <v/>
      </c>
      <c r="BA88" s="238">
        <v>0</v>
      </c>
      <c r="BB88" s="53" t="str">
        <f t="shared" si="209"/>
        <v/>
      </c>
      <c r="BC88" s="355">
        <f>+Расходы!H38/1000</f>
        <v>0</v>
      </c>
      <c r="BD88" s="54" t="str">
        <f t="shared" si="210"/>
        <v/>
      </c>
      <c r="BE88" s="468" t="str">
        <f t="shared" si="172"/>
        <v/>
      </c>
      <c r="BF88" s="468" t="str">
        <f t="shared" si="173"/>
        <v/>
      </c>
      <c r="BG88" s="344"/>
      <c r="BH88" s="53" t="str">
        <f t="shared" si="211"/>
        <v/>
      </c>
      <c r="BI88" s="238">
        <v>0</v>
      </c>
      <c r="BJ88" s="53" t="str">
        <f t="shared" si="212"/>
        <v/>
      </c>
      <c r="BK88" s="355">
        <f>+Расходы!I38/1000</f>
        <v>0</v>
      </c>
      <c r="BL88" s="54" t="str">
        <f t="shared" si="213"/>
        <v/>
      </c>
      <c r="BM88" s="468" t="str">
        <f t="shared" si="174"/>
        <v/>
      </c>
      <c r="BN88" s="468" t="str">
        <f t="shared" si="175"/>
        <v/>
      </c>
      <c r="BO88" s="344"/>
      <c r="BP88" s="53" t="str">
        <f t="shared" si="214"/>
        <v/>
      </c>
      <c r="BQ88" s="238">
        <v>0</v>
      </c>
      <c r="BR88" s="53" t="str">
        <f t="shared" si="215"/>
        <v/>
      </c>
      <c r="BS88" s="355">
        <f>+Расходы!J38/1000</f>
        <v>0</v>
      </c>
      <c r="BT88" s="54" t="str">
        <f t="shared" si="216"/>
        <v/>
      </c>
      <c r="BU88" s="468" t="str">
        <f t="shared" si="176"/>
        <v/>
      </c>
      <c r="BV88" s="468" t="str">
        <f t="shared" si="177"/>
        <v/>
      </c>
      <c r="BW88" s="344"/>
      <c r="BX88" s="53" t="str">
        <f t="shared" si="217"/>
        <v/>
      </c>
      <c r="BY88" s="238">
        <v>0</v>
      </c>
      <c r="BZ88" s="53" t="str">
        <f t="shared" si="218"/>
        <v/>
      </c>
      <c r="CA88" s="355">
        <f>+Расходы!K38/1000</f>
        <v>0</v>
      </c>
      <c r="CB88" s="54" t="str">
        <f t="shared" si="219"/>
        <v/>
      </c>
      <c r="CC88" s="468" t="str">
        <f t="shared" si="178"/>
        <v/>
      </c>
      <c r="CD88" s="468" t="str">
        <f t="shared" si="179"/>
        <v/>
      </c>
      <c r="CE88" s="344"/>
      <c r="CF88" s="53" t="str">
        <f t="shared" si="220"/>
        <v/>
      </c>
      <c r="CG88" s="238">
        <v>0</v>
      </c>
      <c r="CH88" s="53" t="str">
        <f t="shared" si="221"/>
        <v/>
      </c>
      <c r="CI88" s="355">
        <f>+Расходы!L38/1000</f>
        <v>0</v>
      </c>
      <c r="CJ88" s="54" t="str">
        <f t="shared" si="222"/>
        <v/>
      </c>
      <c r="CK88" s="468" t="str">
        <f t="shared" si="180"/>
        <v/>
      </c>
      <c r="CL88" s="468" t="str">
        <f t="shared" si="181"/>
        <v/>
      </c>
      <c r="CM88" s="344"/>
      <c r="CN88" s="53" t="str">
        <f t="shared" si="223"/>
        <v/>
      </c>
      <c r="CO88" s="238">
        <v>0</v>
      </c>
      <c r="CP88" s="53" t="str">
        <f t="shared" si="224"/>
        <v/>
      </c>
      <c r="CQ88" s="355">
        <f>+Расходы!M38/1000</f>
        <v>0</v>
      </c>
      <c r="CR88" s="54" t="str">
        <f t="shared" si="225"/>
        <v/>
      </c>
      <c r="CS88" s="468" t="str">
        <f t="shared" si="182"/>
        <v/>
      </c>
      <c r="CT88" s="468" t="str">
        <f t="shared" si="183"/>
        <v/>
      </c>
      <c r="CU88" s="344">
        <f t="shared" si="158"/>
        <v>0</v>
      </c>
      <c r="CV88" s="53" t="str">
        <f t="shared" si="184"/>
        <v/>
      </c>
      <c r="CW88" s="238">
        <f t="shared" si="159"/>
        <v>0</v>
      </c>
      <c r="CX88" s="53">
        <f t="shared" si="185"/>
        <v>0</v>
      </c>
      <c r="CY88" s="355">
        <f t="shared" si="186"/>
        <v>0</v>
      </c>
      <c r="CZ88" s="54">
        <f t="shared" si="187"/>
        <v>0</v>
      </c>
      <c r="DA88" s="468" t="str">
        <f t="shared" si="188"/>
        <v/>
      </c>
      <c r="DB88" s="468" t="str">
        <f t="shared" si="189"/>
        <v/>
      </c>
    </row>
    <row r="89" spans="2:106" s="103" customFormat="1" ht="13.9" customHeight="1" outlineLevel="2">
      <c r="B89" s="61" t="str">
        <f>+Расходы!A39</f>
        <v>Аренда склада</v>
      </c>
      <c r="C89" s="238"/>
      <c r="D89" s="53" t="str">
        <f t="shared" si="190"/>
        <v/>
      </c>
      <c r="E89" s="238"/>
      <c r="F89" s="53" t="str">
        <f t="shared" si="191"/>
        <v/>
      </c>
      <c r="G89" s="355">
        <f>+Расходы!B39/1000</f>
        <v>0</v>
      </c>
      <c r="H89" s="54" t="str">
        <f t="shared" si="192"/>
        <v/>
      </c>
      <c r="I89" s="468" t="str">
        <f t="shared" si="160"/>
        <v/>
      </c>
      <c r="J89" s="468" t="str">
        <f t="shared" si="161"/>
        <v/>
      </c>
      <c r="K89" s="238"/>
      <c r="L89" s="53" t="str">
        <f t="shared" si="193"/>
        <v/>
      </c>
      <c r="M89" s="238"/>
      <c r="N89" s="53" t="str">
        <f t="shared" si="194"/>
        <v/>
      </c>
      <c r="O89" s="355">
        <f>+Расходы!C39/1000</f>
        <v>0</v>
      </c>
      <c r="P89" s="54" t="str">
        <f t="shared" si="195"/>
        <v/>
      </c>
      <c r="Q89" s="468" t="str">
        <f t="shared" si="162"/>
        <v/>
      </c>
      <c r="R89" s="468" t="str">
        <f t="shared" si="163"/>
        <v/>
      </c>
      <c r="S89" s="238"/>
      <c r="T89" s="53" t="str">
        <f t="shared" si="196"/>
        <v/>
      </c>
      <c r="U89" s="238">
        <v>0</v>
      </c>
      <c r="V89" s="53" t="str">
        <f t="shared" si="197"/>
        <v/>
      </c>
      <c r="W89" s="355">
        <f>+Расходы!D39/1000</f>
        <v>0</v>
      </c>
      <c r="X89" s="54" t="str">
        <f t="shared" si="198"/>
        <v/>
      </c>
      <c r="Y89" s="468" t="str">
        <f t="shared" si="164"/>
        <v/>
      </c>
      <c r="Z89" s="468" t="str">
        <f t="shared" si="165"/>
        <v/>
      </c>
      <c r="AA89" s="238"/>
      <c r="AB89" s="53" t="str">
        <f t="shared" si="199"/>
        <v/>
      </c>
      <c r="AC89" s="238">
        <v>0</v>
      </c>
      <c r="AD89" s="53" t="str">
        <f t="shared" si="200"/>
        <v/>
      </c>
      <c r="AE89" s="355">
        <f>+Расходы!E39/1000</f>
        <v>26.880099999999999</v>
      </c>
      <c r="AF89" s="54">
        <f t="shared" si="201"/>
        <v>1.960162471195636E-3</v>
      </c>
      <c r="AG89" s="468" t="str">
        <f t="shared" si="166"/>
        <v/>
      </c>
      <c r="AH89" s="468" t="str">
        <f t="shared" si="167"/>
        <v/>
      </c>
      <c r="AI89" s="238"/>
      <c r="AJ89" s="53" t="str">
        <f t="shared" si="202"/>
        <v/>
      </c>
      <c r="AK89" s="238">
        <v>0</v>
      </c>
      <c r="AL89" s="53" t="str">
        <f t="shared" si="203"/>
        <v/>
      </c>
      <c r="AM89" s="355">
        <f>+Расходы!F39/1000</f>
        <v>5</v>
      </c>
      <c r="AN89" s="54">
        <f t="shared" si="204"/>
        <v>3.1821615659798926E-4</v>
      </c>
      <c r="AO89" s="468" t="str">
        <f t="shared" si="168"/>
        <v/>
      </c>
      <c r="AP89" s="468" t="str">
        <f t="shared" si="169"/>
        <v/>
      </c>
      <c r="AQ89" s="344"/>
      <c r="AR89" s="53" t="str">
        <f t="shared" si="205"/>
        <v/>
      </c>
      <c r="AS89" s="238">
        <v>0</v>
      </c>
      <c r="AT89" s="53" t="str">
        <f t="shared" si="206"/>
        <v/>
      </c>
      <c r="AU89" s="355">
        <f>+Расходы!G39/1000</f>
        <v>10</v>
      </c>
      <c r="AV89" s="54">
        <f t="shared" si="207"/>
        <v>7.0158940167824391E-4</v>
      </c>
      <c r="AW89" s="468" t="str">
        <f t="shared" si="170"/>
        <v/>
      </c>
      <c r="AX89" s="468" t="str">
        <f t="shared" si="171"/>
        <v/>
      </c>
      <c r="AY89" s="344"/>
      <c r="AZ89" s="53" t="str">
        <f t="shared" si="208"/>
        <v/>
      </c>
      <c r="BA89" s="238">
        <v>0</v>
      </c>
      <c r="BB89" s="53" t="str">
        <f t="shared" si="209"/>
        <v/>
      </c>
      <c r="BC89" s="355">
        <f>+Расходы!H39/1000</f>
        <v>0</v>
      </c>
      <c r="BD89" s="54" t="str">
        <f t="shared" si="210"/>
        <v/>
      </c>
      <c r="BE89" s="468" t="str">
        <f t="shared" si="172"/>
        <v/>
      </c>
      <c r="BF89" s="468" t="str">
        <f t="shared" si="173"/>
        <v/>
      </c>
      <c r="BG89" s="344"/>
      <c r="BH89" s="53" t="str">
        <f t="shared" si="211"/>
        <v/>
      </c>
      <c r="BI89" s="238">
        <v>0</v>
      </c>
      <c r="BJ89" s="53" t="str">
        <f t="shared" si="212"/>
        <v/>
      </c>
      <c r="BK89" s="355">
        <f>+Расходы!I39/1000</f>
        <v>0</v>
      </c>
      <c r="BL89" s="54" t="str">
        <f t="shared" si="213"/>
        <v/>
      </c>
      <c r="BM89" s="468" t="str">
        <f t="shared" si="174"/>
        <v/>
      </c>
      <c r="BN89" s="468" t="str">
        <f t="shared" si="175"/>
        <v/>
      </c>
      <c r="BO89" s="344"/>
      <c r="BP89" s="53" t="str">
        <f t="shared" si="214"/>
        <v/>
      </c>
      <c r="BQ89" s="238">
        <v>0</v>
      </c>
      <c r="BR89" s="53" t="str">
        <f t="shared" si="215"/>
        <v/>
      </c>
      <c r="BS89" s="355">
        <f>+Расходы!J39/1000</f>
        <v>0</v>
      </c>
      <c r="BT89" s="54" t="str">
        <f t="shared" si="216"/>
        <v/>
      </c>
      <c r="BU89" s="468" t="str">
        <f t="shared" si="176"/>
        <v/>
      </c>
      <c r="BV89" s="468" t="str">
        <f t="shared" si="177"/>
        <v/>
      </c>
      <c r="BW89" s="344"/>
      <c r="BX89" s="53" t="str">
        <f t="shared" si="217"/>
        <v/>
      </c>
      <c r="BY89" s="238">
        <v>0</v>
      </c>
      <c r="BZ89" s="53" t="str">
        <f t="shared" si="218"/>
        <v/>
      </c>
      <c r="CA89" s="355">
        <f>+Расходы!K39/1000</f>
        <v>0</v>
      </c>
      <c r="CB89" s="54" t="str">
        <f t="shared" si="219"/>
        <v/>
      </c>
      <c r="CC89" s="468" t="str">
        <f t="shared" si="178"/>
        <v/>
      </c>
      <c r="CD89" s="468" t="str">
        <f t="shared" si="179"/>
        <v/>
      </c>
      <c r="CE89" s="344"/>
      <c r="CF89" s="53" t="str">
        <f t="shared" si="220"/>
        <v/>
      </c>
      <c r="CG89" s="238">
        <v>0</v>
      </c>
      <c r="CH89" s="53" t="str">
        <f t="shared" si="221"/>
        <v/>
      </c>
      <c r="CI89" s="355">
        <f>+Расходы!L39/1000</f>
        <v>0</v>
      </c>
      <c r="CJ89" s="54" t="str">
        <f t="shared" si="222"/>
        <v/>
      </c>
      <c r="CK89" s="468" t="str">
        <f t="shared" si="180"/>
        <v/>
      </c>
      <c r="CL89" s="468" t="str">
        <f t="shared" si="181"/>
        <v/>
      </c>
      <c r="CM89" s="344"/>
      <c r="CN89" s="53" t="str">
        <f t="shared" si="223"/>
        <v/>
      </c>
      <c r="CO89" s="238">
        <v>0</v>
      </c>
      <c r="CP89" s="53" t="str">
        <f t="shared" si="224"/>
        <v/>
      </c>
      <c r="CQ89" s="355">
        <f>+Расходы!M39/1000</f>
        <v>0</v>
      </c>
      <c r="CR89" s="54" t="str">
        <f t="shared" si="225"/>
        <v/>
      </c>
      <c r="CS89" s="468" t="str">
        <f t="shared" si="182"/>
        <v/>
      </c>
      <c r="CT89" s="468" t="str">
        <f t="shared" si="183"/>
        <v/>
      </c>
      <c r="CU89" s="344">
        <f t="shared" si="158"/>
        <v>0</v>
      </c>
      <c r="CV89" s="53" t="str">
        <f t="shared" si="184"/>
        <v/>
      </c>
      <c r="CW89" s="238">
        <f t="shared" si="159"/>
        <v>0</v>
      </c>
      <c r="CX89" s="53">
        <f t="shared" si="185"/>
        <v>0</v>
      </c>
      <c r="CY89" s="355">
        <f t="shared" si="186"/>
        <v>41.880099999999999</v>
      </c>
      <c r="CZ89" s="54">
        <f t="shared" si="187"/>
        <v>8.4420297501820274E-4</v>
      </c>
      <c r="DA89" s="468" t="str">
        <f t="shared" si="188"/>
        <v/>
      </c>
      <c r="DB89" s="468" t="str">
        <f t="shared" si="189"/>
        <v/>
      </c>
    </row>
    <row r="90" spans="2:106" s="103" customFormat="1" ht="13.9" customHeight="1" outlineLevel="2">
      <c r="B90" s="61" t="str">
        <f>+Расходы!A40</f>
        <v>Аренда склада Гладкова</v>
      </c>
      <c r="C90" s="238"/>
      <c r="D90" s="53" t="str">
        <f t="shared" si="190"/>
        <v/>
      </c>
      <c r="E90" s="238"/>
      <c r="F90" s="53" t="str">
        <f t="shared" si="191"/>
        <v/>
      </c>
      <c r="G90" s="355">
        <f>+Расходы!B40/1000</f>
        <v>0</v>
      </c>
      <c r="H90" s="54" t="str">
        <f t="shared" si="192"/>
        <v/>
      </c>
      <c r="I90" s="468" t="str">
        <f t="shared" si="160"/>
        <v/>
      </c>
      <c r="J90" s="468" t="str">
        <f t="shared" si="161"/>
        <v/>
      </c>
      <c r="K90" s="238"/>
      <c r="L90" s="53" t="str">
        <f t="shared" si="193"/>
        <v/>
      </c>
      <c r="M90" s="238"/>
      <c r="N90" s="53" t="str">
        <f t="shared" si="194"/>
        <v/>
      </c>
      <c r="O90" s="355">
        <f>+Расходы!C40/1000</f>
        <v>0</v>
      </c>
      <c r="P90" s="54" t="str">
        <f t="shared" si="195"/>
        <v/>
      </c>
      <c r="Q90" s="468" t="str">
        <f t="shared" si="162"/>
        <v/>
      </c>
      <c r="R90" s="468" t="str">
        <f t="shared" si="163"/>
        <v/>
      </c>
      <c r="S90" s="238"/>
      <c r="T90" s="53" t="str">
        <f t="shared" si="196"/>
        <v/>
      </c>
      <c r="U90" s="238">
        <v>0</v>
      </c>
      <c r="V90" s="53" t="str">
        <f t="shared" si="197"/>
        <v/>
      </c>
      <c r="W90" s="355">
        <f>+Расходы!D40/1000</f>
        <v>0</v>
      </c>
      <c r="X90" s="54" t="str">
        <f t="shared" si="198"/>
        <v/>
      </c>
      <c r="Y90" s="468" t="str">
        <f t="shared" si="164"/>
        <v/>
      </c>
      <c r="Z90" s="468" t="str">
        <f t="shared" si="165"/>
        <v/>
      </c>
      <c r="AA90" s="238"/>
      <c r="AB90" s="53" t="str">
        <f t="shared" si="199"/>
        <v/>
      </c>
      <c r="AC90" s="238">
        <v>0</v>
      </c>
      <c r="AD90" s="53" t="str">
        <f t="shared" si="200"/>
        <v/>
      </c>
      <c r="AE90" s="355">
        <f>+Расходы!E40/1000</f>
        <v>0</v>
      </c>
      <c r="AF90" s="54" t="str">
        <f t="shared" si="201"/>
        <v/>
      </c>
      <c r="AG90" s="468" t="str">
        <f t="shared" si="166"/>
        <v/>
      </c>
      <c r="AH90" s="468" t="str">
        <f t="shared" si="167"/>
        <v/>
      </c>
      <c r="AI90" s="238"/>
      <c r="AJ90" s="53" t="str">
        <f t="shared" si="202"/>
        <v/>
      </c>
      <c r="AK90" s="238">
        <v>0</v>
      </c>
      <c r="AL90" s="53" t="str">
        <f t="shared" si="203"/>
        <v/>
      </c>
      <c r="AM90" s="355">
        <f>+Расходы!F40/1000</f>
        <v>0</v>
      </c>
      <c r="AN90" s="54" t="str">
        <f t="shared" si="204"/>
        <v/>
      </c>
      <c r="AO90" s="468" t="str">
        <f t="shared" si="168"/>
        <v/>
      </c>
      <c r="AP90" s="468" t="str">
        <f t="shared" si="169"/>
        <v/>
      </c>
      <c r="AQ90" s="344"/>
      <c r="AR90" s="53" t="str">
        <f t="shared" si="205"/>
        <v/>
      </c>
      <c r="AS90" s="238">
        <v>0</v>
      </c>
      <c r="AT90" s="53" t="str">
        <f t="shared" si="206"/>
        <v/>
      </c>
      <c r="AU90" s="355">
        <f>+Расходы!G40/1000</f>
        <v>4.3479999999999999</v>
      </c>
      <c r="AV90" s="54">
        <f t="shared" si="207"/>
        <v>3.0505107184970043E-4</v>
      </c>
      <c r="AW90" s="468" t="str">
        <f t="shared" si="170"/>
        <v/>
      </c>
      <c r="AX90" s="468" t="str">
        <f t="shared" si="171"/>
        <v/>
      </c>
      <c r="AY90" s="344"/>
      <c r="AZ90" s="53" t="str">
        <f t="shared" si="208"/>
        <v/>
      </c>
      <c r="BA90" s="238">
        <v>0</v>
      </c>
      <c r="BB90" s="53" t="str">
        <f t="shared" si="209"/>
        <v/>
      </c>
      <c r="BC90" s="355">
        <f>+Расходы!H40/1000</f>
        <v>0</v>
      </c>
      <c r="BD90" s="54" t="str">
        <f t="shared" si="210"/>
        <v/>
      </c>
      <c r="BE90" s="468" t="str">
        <f t="shared" si="172"/>
        <v/>
      </c>
      <c r="BF90" s="468" t="str">
        <f t="shared" si="173"/>
        <v/>
      </c>
      <c r="BG90" s="344"/>
      <c r="BH90" s="53" t="str">
        <f t="shared" si="211"/>
        <v/>
      </c>
      <c r="BI90" s="238">
        <v>0</v>
      </c>
      <c r="BJ90" s="53" t="str">
        <f t="shared" si="212"/>
        <v/>
      </c>
      <c r="BK90" s="355">
        <f>+Расходы!I40/1000</f>
        <v>0</v>
      </c>
      <c r="BL90" s="54" t="str">
        <f t="shared" si="213"/>
        <v/>
      </c>
      <c r="BM90" s="468" t="str">
        <f t="shared" si="174"/>
        <v/>
      </c>
      <c r="BN90" s="468" t="str">
        <f t="shared" si="175"/>
        <v/>
      </c>
      <c r="BO90" s="344"/>
      <c r="BP90" s="53" t="str">
        <f t="shared" si="214"/>
        <v/>
      </c>
      <c r="BQ90" s="238">
        <v>0</v>
      </c>
      <c r="BR90" s="53" t="str">
        <f t="shared" si="215"/>
        <v/>
      </c>
      <c r="BS90" s="355">
        <f>+Расходы!J40/1000</f>
        <v>0</v>
      </c>
      <c r="BT90" s="54" t="str">
        <f t="shared" si="216"/>
        <v/>
      </c>
      <c r="BU90" s="468" t="str">
        <f t="shared" si="176"/>
        <v/>
      </c>
      <c r="BV90" s="468" t="str">
        <f t="shared" si="177"/>
        <v/>
      </c>
      <c r="BW90" s="344"/>
      <c r="BX90" s="53" t="str">
        <f t="shared" si="217"/>
        <v/>
      </c>
      <c r="BY90" s="238">
        <v>0</v>
      </c>
      <c r="BZ90" s="53" t="str">
        <f t="shared" si="218"/>
        <v/>
      </c>
      <c r="CA90" s="355">
        <f>+Расходы!K40/1000</f>
        <v>0</v>
      </c>
      <c r="CB90" s="54" t="str">
        <f t="shared" si="219"/>
        <v/>
      </c>
      <c r="CC90" s="468" t="str">
        <f t="shared" si="178"/>
        <v/>
      </c>
      <c r="CD90" s="468" t="str">
        <f t="shared" si="179"/>
        <v/>
      </c>
      <c r="CE90" s="344"/>
      <c r="CF90" s="53" t="str">
        <f t="shared" si="220"/>
        <v/>
      </c>
      <c r="CG90" s="238">
        <v>0</v>
      </c>
      <c r="CH90" s="53" t="str">
        <f t="shared" si="221"/>
        <v/>
      </c>
      <c r="CI90" s="355">
        <f>+Расходы!L40/1000</f>
        <v>0</v>
      </c>
      <c r="CJ90" s="54" t="str">
        <f t="shared" si="222"/>
        <v/>
      </c>
      <c r="CK90" s="468" t="str">
        <f t="shared" si="180"/>
        <v/>
      </c>
      <c r="CL90" s="468" t="str">
        <f t="shared" si="181"/>
        <v/>
      </c>
      <c r="CM90" s="344"/>
      <c r="CN90" s="53" t="str">
        <f t="shared" si="223"/>
        <v/>
      </c>
      <c r="CO90" s="238">
        <v>0</v>
      </c>
      <c r="CP90" s="53" t="str">
        <f t="shared" si="224"/>
        <v/>
      </c>
      <c r="CQ90" s="355">
        <f>+Расходы!M40/1000</f>
        <v>0</v>
      </c>
      <c r="CR90" s="54" t="str">
        <f t="shared" si="225"/>
        <v/>
      </c>
      <c r="CS90" s="468" t="str">
        <f t="shared" si="182"/>
        <v/>
      </c>
      <c r="CT90" s="468" t="str">
        <f t="shared" si="183"/>
        <v/>
      </c>
      <c r="CU90" s="344">
        <f t="shared" si="158"/>
        <v>0</v>
      </c>
      <c r="CV90" s="53" t="str">
        <f t="shared" si="184"/>
        <v/>
      </c>
      <c r="CW90" s="238">
        <f t="shared" si="159"/>
        <v>0</v>
      </c>
      <c r="CX90" s="53">
        <f t="shared" si="185"/>
        <v>0</v>
      </c>
      <c r="CY90" s="355">
        <f t="shared" si="186"/>
        <v>4.3479999999999999</v>
      </c>
      <c r="CZ90" s="54">
        <f t="shared" si="187"/>
        <v>8.7645314490155115E-5</v>
      </c>
      <c r="DA90" s="468" t="str">
        <f t="shared" si="188"/>
        <v/>
      </c>
      <c r="DB90" s="468" t="str">
        <f t="shared" si="189"/>
        <v/>
      </c>
    </row>
    <row r="91" spans="2:106" s="103" customFormat="1" ht="13.9" customHeight="1" outlineLevel="2">
      <c r="B91" s="61" t="str">
        <f>+Расходы!A41</f>
        <v>Аренда цеха</v>
      </c>
      <c r="C91" s="238"/>
      <c r="D91" s="53" t="str">
        <f t="shared" si="190"/>
        <v/>
      </c>
      <c r="E91" s="238"/>
      <c r="F91" s="53" t="str">
        <f t="shared" si="191"/>
        <v/>
      </c>
      <c r="G91" s="355">
        <f>+Расходы!B41/1000</f>
        <v>0</v>
      </c>
      <c r="H91" s="54" t="str">
        <f t="shared" si="192"/>
        <v/>
      </c>
      <c r="I91" s="468" t="str">
        <f t="shared" si="160"/>
        <v/>
      </c>
      <c r="J91" s="468" t="str">
        <f t="shared" si="161"/>
        <v/>
      </c>
      <c r="K91" s="238"/>
      <c r="L91" s="53" t="str">
        <f t="shared" si="193"/>
        <v/>
      </c>
      <c r="M91" s="238"/>
      <c r="N91" s="53" t="str">
        <f t="shared" si="194"/>
        <v/>
      </c>
      <c r="O91" s="355">
        <f>+Расходы!C41/1000</f>
        <v>0</v>
      </c>
      <c r="P91" s="54" t="str">
        <f t="shared" si="195"/>
        <v/>
      </c>
      <c r="Q91" s="468" t="str">
        <f t="shared" si="162"/>
        <v/>
      </c>
      <c r="R91" s="468" t="str">
        <f t="shared" si="163"/>
        <v/>
      </c>
      <c r="S91" s="238"/>
      <c r="T91" s="53" t="str">
        <f t="shared" si="196"/>
        <v/>
      </c>
      <c r="U91" s="238">
        <v>0</v>
      </c>
      <c r="V91" s="53" t="str">
        <f t="shared" si="197"/>
        <v/>
      </c>
      <c r="W91" s="355">
        <f>+Расходы!D41/1000</f>
        <v>0</v>
      </c>
      <c r="X91" s="54" t="str">
        <f t="shared" si="198"/>
        <v/>
      </c>
      <c r="Y91" s="468" t="str">
        <f t="shared" si="164"/>
        <v/>
      </c>
      <c r="Z91" s="468" t="str">
        <f t="shared" si="165"/>
        <v/>
      </c>
      <c r="AA91" s="238"/>
      <c r="AB91" s="53" t="str">
        <f t="shared" si="199"/>
        <v/>
      </c>
      <c r="AC91" s="238">
        <v>0</v>
      </c>
      <c r="AD91" s="53" t="str">
        <f t="shared" si="200"/>
        <v/>
      </c>
      <c r="AE91" s="355">
        <f>+Расходы!E41/1000</f>
        <v>0</v>
      </c>
      <c r="AF91" s="54" t="str">
        <f t="shared" si="201"/>
        <v/>
      </c>
      <c r="AG91" s="468" t="str">
        <f t="shared" si="166"/>
        <v/>
      </c>
      <c r="AH91" s="468" t="str">
        <f t="shared" si="167"/>
        <v/>
      </c>
      <c r="AI91" s="238"/>
      <c r="AJ91" s="53" t="str">
        <f t="shared" si="202"/>
        <v/>
      </c>
      <c r="AK91" s="238">
        <v>0</v>
      </c>
      <c r="AL91" s="53" t="str">
        <f t="shared" si="203"/>
        <v/>
      </c>
      <c r="AM91" s="355">
        <f>+Расходы!F41/1000</f>
        <v>0</v>
      </c>
      <c r="AN91" s="54" t="str">
        <f t="shared" si="204"/>
        <v/>
      </c>
      <c r="AO91" s="468" t="str">
        <f t="shared" si="168"/>
        <v/>
      </c>
      <c r="AP91" s="468" t="str">
        <f t="shared" si="169"/>
        <v/>
      </c>
      <c r="AQ91" s="344"/>
      <c r="AR91" s="53" t="str">
        <f t="shared" si="205"/>
        <v/>
      </c>
      <c r="AS91" s="238">
        <v>0</v>
      </c>
      <c r="AT91" s="53" t="str">
        <f t="shared" si="206"/>
        <v/>
      </c>
      <c r="AU91" s="355">
        <f>+Расходы!G41/1000</f>
        <v>0</v>
      </c>
      <c r="AV91" s="54" t="str">
        <f t="shared" si="207"/>
        <v/>
      </c>
      <c r="AW91" s="468" t="str">
        <f t="shared" si="170"/>
        <v/>
      </c>
      <c r="AX91" s="468" t="str">
        <f t="shared" si="171"/>
        <v/>
      </c>
      <c r="AY91" s="344"/>
      <c r="AZ91" s="53" t="str">
        <f t="shared" si="208"/>
        <v/>
      </c>
      <c r="BA91" s="238">
        <v>0</v>
      </c>
      <c r="BB91" s="53" t="str">
        <f t="shared" si="209"/>
        <v/>
      </c>
      <c r="BC91" s="355">
        <f>+Расходы!H41/1000</f>
        <v>0</v>
      </c>
      <c r="BD91" s="54" t="str">
        <f t="shared" si="210"/>
        <v/>
      </c>
      <c r="BE91" s="468" t="str">
        <f t="shared" si="172"/>
        <v/>
      </c>
      <c r="BF91" s="468" t="str">
        <f t="shared" si="173"/>
        <v/>
      </c>
      <c r="BG91" s="344"/>
      <c r="BH91" s="53" t="str">
        <f t="shared" si="211"/>
        <v/>
      </c>
      <c r="BI91" s="238">
        <v>0</v>
      </c>
      <c r="BJ91" s="53" t="str">
        <f t="shared" si="212"/>
        <v/>
      </c>
      <c r="BK91" s="355">
        <f>+Расходы!I41/1000</f>
        <v>0</v>
      </c>
      <c r="BL91" s="54" t="str">
        <f t="shared" si="213"/>
        <v/>
      </c>
      <c r="BM91" s="468" t="str">
        <f t="shared" si="174"/>
        <v/>
      </c>
      <c r="BN91" s="468" t="str">
        <f t="shared" si="175"/>
        <v/>
      </c>
      <c r="BO91" s="344"/>
      <c r="BP91" s="53" t="str">
        <f t="shared" si="214"/>
        <v/>
      </c>
      <c r="BQ91" s="238">
        <v>0</v>
      </c>
      <c r="BR91" s="53" t="str">
        <f t="shared" si="215"/>
        <v/>
      </c>
      <c r="BS91" s="355">
        <f>+Расходы!J41/1000</f>
        <v>0</v>
      </c>
      <c r="BT91" s="54" t="str">
        <f t="shared" si="216"/>
        <v/>
      </c>
      <c r="BU91" s="468" t="str">
        <f t="shared" si="176"/>
        <v/>
      </c>
      <c r="BV91" s="468" t="str">
        <f t="shared" si="177"/>
        <v/>
      </c>
      <c r="BW91" s="344"/>
      <c r="BX91" s="53" t="str">
        <f t="shared" si="217"/>
        <v/>
      </c>
      <c r="BY91" s="238">
        <v>0</v>
      </c>
      <c r="BZ91" s="53" t="str">
        <f t="shared" si="218"/>
        <v/>
      </c>
      <c r="CA91" s="355">
        <f>+Расходы!K41/1000</f>
        <v>0</v>
      </c>
      <c r="CB91" s="54" t="str">
        <f t="shared" si="219"/>
        <v/>
      </c>
      <c r="CC91" s="468" t="str">
        <f t="shared" si="178"/>
        <v/>
      </c>
      <c r="CD91" s="468" t="str">
        <f t="shared" si="179"/>
        <v/>
      </c>
      <c r="CE91" s="344"/>
      <c r="CF91" s="53" t="str">
        <f t="shared" si="220"/>
        <v/>
      </c>
      <c r="CG91" s="238">
        <v>0</v>
      </c>
      <c r="CH91" s="53" t="str">
        <f t="shared" si="221"/>
        <v/>
      </c>
      <c r="CI91" s="355">
        <f>+Расходы!L41/1000</f>
        <v>0</v>
      </c>
      <c r="CJ91" s="54" t="str">
        <f t="shared" si="222"/>
        <v/>
      </c>
      <c r="CK91" s="468" t="str">
        <f t="shared" si="180"/>
        <v/>
      </c>
      <c r="CL91" s="468" t="str">
        <f t="shared" si="181"/>
        <v/>
      </c>
      <c r="CM91" s="344"/>
      <c r="CN91" s="53" t="str">
        <f t="shared" si="223"/>
        <v/>
      </c>
      <c r="CO91" s="238">
        <v>0</v>
      </c>
      <c r="CP91" s="53" t="str">
        <f t="shared" si="224"/>
        <v/>
      </c>
      <c r="CQ91" s="355">
        <f>+Расходы!M41/1000</f>
        <v>0</v>
      </c>
      <c r="CR91" s="54" t="str">
        <f t="shared" si="225"/>
        <v/>
      </c>
      <c r="CS91" s="468" t="str">
        <f t="shared" si="182"/>
        <v/>
      </c>
      <c r="CT91" s="468" t="str">
        <f t="shared" si="183"/>
        <v/>
      </c>
      <c r="CU91" s="344">
        <f t="shared" si="158"/>
        <v>0</v>
      </c>
      <c r="CV91" s="53" t="str">
        <f t="shared" si="184"/>
        <v/>
      </c>
      <c r="CW91" s="238">
        <f t="shared" si="159"/>
        <v>0</v>
      </c>
      <c r="CX91" s="53">
        <f t="shared" si="185"/>
        <v>0</v>
      </c>
      <c r="CY91" s="355">
        <f t="shared" si="186"/>
        <v>0</v>
      </c>
      <c r="CZ91" s="54">
        <f t="shared" si="187"/>
        <v>0</v>
      </c>
      <c r="DA91" s="468" t="str">
        <f t="shared" si="188"/>
        <v/>
      </c>
      <c r="DB91" s="468" t="str">
        <f t="shared" si="189"/>
        <v/>
      </c>
    </row>
    <row r="92" spans="2:106" s="103" customFormat="1" ht="13.9" customHeight="1" outlineLevel="2">
      <c r="B92" s="61" t="str">
        <f>+Расходы!A42</f>
        <v>Услуги автопарковки</v>
      </c>
      <c r="C92" s="238"/>
      <c r="D92" s="53" t="str">
        <f t="shared" si="190"/>
        <v/>
      </c>
      <c r="E92" s="238"/>
      <c r="F92" s="53" t="str">
        <f t="shared" si="191"/>
        <v/>
      </c>
      <c r="G92" s="355">
        <f>+Расходы!B42/1000</f>
        <v>0</v>
      </c>
      <c r="H92" s="54" t="str">
        <f t="shared" si="192"/>
        <v/>
      </c>
      <c r="I92" s="468" t="str">
        <f t="shared" si="160"/>
        <v/>
      </c>
      <c r="J92" s="468" t="str">
        <f t="shared" si="161"/>
        <v/>
      </c>
      <c r="K92" s="238"/>
      <c r="L92" s="53" t="str">
        <f t="shared" si="193"/>
        <v/>
      </c>
      <c r="M92" s="238"/>
      <c r="N92" s="53" t="str">
        <f t="shared" si="194"/>
        <v/>
      </c>
      <c r="O92" s="355">
        <f>+Расходы!C42/1000</f>
        <v>0</v>
      </c>
      <c r="P92" s="54" t="str">
        <f t="shared" si="195"/>
        <v/>
      </c>
      <c r="Q92" s="468" t="str">
        <f t="shared" si="162"/>
        <v/>
      </c>
      <c r="R92" s="468" t="str">
        <f t="shared" si="163"/>
        <v/>
      </c>
      <c r="S92" s="238"/>
      <c r="T92" s="53" t="str">
        <f t="shared" si="196"/>
        <v/>
      </c>
      <c r="U92" s="238">
        <v>0</v>
      </c>
      <c r="V92" s="53" t="str">
        <f t="shared" si="197"/>
        <v/>
      </c>
      <c r="W92" s="355">
        <f>+Расходы!D42/1000</f>
        <v>0</v>
      </c>
      <c r="X92" s="54" t="str">
        <f t="shared" si="198"/>
        <v/>
      </c>
      <c r="Y92" s="468" t="str">
        <f t="shared" si="164"/>
        <v/>
      </c>
      <c r="Z92" s="468" t="str">
        <f t="shared" si="165"/>
        <v/>
      </c>
      <c r="AA92" s="238"/>
      <c r="AB92" s="53" t="str">
        <f t="shared" si="199"/>
        <v/>
      </c>
      <c r="AC92" s="238">
        <v>0</v>
      </c>
      <c r="AD92" s="53" t="str">
        <f t="shared" si="200"/>
        <v/>
      </c>
      <c r="AE92" s="355">
        <f>+Расходы!E42/1000</f>
        <v>0</v>
      </c>
      <c r="AF92" s="54" t="str">
        <f t="shared" si="201"/>
        <v/>
      </c>
      <c r="AG92" s="468" t="str">
        <f t="shared" si="166"/>
        <v/>
      </c>
      <c r="AH92" s="468" t="str">
        <f t="shared" si="167"/>
        <v/>
      </c>
      <c r="AI92" s="238"/>
      <c r="AJ92" s="53" t="str">
        <f t="shared" si="202"/>
        <v/>
      </c>
      <c r="AK92" s="238">
        <v>0</v>
      </c>
      <c r="AL92" s="53" t="str">
        <f t="shared" si="203"/>
        <v/>
      </c>
      <c r="AM92" s="355">
        <f>+Расходы!F42/1000</f>
        <v>0</v>
      </c>
      <c r="AN92" s="54" t="str">
        <f t="shared" si="204"/>
        <v/>
      </c>
      <c r="AO92" s="468" t="str">
        <f t="shared" si="168"/>
        <v/>
      </c>
      <c r="AP92" s="468" t="str">
        <f t="shared" si="169"/>
        <v/>
      </c>
      <c r="AQ92" s="344"/>
      <c r="AR92" s="53" t="str">
        <f t="shared" si="205"/>
        <v/>
      </c>
      <c r="AS92" s="238">
        <v>0</v>
      </c>
      <c r="AT92" s="53" t="str">
        <f t="shared" si="206"/>
        <v/>
      </c>
      <c r="AU92" s="355">
        <f>+Расходы!G42/1000</f>
        <v>0</v>
      </c>
      <c r="AV92" s="54" t="str">
        <f t="shared" si="207"/>
        <v/>
      </c>
      <c r="AW92" s="468" t="str">
        <f t="shared" si="170"/>
        <v/>
      </c>
      <c r="AX92" s="468" t="str">
        <f t="shared" si="171"/>
        <v/>
      </c>
      <c r="AY92" s="344"/>
      <c r="AZ92" s="53" t="str">
        <f t="shared" si="208"/>
        <v/>
      </c>
      <c r="BA92" s="238">
        <v>0</v>
      </c>
      <c r="BB92" s="53" t="str">
        <f t="shared" si="209"/>
        <v/>
      </c>
      <c r="BC92" s="355">
        <f>+Расходы!H42/1000</f>
        <v>0</v>
      </c>
      <c r="BD92" s="54" t="str">
        <f t="shared" si="210"/>
        <v/>
      </c>
      <c r="BE92" s="468" t="str">
        <f t="shared" si="172"/>
        <v/>
      </c>
      <c r="BF92" s="468" t="str">
        <f t="shared" si="173"/>
        <v/>
      </c>
      <c r="BG92" s="344"/>
      <c r="BH92" s="53" t="str">
        <f t="shared" si="211"/>
        <v/>
      </c>
      <c r="BI92" s="238">
        <v>0</v>
      </c>
      <c r="BJ92" s="53" t="str">
        <f t="shared" si="212"/>
        <v/>
      </c>
      <c r="BK92" s="355">
        <f>+Расходы!I42/1000</f>
        <v>0</v>
      </c>
      <c r="BL92" s="54" t="str">
        <f t="shared" si="213"/>
        <v/>
      </c>
      <c r="BM92" s="468" t="str">
        <f t="shared" si="174"/>
        <v/>
      </c>
      <c r="BN92" s="468" t="str">
        <f t="shared" si="175"/>
        <v/>
      </c>
      <c r="BO92" s="344"/>
      <c r="BP92" s="53" t="str">
        <f t="shared" si="214"/>
        <v/>
      </c>
      <c r="BQ92" s="238">
        <v>0</v>
      </c>
      <c r="BR92" s="53" t="str">
        <f t="shared" si="215"/>
        <v/>
      </c>
      <c r="BS92" s="355">
        <f>+Расходы!J42/1000</f>
        <v>0</v>
      </c>
      <c r="BT92" s="54" t="str">
        <f t="shared" si="216"/>
        <v/>
      </c>
      <c r="BU92" s="468" t="str">
        <f t="shared" si="176"/>
        <v/>
      </c>
      <c r="BV92" s="468" t="str">
        <f t="shared" si="177"/>
        <v/>
      </c>
      <c r="BW92" s="344"/>
      <c r="BX92" s="53" t="str">
        <f t="shared" si="217"/>
        <v/>
      </c>
      <c r="BY92" s="238">
        <v>0</v>
      </c>
      <c r="BZ92" s="53" t="str">
        <f t="shared" si="218"/>
        <v/>
      </c>
      <c r="CA92" s="355">
        <f>+Расходы!K42/1000</f>
        <v>0</v>
      </c>
      <c r="CB92" s="54" t="str">
        <f t="shared" si="219"/>
        <v/>
      </c>
      <c r="CC92" s="468" t="str">
        <f t="shared" si="178"/>
        <v/>
      </c>
      <c r="CD92" s="468" t="str">
        <f t="shared" si="179"/>
        <v/>
      </c>
      <c r="CE92" s="344"/>
      <c r="CF92" s="53" t="str">
        <f t="shared" si="220"/>
        <v/>
      </c>
      <c r="CG92" s="238">
        <v>0</v>
      </c>
      <c r="CH92" s="53" t="str">
        <f t="shared" si="221"/>
        <v/>
      </c>
      <c r="CI92" s="355">
        <f>+Расходы!L42/1000</f>
        <v>0</v>
      </c>
      <c r="CJ92" s="54" t="str">
        <f t="shared" si="222"/>
        <v/>
      </c>
      <c r="CK92" s="468" t="str">
        <f t="shared" si="180"/>
        <v/>
      </c>
      <c r="CL92" s="468" t="str">
        <f t="shared" si="181"/>
        <v/>
      </c>
      <c r="CM92" s="344"/>
      <c r="CN92" s="53" t="str">
        <f t="shared" si="223"/>
        <v/>
      </c>
      <c r="CO92" s="238">
        <v>0</v>
      </c>
      <c r="CP92" s="53" t="str">
        <f t="shared" si="224"/>
        <v/>
      </c>
      <c r="CQ92" s="355">
        <f>+Расходы!M42/1000</f>
        <v>0</v>
      </c>
      <c r="CR92" s="54" t="str">
        <f t="shared" si="225"/>
        <v/>
      </c>
      <c r="CS92" s="468" t="str">
        <f t="shared" si="182"/>
        <v/>
      </c>
      <c r="CT92" s="468" t="str">
        <f t="shared" si="183"/>
        <v/>
      </c>
      <c r="CU92" s="344">
        <f t="shared" si="158"/>
        <v>0</v>
      </c>
      <c r="CV92" s="53" t="str">
        <f t="shared" si="184"/>
        <v/>
      </c>
      <c r="CW92" s="238">
        <f t="shared" si="159"/>
        <v>0</v>
      </c>
      <c r="CX92" s="53">
        <f t="shared" si="185"/>
        <v>0</v>
      </c>
      <c r="CY92" s="355">
        <f t="shared" si="186"/>
        <v>0</v>
      </c>
      <c r="CZ92" s="54">
        <f t="shared" si="187"/>
        <v>0</v>
      </c>
      <c r="DA92" s="468" t="str">
        <f t="shared" si="188"/>
        <v/>
      </c>
      <c r="DB92" s="468" t="str">
        <f t="shared" si="189"/>
        <v/>
      </c>
    </row>
    <row r="93" spans="2:106" s="103" customFormat="1" ht="13.9" customHeight="1" outlineLevel="1">
      <c r="B93" s="55" t="str">
        <f>+Расходы!A43</f>
        <v>Коммунальные расходы</v>
      </c>
      <c r="C93" s="482">
        <f>SUM(C94:C102)</f>
        <v>0</v>
      </c>
      <c r="D93" s="63" t="str">
        <f t="shared" si="190"/>
        <v/>
      </c>
      <c r="E93" s="482">
        <f>SUM(E94:E102)</f>
        <v>0</v>
      </c>
      <c r="F93" s="63" t="str">
        <f t="shared" si="191"/>
        <v/>
      </c>
      <c r="G93" s="356">
        <f>+Расходы!B43/1000</f>
        <v>0</v>
      </c>
      <c r="H93" s="64" t="str">
        <f t="shared" si="192"/>
        <v/>
      </c>
      <c r="I93" s="483" t="str">
        <f t="shared" si="160"/>
        <v/>
      </c>
      <c r="J93" s="483" t="str">
        <f t="shared" si="161"/>
        <v/>
      </c>
      <c r="K93" s="482">
        <f>SUM(K94:K102)</f>
        <v>0</v>
      </c>
      <c r="L93" s="63" t="str">
        <f t="shared" si="193"/>
        <v/>
      </c>
      <c r="M93" s="482">
        <f>SUM(M94:M102)</f>
        <v>0</v>
      </c>
      <c r="N93" s="63" t="str">
        <f t="shared" si="194"/>
        <v/>
      </c>
      <c r="O93" s="356">
        <f>+Расходы!C43/1000</f>
        <v>0</v>
      </c>
      <c r="P93" s="64" t="str">
        <f t="shared" si="195"/>
        <v/>
      </c>
      <c r="Q93" s="483" t="str">
        <f t="shared" si="162"/>
        <v/>
      </c>
      <c r="R93" s="483" t="str">
        <f t="shared" si="163"/>
        <v/>
      </c>
      <c r="S93" s="482">
        <f>SUM(S94:S102)</f>
        <v>0</v>
      </c>
      <c r="T93" s="63" t="str">
        <f t="shared" si="196"/>
        <v/>
      </c>
      <c r="U93" s="482">
        <v>0</v>
      </c>
      <c r="V93" s="63" t="str">
        <f t="shared" si="197"/>
        <v/>
      </c>
      <c r="W93" s="356">
        <f>+Расходы!D43/1000</f>
        <v>2</v>
      </c>
      <c r="X93" s="64">
        <f t="shared" si="198"/>
        <v>3.372738157473145E-4</v>
      </c>
      <c r="Y93" s="483" t="str">
        <f t="shared" si="164"/>
        <v/>
      </c>
      <c r="Z93" s="483" t="str">
        <f t="shared" si="165"/>
        <v/>
      </c>
      <c r="AA93" s="482">
        <f>SUM(AA94:AA102)</f>
        <v>0</v>
      </c>
      <c r="AB93" s="63" t="str">
        <f t="shared" si="199"/>
        <v/>
      </c>
      <c r="AC93" s="482">
        <v>250</v>
      </c>
      <c r="AD93" s="63">
        <f t="shared" si="200"/>
        <v>1.8285761097262695E-2</v>
      </c>
      <c r="AE93" s="356">
        <f>+Расходы!E43/1000</f>
        <v>258.46325000000002</v>
      </c>
      <c r="AF93" s="64">
        <f t="shared" si="201"/>
        <v>1.8847770761018581E-2</v>
      </c>
      <c r="AG93" s="483">
        <f t="shared" si="166"/>
        <v>3.3853000000000133E-2</v>
      </c>
      <c r="AH93" s="483" t="str">
        <f t="shared" si="167"/>
        <v/>
      </c>
      <c r="AI93" s="482">
        <f>SUM(AI94:AI102)</f>
        <v>0</v>
      </c>
      <c r="AJ93" s="63" t="str">
        <f t="shared" si="202"/>
        <v/>
      </c>
      <c r="AK93" s="482">
        <v>230</v>
      </c>
      <c r="AL93" s="63">
        <f t="shared" si="203"/>
        <v>1.6461494417406242E-2</v>
      </c>
      <c r="AM93" s="356">
        <f>+Расходы!F43/1000</f>
        <v>256.50855000000001</v>
      </c>
      <c r="AN93" s="64">
        <f t="shared" si="204"/>
        <v>1.6325032983104632E-2</v>
      </c>
      <c r="AO93" s="483">
        <f t="shared" si="168"/>
        <v>0.1152545652173913</v>
      </c>
      <c r="AP93" s="483" t="str">
        <f t="shared" si="169"/>
        <v/>
      </c>
      <c r="AQ93" s="484">
        <f>SUM(AQ94:AQ102)</f>
        <v>0</v>
      </c>
      <c r="AR93" s="63" t="str">
        <f t="shared" si="205"/>
        <v/>
      </c>
      <c r="AS93" s="482">
        <v>395</v>
      </c>
      <c r="AT93" s="63">
        <f t="shared" si="206"/>
        <v>2.6193633952254641E-2</v>
      </c>
      <c r="AU93" s="356">
        <f>+Расходы!G43/1000</f>
        <v>378.48525000000001</v>
      </c>
      <c r="AV93" s="64">
        <f t="shared" si="207"/>
        <v>2.6554124009154058E-2</v>
      </c>
      <c r="AW93" s="483">
        <f t="shared" si="170"/>
        <v>-4.1809493670886044E-2</v>
      </c>
      <c r="AX93" s="483" t="str">
        <f t="shared" si="171"/>
        <v/>
      </c>
      <c r="AY93" s="484">
        <f>SUM(AY94:AY102)</f>
        <v>0</v>
      </c>
      <c r="AZ93" s="63" t="str">
        <f t="shared" si="208"/>
        <v/>
      </c>
      <c r="BA93" s="482">
        <v>395</v>
      </c>
      <c r="BB93" s="63">
        <f t="shared" si="209"/>
        <v>2.5211424924206159E-2</v>
      </c>
      <c r="BC93" s="356">
        <f>+Расходы!H43/1000</f>
        <v>0</v>
      </c>
      <c r="BD93" s="64" t="str">
        <f t="shared" si="210"/>
        <v/>
      </c>
      <c r="BE93" s="483">
        <f t="shared" si="172"/>
        <v>-1</v>
      </c>
      <c r="BF93" s="483" t="str">
        <f t="shared" si="173"/>
        <v/>
      </c>
      <c r="BG93" s="484">
        <f>SUM(BG94:BG102)</f>
        <v>0</v>
      </c>
      <c r="BH93" s="63" t="str">
        <f t="shared" si="211"/>
        <v/>
      </c>
      <c r="BI93" s="482">
        <v>395</v>
      </c>
      <c r="BJ93" s="63">
        <f t="shared" si="212"/>
        <v>2.5211424924206159E-2</v>
      </c>
      <c r="BK93" s="356">
        <f>+Расходы!I43/1000</f>
        <v>0</v>
      </c>
      <c r="BL93" s="64" t="str">
        <f t="shared" si="213"/>
        <v/>
      </c>
      <c r="BM93" s="483">
        <f t="shared" si="174"/>
        <v>-1</v>
      </c>
      <c r="BN93" s="483" t="str">
        <f t="shared" si="175"/>
        <v/>
      </c>
      <c r="BO93" s="484">
        <f>SUM(BO94:BO102)</f>
        <v>0</v>
      </c>
      <c r="BP93" s="63" t="str">
        <f t="shared" si="214"/>
        <v/>
      </c>
      <c r="BQ93" s="482">
        <v>395</v>
      </c>
      <c r="BR93" s="63">
        <f t="shared" si="215"/>
        <v>2.7279005524861878E-2</v>
      </c>
      <c r="BS93" s="356">
        <f>+Расходы!J43/1000</f>
        <v>0</v>
      </c>
      <c r="BT93" s="64" t="str">
        <f t="shared" si="216"/>
        <v/>
      </c>
      <c r="BU93" s="483">
        <f t="shared" si="176"/>
        <v>-1</v>
      </c>
      <c r="BV93" s="483" t="str">
        <f t="shared" si="177"/>
        <v/>
      </c>
      <c r="BW93" s="484">
        <f>SUM(BW94:BW102)</f>
        <v>0</v>
      </c>
      <c r="BX93" s="63" t="str">
        <f t="shared" si="217"/>
        <v/>
      </c>
      <c r="BY93" s="482">
        <v>234.61760000000001</v>
      </c>
      <c r="BZ93" s="63">
        <f t="shared" si="218"/>
        <v>1.6658412988836056E-2</v>
      </c>
      <c r="CA93" s="356">
        <f>+Расходы!K43/1000</f>
        <v>0</v>
      </c>
      <c r="CB93" s="64" t="str">
        <f t="shared" si="219"/>
        <v/>
      </c>
      <c r="CC93" s="483">
        <f t="shared" si="178"/>
        <v>-1</v>
      </c>
      <c r="CD93" s="483" t="str">
        <f t="shared" si="179"/>
        <v/>
      </c>
      <c r="CE93" s="484">
        <f>SUM(CE94:CE102)</f>
        <v>0</v>
      </c>
      <c r="CF93" s="63" t="str">
        <f t="shared" si="220"/>
        <v/>
      </c>
      <c r="CG93" s="482">
        <v>282.43599999999998</v>
      </c>
      <c r="CH93" s="63">
        <f t="shared" si="221"/>
        <v>1.9423390792989954E-2</v>
      </c>
      <c r="CI93" s="356">
        <f>+Расходы!L43/1000</f>
        <v>0</v>
      </c>
      <c r="CJ93" s="64" t="str">
        <f t="shared" si="222"/>
        <v/>
      </c>
      <c r="CK93" s="483">
        <f t="shared" si="180"/>
        <v>-1</v>
      </c>
      <c r="CL93" s="483" t="str">
        <f t="shared" si="181"/>
        <v/>
      </c>
      <c r="CM93" s="484">
        <f>SUM(CM94:CM102)</f>
        <v>0</v>
      </c>
      <c r="CN93" s="63" t="str">
        <f t="shared" si="223"/>
        <v/>
      </c>
      <c r="CO93" s="482">
        <v>327.17300000000012</v>
      </c>
      <c r="CP93" s="63">
        <f t="shared" si="224"/>
        <v>2.1181619699945947E-2</v>
      </c>
      <c r="CQ93" s="356">
        <f>+Расходы!M43/1000</f>
        <v>0</v>
      </c>
      <c r="CR93" s="64" t="str">
        <f t="shared" si="225"/>
        <v/>
      </c>
      <c r="CS93" s="483">
        <f t="shared" si="182"/>
        <v>-1</v>
      </c>
      <c r="CT93" s="483" t="str">
        <f t="shared" si="183"/>
        <v/>
      </c>
      <c r="CU93" s="484">
        <f t="shared" si="158"/>
        <v>0</v>
      </c>
      <c r="CV93" s="63" t="str">
        <f t="shared" si="184"/>
        <v/>
      </c>
      <c r="CW93" s="482">
        <f t="shared" si="159"/>
        <v>2904.2266000000004</v>
      </c>
      <c r="CX93" s="63">
        <f t="shared" si="185"/>
        <v>2.1900513813390105E-2</v>
      </c>
      <c r="CY93" s="356">
        <f t="shared" si="186"/>
        <v>895.45704999999998</v>
      </c>
      <c r="CZ93" s="64">
        <f t="shared" si="187"/>
        <v>1.8050279383550267E-2</v>
      </c>
      <c r="DA93" s="483">
        <f t="shared" si="188"/>
        <v>-0.69167108034889568</v>
      </c>
      <c r="DB93" s="483" t="str">
        <f t="shared" si="189"/>
        <v/>
      </c>
    </row>
    <row r="94" spans="2:106" s="103" customFormat="1" ht="13.9" customHeight="1" outlineLevel="2">
      <c r="B94" s="61" t="str">
        <f>+Расходы!A44</f>
        <v>Водоснабжение</v>
      </c>
      <c r="C94" s="238"/>
      <c r="D94" s="53" t="str">
        <f t="shared" si="190"/>
        <v/>
      </c>
      <c r="E94" s="238"/>
      <c r="F94" s="53" t="str">
        <f t="shared" si="191"/>
        <v/>
      </c>
      <c r="G94" s="355">
        <f>+Расходы!B44/1000</f>
        <v>0</v>
      </c>
      <c r="H94" s="54" t="str">
        <f t="shared" si="192"/>
        <v/>
      </c>
      <c r="I94" s="468" t="str">
        <f t="shared" si="160"/>
        <v/>
      </c>
      <c r="J94" s="468" t="str">
        <f t="shared" si="161"/>
        <v/>
      </c>
      <c r="K94" s="238"/>
      <c r="L94" s="53" t="str">
        <f t="shared" si="193"/>
        <v/>
      </c>
      <c r="M94" s="238"/>
      <c r="N94" s="53" t="str">
        <f t="shared" si="194"/>
        <v/>
      </c>
      <c r="O94" s="355">
        <f>+Расходы!C44/1000</f>
        <v>0</v>
      </c>
      <c r="P94" s="54" t="str">
        <f t="shared" si="195"/>
        <v/>
      </c>
      <c r="Q94" s="468" t="str">
        <f t="shared" si="162"/>
        <v/>
      </c>
      <c r="R94" s="468" t="str">
        <f t="shared" si="163"/>
        <v/>
      </c>
      <c r="S94" s="238"/>
      <c r="T94" s="53" t="str">
        <f t="shared" si="196"/>
        <v/>
      </c>
      <c r="U94" s="238">
        <v>0</v>
      </c>
      <c r="V94" s="53" t="str">
        <f t="shared" si="197"/>
        <v/>
      </c>
      <c r="W94" s="355">
        <f>+Расходы!D44/1000</f>
        <v>0</v>
      </c>
      <c r="X94" s="54" t="str">
        <f t="shared" si="198"/>
        <v/>
      </c>
      <c r="Y94" s="468" t="str">
        <f t="shared" si="164"/>
        <v/>
      </c>
      <c r="Z94" s="468" t="str">
        <f t="shared" si="165"/>
        <v/>
      </c>
      <c r="AA94" s="238"/>
      <c r="AB94" s="53" t="str">
        <f t="shared" si="199"/>
        <v/>
      </c>
      <c r="AC94" s="238">
        <v>0</v>
      </c>
      <c r="AD94" s="53" t="str">
        <f t="shared" si="200"/>
        <v/>
      </c>
      <c r="AE94" s="355">
        <f>+Расходы!E44/1000</f>
        <v>0</v>
      </c>
      <c r="AF94" s="54" t="str">
        <f t="shared" si="201"/>
        <v/>
      </c>
      <c r="AG94" s="468" t="str">
        <f t="shared" si="166"/>
        <v/>
      </c>
      <c r="AH94" s="468" t="str">
        <f t="shared" si="167"/>
        <v/>
      </c>
      <c r="AI94" s="238"/>
      <c r="AJ94" s="53" t="str">
        <f t="shared" si="202"/>
        <v/>
      </c>
      <c r="AK94" s="238">
        <v>0</v>
      </c>
      <c r="AL94" s="53" t="str">
        <f t="shared" si="203"/>
        <v/>
      </c>
      <c r="AM94" s="355">
        <f>+Расходы!F44/1000</f>
        <v>0</v>
      </c>
      <c r="AN94" s="54" t="str">
        <f t="shared" si="204"/>
        <v/>
      </c>
      <c r="AO94" s="468" t="str">
        <f t="shared" si="168"/>
        <v/>
      </c>
      <c r="AP94" s="468" t="str">
        <f t="shared" si="169"/>
        <v/>
      </c>
      <c r="AQ94" s="344"/>
      <c r="AR94" s="53" t="str">
        <f t="shared" si="205"/>
        <v/>
      </c>
      <c r="AS94" s="238">
        <v>0</v>
      </c>
      <c r="AT94" s="53" t="str">
        <f t="shared" si="206"/>
        <v/>
      </c>
      <c r="AU94" s="355">
        <f>+Расходы!G44/1000</f>
        <v>0</v>
      </c>
      <c r="AV94" s="54" t="str">
        <f t="shared" si="207"/>
        <v/>
      </c>
      <c r="AW94" s="468" t="str">
        <f t="shared" si="170"/>
        <v/>
      </c>
      <c r="AX94" s="468" t="str">
        <f t="shared" si="171"/>
        <v/>
      </c>
      <c r="AY94" s="344"/>
      <c r="AZ94" s="53" t="str">
        <f t="shared" si="208"/>
        <v/>
      </c>
      <c r="BA94" s="238">
        <v>0</v>
      </c>
      <c r="BB94" s="53" t="str">
        <f t="shared" si="209"/>
        <v/>
      </c>
      <c r="BC94" s="355">
        <f>+Расходы!H44/1000</f>
        <v>0</v>
      </c>
      <c r="BD94" s="54" t="str">
        <f t="shared" si="210"/>
        <v/>
      </c>
      <c r="BE94" s="468" t="str">
        <f t="shared" si="172"/>
        <v/>
      </c>
      <c r="BF94" s="468" t="str">
        <f t="shared" si="173"/>
        <v/>
      </c>
      <c r="BG94" s="344"/>
      <c r="BH94" s="53" t="str">
        <f t="shared" si="211"/>
        <v/>
      </c>
      <c r="BI94" s="238">
        <v>0</v>
      </c>
      <c r="BJ94" s="53" t="str">
        <f t="shared" si="212"/>
        <v/>
      </c>
      <c r="BK94" s="355">
        <f>+Расходы!I44/1000</f>
        <v>0</v>
      </c>
      <c r="BL94" s="54" t="str">
        <f t="shared" si="213"/>
        <v/>
      </c>
      <c r="BM94" s="468" t="str">
        <f t="shared" si="174"/>
        <v/>
      </c>
      <c r="BN94" s="468" t="str">
        <f t="shared" si="175"/>
        <v/>
      </c>
      <c r="BO94" s="344"/>
      <c r="BP94" s="53" t="str">
        <f t="shared" si="214"/>
        <v/>
      </c>
      <c r="BQ94" s="238">
        <v>0</v>
      </c>
      <c r="BR94" s="53" t="str">
        <f t="shared" si="215"/>
        <v/>
      </c>
      <c r="BS94" s="355">
        <f>+Расходы!J44/1000</f>
        <v>0</v>
      </c>
      <c r="BT94" s="54" t="str">
        <f t="shared" si="216"/>
        <v/>
      </c>
      <c r="BU94" s="468" t="str">
        <f t="shared" si="176"/>
        <v/>
      </c>
      <c r="BV94" s="468" t="str">
        <f t="shared" si="177"/>
        <v/>
      </c>
      <c r="BW94" s="344"/>
      <c r="BX94" s="53" t="str">
        <f t="shared" si="217"/>
        <v/>
      </c>
      <c r="BY94" s="238">
        <v>0</v>
      </c>
      <c r="BZ94" s="53" t="str">
        <f t="shared" si="218"/>
        <v/>
      </c>
      <c r="CA94" s="355">
        <f>+Расходы!K44/1000</f>
        <v>0</v>
      </c>
      <c r="CB94" s="54" t="str">
        <f t="shared" si="219"/>
        <v/>
      </c>
      <c r="CC94" s="468" t="str">
        <f t="shared" si="178"/>
        <v/>
      </c>
      <c r="CD94" s="468" t="str">
        <f t="shared" si="179"/>
        <v/>
      </c>
      <c r="CE94" s="344"/>
      <c r="CF94" s="53" t="str">
        <f t="shared" si="220"/>
        <v/>
      </c>
      <c r="CG94" s="238">
        <v>0</v>
      </c>
      <c r="CH94" s="53" t="str">
        <f t="shared" si="221"/>
        <v/>
      </c>
      <c r="CI94" s="355">
        <f>+Расходы!L44/1000</f>
        <v>0</v>
      </c>
      <c r="CJ94" s="54" t="str">
        <f t="shared" si="222"/>
        <v/>
      </c>
      <c r="CK94" s="468" t="str">
        <f t="shared" si="180"/>
        <v/>
      </c>
      <c r="CL94" s="468" t="str">
        <f t="shared" si="181"/>
        <v/>
      </c>
      <c r="CM94" s="344"/>
      <c r="CN94" s="53" t="str">
        <f t="shared" si="223"/>
        <v/>
      </c>
      <c r="CO94" s="238">
        <v>0</v>
      </c>
      <c r="CP94" s="53" t="str">
        <f t="shared" si="224"/>
        <v/>
      </c>
      <c r="CQ94" s="355">
        <f>+Расходы!M44/1000</f>
        <v>0</v>
      </c>
      <c r="CR94" s="54" t="str">
        <f t="shared" si="225"/>
        <v/>
      </c>
      <c r="CS94" s="468" t="str">
        <f t="shared" si="182"/>
        <v/>
      </c>
      <c r="CT94" s="468" t="str">
        <f t="shared" si="183"/>
        <v/>
      </c>
      <c r="CU94" s="344">
        <f t="shared" si="158"/>
        <v>0</v>
      </c>
      <c r="CV94" s="53" t="str">
        <f t="shared" si="184"/>
        <v/>
      </c>
      <c r="CW94" s="238">
        <f t="shared" si="159"/>
        <v>0</v>
      </c>
      <c r="CX94" s="53">
        <f t="shared" si="185"/>
        <v>0</v>
      </c>
      <c r="CY94" s="355">
        <f t="shared" si="186"/>
        <v>0</v>
      </c>
      <c r="CZ94" s="54">
        <f t="shared" si="187"/>
        <v>0</v>
      </c>
      <c r="DA94" s="468" t="str">
        <f t="shared" si="188"/>
        <v/>
      </c>
      <c r="DB94" s="468" t="str">
        <f t="shared" si="189"/>
        <v/>
      </c>
    </row>
    <row r="95" spans="2:106" s="103" customFormat="1" ht="13.15" customHeight="1" outlineLevel="2">
      <c r="B95" s="61" t="str">
        <f>+Расходы!A45</f>
        <v>Вывоз мусора</v>
      </c>
      <c r="C95" s="238"/>
      <c r="D95" s="54" t="str">
        <f t="shared" si="190"/>
        <v/>
      </c>
      <c r="E95" s="238"/>
      <c r="F95" s="54" t="str">
        <f t="shared" si="191"/>
        <v/>
      </c>
      <c r="G95" s="353">
        <f>+Расходы!B45/1000</f>
        <v>0</v>
      </c>
      <c r="H95" s="54" t="str">
        <f t="shared" si="192"/>
        <v/>
      </c>
      <c r="I95" s="468" t="str">
        <f t="shared" si="160"/>
        <v/>
      </c>
      <c r="J95" s="468" t="str">
        <f t="shared" si="161"/>
        <v/>
      </c>
      <c r="K95" s="238"/>
      <c r="L95" s="54" t="str">
        <f t="shared" si="193"/>
        <v/>
      </c>
      <c r="M95" s="238"/>
      <c r="N95" s="54" t="str">
        <f t="shared" si="194"/>
        <v/>
      </c>
      <c r="O95" s="353">
        <f>+Расходы!C45/1000</f>
        <v>0</v>
      </c>
      <c r="P95" s="54" t="str">
        <f t="shared" si="195"/>
        <v/>
      </c>
      <c r="Q95" s="468" t="str">
        <f t="shared" si="162"/>
        <v/>
      </c>
      <c r="R95" s="468" t="str">
        <f t="shared" si="163"/>
        <v/>
      </c>
      <c r="S95" s="238"/>
      <c r="T95" s="54" t="str">
        <f t="shared" si="196"/>
        <v/>
      </c>
      <c r="U95" s="238">
        <v>0</v>
      </c>
      <c r="V95" s="54" t="str">
        <f t="shared" si="197"/>
        <v/>
      </c>
      <c r="W95" s="353">
        <f>+Расходы!D45/1000</f>
        <v>2</v>
      </c>
      <c r="X95" s="54">
        <f t="shared" si="198"/>
        <v>3.372738157473145E-4</v>
      </c>
      <c r="Y95" s="468" t="str">
        <f t="shared" si="164"/>
        <v/>
      </c>
      <c r="Z95" s="468" t="str">
        <f t="shared" si="165"/>
        <v/>
      </c>
      <c r="AA95" s="238"/>
      <c r="AB95" s="54" t="str">
        <f t="shared" si="199"/>
        <v/>
      </c>
      <c r="AC95" s="238">
        <v>0</v>
      </c>
      <c r="AD95" s="54" t="str">
        <f t="shared" si="200"/>
        <v/>
      </c>
      <c r="AE95" s="353">
        <f>+Расходы!E45/1000</f>
        <v>39.292900000000003</v>
      </c>
      <c r="AF95" s="54">
        <f t="shared" si="201"/>
        <v>2.8653341306186741E-3</v>
      </c>
      <c r="AG95" s="468" t="str">
        <f t="shared" si="166"/>
        <v/>
      </c>
      <c r="AH95" s="468" t="str">
        <f t="shared" si="167"/>
        <v/>
      </c>
      <c r="AI95" s="238"/>
      <c r="AJ95" s="54" t="str">
        <f t="shared" si="202"/>
        <v/>
      </c>
      <c r="AK95" s="238">
        <v>0</v>
      </c>
      <c r="AL95" s="54" t="str">
        <f t="shared" si="203"/>
        <v/>
      </c>
      <c r="AM95" s="353">
        <f>+Расходы!F45/1000</f>
        <v>55.602580000000003</v>
      </c>
      <c r="AN95" s="54">
        <f t="shared" si="204"/>
        <v>3.5387278609064453E-3</v>
      </c>
      <c r="AO95" s="468" t="str">
        <f t="shared" si="168"/>
        <v/>
      </c>
      <c r="AP95" s="468" t="str">
        <f t="shared" si="169"/>
        <v/>
      </c>
      <c r="AQ95" s="344">
        <f>SUM(AQ96:AQ104)</f>
        <v>0</v>
      </c>
      <c r="AR95" s="54" t="str">
        <f t="shared" si="205"/>
        <v/>
      </c>
      <c r="AS95" s="238">
        <v>0</v>
      </c>
      <c r="AT95" s="54" t="str">
        <f t="shared" si="206"/>
        <v/>
      </c>
      <c r="AU95" s="353">
        <f>+Расходы!G45/1000</f>
        <v>47.602580000000003</v>
      </c>
      <c r="AV95" s="54">
        <f t="shared" si="207"/>
        <v>3.3397465620540741E-3</v>
      </c>
      <c r="AW95" s="468" t="str">
        <f t="shared" si="170"/>
        <v/>
      </c>
      <c r="AX95" s="468" t="str">
        <f t="shared" si="171"/>
        <v/>
      </c>
      <c r="AY95" s="344">
        <f>SUM(AY96:AY104)</f>
        <v>0</v>
      </c>
      <c r="AZ95" s="54" t="str">
        <f t="shared" si="208"/>
        <v/>
      </c>
      <c r="BA95" s="238">
        <v>0</v>
      </c>
      <c r="BB95" s="54" t="str">
        <f t="shared" si="209"/>
        <v/>
      </c>
      <c r="BC95" s="353">
        <f>+Расходы!H45/1000</f>
        <v>0</v>
      </c>
      <c r="BD95" s="54" t="str">
        <f t="shared" si="210"/>
        <v/>
      </c>
      <c r="BE95" s="468" t="str">
        <f t="shared" si="172"/>
        <v/>
      </c>
      <c r="BF95" s="468" t="str">
        <f t="shared" si="173"/>
        <v/>
      </c>
      <c r="BG95" s="344">
        <f>SUM(BG96:BG104)</f>
        <v>0</v>
      </c>
      <c r="BH95" s="54" t="str">
        <f t="shared" si="211"/>
        <v/>
      </c>
      <c r="BI95" s="238">
        <v>0</v>
      </c>
      <c r="BJ95" s="54" t="str">
        <f t="shared" si="212"/>
        <v/>
      </c>
      <c r="BK95" s="353">
        <f>+Расходы!I45/1000</f>
        <v>0</v>
      </c>
      <c r="BL95" s="54" t="str">
        <f t="shared" si="213"/>
        <v/>
      </c>
      <c r="BM95" s="468" t="str">
        <f t="shared" si="174"/>
        <v/>
      </c>
      <c r="BN95" s="468" t="str">
        <f t="shared" si="175"/>
        <v/>
      </c>
      <c r="BO95" s="344">
        <f>SUM(BO96:BO104)</f>
        <v>0</v>
      </c>
      <c r="BP95" s="54" t="str">
        <f t="shared" si="214"/>
        <v/>
      </c>
      <c r="BQ95" s="238">
        <v>0</v>
      </c>
      <c r="BR95" s="54" t="str">
        <f t="shared" si="215"/>
        <v/>
      </c>
      <c r="BS95" s="353">
        <f>+Расходы!J45/1000</f>
        <v>0</v>
      </c>
      <c r="BT95" s="54" t="str">
        <f t="shared" si="216"/>
        <v/>
      </c>
      <c r="BU95" s="468" t="str">
        <f t="shared" si="176"/>
        <v/>
      </c>
      <c r="BV95" s="468" t="str">
        <f t="shared" si="177"/>
        <v/>
      </c>
      <c r="BW95" s="344">
        <f>SUM(BW96:BW104)</f>
        <v>0</v>
      </c>
      <c r="BX95" s="54" t="str">
        <f t="shared" si="217"/>
        <v/>
      </c>
      <c r="BY95" s="238">
        <v>0</v>
      </c>
      <c r="BZ95" s="54" t="str">
        <f t="shared" si="218"/>
        <v/>
      </c>
      <c r="CA95" s="353">
        <f>+Расходы!K45/1000</f>
        <v>0</v>
      </c>
      <c r="CB95" s="54" t="str">
        <f t="shared" si="219"/>
        <v/>
      </c>
      <c r="CC95" s="468" t="str">
        <f t="shared" si="178"/>
        <v/>
      </c>
      <c r="CD95" s="468" t="str">
        <f t="shared" si="179"/>
        <v/>
      </c>
      <c r="CE95" s="344">
        <f>SUM(CE96:CE104)</f>
        <v>0</v>
      </c>
      <c r="CF95" s="54" t="str">
        <f t="shared" si="220"/>
        <v/>
      </c>
      <c r="CG95" s="238">
        <v>0</v>
      </c>
      <c r="CH95" s="54" t="str">
        <f t="shared" si="221"/>
        <v/>
      </c>
      <c r="CI95" s="353">
        <f>+Расходы!L45/1000</f>
        <v>0</v>
      </c>
      <c r="CJ95" s="54" t="str">
        <f t="shared" si="222"/>
        <v/>
      </c>
      <c r="CK95" s="468" t="str">
        <f t="shared" si="180"/>
        <v/>
      </c>
      <c r="CL95" s="468" t="str">
        <f t="shared" si="181"/>
        <v/>
      </c>
      <c r="CM95" s="344">
        <f>SUM(CM96:CM104)</f>
        <v>0</v>
      </c>
      <c r="CN95" s="54" t="str">
        <f t="shared" si="223"/>
        <v/>
      </c>
      <c r="CO95" s="238">
        <v>0</v>
      </c>
      <c r="CP95" s="54" t="str">
        <f t="shared" si="224"/>
        <v/>
      </c>
      <c r="CQ95" s="353">
        <f>+Расходы!M45/1000</f>
        <v>0</v>
      </c>
      <c r="CR95" s="54" t="str">
        <f t="shared" si="225"/>
        <v/>
      </c>
      <c r="CS95" s="468" t="str">
        <f t="shared" si="182"/>
        <v/>
      </c>
      <c r="CT95" s="468" t="str">
        <f t="shared" si="183"/>
        <v/>
      </c>
      <c r="CU95" s="344">
        <f t="shared" si="158"/>
        <v>0</v>
      </c>
      <c r="CV95" s="54" t="str">
        <f t="shared" si="184"/>
        <v/>
      </c>
      <c r="CW95" s="238">
        <f t="shared" si="159"/>
        <v>0</v>
      </c>
      <c r="CX95" s="54">
        <f t="shared" si="185"/>
        <v>0</v>
      </c>
      <c r="CY95" s="353">
        <f t="shared" si="186"/>
        <v>144.49806000000001</v>
      </c>
      <c r="CZ95" s="54">
        <f t="shared" si="187"/>
        <v>2.9127364102845689E-3</v>
      </c>
      <c r="DA95" s="468" t="str">
        <f t="shared" si="188"/>
        <v/>
      </c>
      <c r="DB95" s="468" t="str">
        <f t="shared" si="189"/>
        <v/>
      </c>
    </row>
    <row r="96" spans="2:106" s="103" customFormat="1" ht="13.15" customHeight="1" outlineLevel="2">
      <c r="B96" s="61" t="str">
        <f>+Расходы!A46</f>
        <v>Коммунальные платежи</v>
      </c>
      <c r="C96" s="238"/>
      <c r="D96" s="54" t="str">
        <f t="shared" si="190"/>
        <v/>
      </c>
      <c r="E96" s="238"/>
      <c r="F96" s="54" t="str">
        <f t="shared" si="191"/>
        <v/>
      </c>
      <c r="G96" s="353">
        <f>+Расходы!B46/1000</f>
        <v>0</v>
      </c>
      <c r="H96" s="54" t="str">
        <f t="shared" si="192"/>
        <v/>
      </c>
      <c r="I96" s="468" t="str">
        <f t="shared" si="160"/>
        <v/>
      </c>
      <c r="J96" s="468" t="str">
        <f t="shared" si="161"/>
        <v/>
      </c>
      <c r="K96" s="238"/>
      <c r="L96" s="54" t="str">
        <f t="shared" si="193"/>
        <v/>
      </c>
      <c r="M96" s="238"/>
      <c r="N96" s="54" t="str">
        <f t="shared" si="194"/>
        <v/>
      </c>
      <c r="O96" s="353">
        <f>+Расходы!C46/1000</f>
        <v>0</v>
      </c>
      <c r="P96" s="54" t="str">
        <f t="shared" si="195"/>
        <v/>
      </c>
      <c r="Q96" s="468" t="str">
        <f t="shared" si="162"/>
        <v/>
      </c>
      <c r="R96" s="468" t="str">
        <f t="shared" si="163"/>
        <v/>
      </c>
      <c r="S96" s="238"/>
      <c r="T96" s="54" t="str">
        <f t="shared" si="196"/>
        <v/>
      </c>
      <c r="U96" s="238">
        <v>0</v>
      </c>
      <c r="V96" s="54" t="str">
        <f t="shared" si="197"/>
        <v/>
      </c>
      <c r="W96" s="353">
        <f>+Расходы!D46/1000</f>
        <v>0</v>
      </c>
      <c r="X96" s="54" t="str">
        <f t="shared" si="198"/>
        <v/>
      </c>
      <c r="Y96" s="468" t="str">
        <f t="shared" si="164"/>
        <v/>
      </c>
      <c r="Z96" s="468" t="str">
        <f t="shared" si="165"/>
        <v/>
      </c>
      <c r="AA96" s="238"/>
      <c r="AB96" s="54" t="str">
        <f t="shared" si="199"/>
        <v/>
      </c>
      <c r="AC96" s="238">
        <v>0</v>
      </c>
      <c r="AD96" s="54" t="str">
        <f t="shared" si="200"/>
        <v/>
      </c>
      <c r="AE96" s="353">
        <f>+Расходы!E46/1000</f>
        <v>219.17035000000001</v>
      </c>
      <c r="AF96" s="54">
        <f t="shared" si="201"/>
        <v>1.5982436630399905E-2</v>
      </c>
      <c r="AG96" s="468" t="str">
        <f t="shared" si="166"/>
        <v/>
      </c>
      <c r="AH96" s="468" t="str">
        <f t="shared" si="167"/>
        <v/>
      </c>
      <c r="AI96" s="238"/>
      <c r="AJ96" s="54" t="str">
        <f t="shared" si="202"/>
        <v/>
      </c>
      <c r="AK96" s="238">
        <v>0</v>
      </c>
      <c r="AL96" s="54" t="str">
        <f t="shared" si="203"/>
        <v/>
      </c>
      <c r="AM96" s="353">
        <f>+Расходы!F46/1000</f>
        <v>200.90597</v>
      </c>
      <c r="AN96" s="54">
        <f t="shared" si="204"/>
        <v>1.2786305122198185E-2</v>
      </c>
      <c r="AO96" s="468" t="str">
        <f t="shared" si="168"/>
        <v/>
      </c>
      <c r="AP96" s="468" t="str">
        <f t="shared" si="169"/>
        <v/>
      </c>
      <c r="AQ96" s="344"/>
      <c r="AR96" s="54" t="str">
        <f t="shared" si="205"/>
        <v/>
      </c>
      <c r="AS96" s="238">
        <v>0</v>
      </c>
      <c r="AT96" s="54" t="str">
        <f t="shared" si="206"/>
        <v/>
      </c>
      <c r="AU96" s="353">
        <f>+Расходы!G46/1000</f>
        <v>330.88266999999996</v>
      </c>
      <c r="AV96" s="54">
        <f t="shared" si="207"/>
        <v>2.321437744709998E-2</v>
      </c>
      <c r="AW96" s="468" t="str">
        <f t="shared" si="170"/>
        <v/>
      </c>
      <c r="AX96" s="468" t="str">
        <f t="shared" si="171"/>
        <v/>
      </c>
      <c r="AY96" s="344"/>
      <c r="AZ96" s="54" t="str">
        <f t="shared" si="208"/>
        <v/>
      </c>
      <c r="BA96" s="238">
        <v>0</v>
      </c>
      <c r="BB96" s="54" t="str">
        <f t="shared" si="209"/>
        <v/>
      </c>
      <c r="BC96" s="353">
        <f>+Расходы!H46/1000</f>
        <v>0</v>
      </c>
      <c r="BD96" s="54" t="str">
        <f t="shared" si="210"/>
        <v/>
      </c>
      <c r="BE96" s="468" t="str">
        <f t="shared" si="172"/>
        <v/>
      </c>
      <c r="BF96" s="468" t="str">
        <f t="shared" si="173"/>
        <v/>
      </c>
      <c r="BG96" s="344"/>
      <c r="BH96" s="54" t="str">
        <f t="shared" si="211"/>
        <v/>
      </c>
      <c r="BI96" s="238">
        <v>0</v>
      </c>
      <c r="BJ96" s="54" t="str">
        <f t="shared" si="212"/>
        <v/>
      </c>
      <c r="BK96" s="353">
        <f>+Расходы!I46/1000</f>
        <v>0</v>
      </c>
      <c r="BL96" s="54" t="str">
        <f t="shared" si="213"/>
        <v/>
      </c>
      <c r="BM96" s="468" t="str">
        <f t="shared" si="174"/>
        <v/>
      </c>
      <c r="BN96" s="468" t="str">
        <f t="shared" si="175"/>
        <v/>
      </c>
      <c r="BO96" s="344"/>
      <c r="BP96" s="54" t="str">
        <f t="shared" si="214"/>
        <v/>
      </c>
      <c r="BQ96" s="238">
        <v>0</v>
      </c>
      <c r="BR96" s="54" t="str">
        <f t="shared" si="215"/>
        <v/>
      </c>
      <c r="BS96" s="353">
        <f>+Расходы!J46/1000</f>
        <v>0</v>
      </c>
      <c r="BT96" s="54" t="str">
        <f t="shared" si="216"/>
        <v/>
      </c>
      <c r="BU96" s="468" t="str">
        <f t="shared" si="176"/>
        <v/>
      </c>
      <c r="BV96" s="468" t="str">
        <f t="shared" si="177"/>
        <v/>
      </c>
      <c r="BW96" s="344"/>
      <c r="BX96" s="54" t="str">
        <f t="shared" si="217"/>
        <v/>
      </c>
      <c r="BY96" s="238">
        <v>0</v>
      </c>
      <c r="BZ96" s="54" t="str">
        <f t="shared" si="218"/>
        <v/>
      </c>
      <c r="CA96" s="353">
        <f>+Расходы!K46/1000</f>
        <v>0</v>
      </c>
      <c r="CB96" s="54" t="str">
        <f t="shared" si="219"/>
        <v/>
      </c>
      <c r="CC96" s="468" t="str">
        <f t="shared" si="178"/>
        <v/>
      </c>
      <c r="CD96" s="468" t="str">
        <f t="shared" si="179"/>
        <v/>
      </c>
      <c r="CE96" s="344"/>
      <c r="CF96" s="54" t="str">
        <f t="shared" si="220"/>
        <v/>
      </c>
      <c r="CG96" s="238">
        <v>0</v>
      </c>
      <c r="CH96" s="54" t="str">
        <f t="shared" si="221"/>
        <v/>
      </c>
      <c r="CI96" s="353">
        <f>+Расходы!L46/1000</f>
        <v>0</v>
      </c>
      <c r="CJ96" s="54" t="str">
        <f t="shared" si="222"/>
        <v/>
      </c>
      <c r="CK96" s="468" t="str">
        <f t="shared" si="180"/>
        <v/>
      </c>
      <c r="CL96" s="468" t="str">
        <f t="shared" si="181"/>
        <v/>
      </c>
      <c r="CM96" s="344"/>
      <c r="CN96" s="54" t="str">
        <f t="shared" si="223"/>
        <v/>
      </c>
      <c r="CO96" s="238">
        <v>0</v>
      </c>
      <c r="CP96" s="54" t="str">
        <f t="shared" si="224"/>
        <v/>
      </c>
      <c r="CQ96" s="353">
        <f>+Расходы!M46/1000</f>
        <v>0</v>
      </c>
      <c r="CR96" s="54" t="str">
        <f t="shared" si="225"/>
        <v/>
      </c>
      <c r="CS96" s="468" t="str">
        <f t="shared" si="182"/>
        <v/>
      </c>
      <c r="CT96" s="468" t="str">
        <f t="shared" si="183"/>
        <v/>
      </c>
      <c r="CU96" s="344">
        <f t="shared" si="158"/>
        <v>0</v>
      </c>
      <c r="CV96" s="54" t="str">
        <f t="shared" si="184"/>
        <v/>
      </c>
      <c r="CW96" s="238">
        <f t="shared" si="159"/>
        <v>0</v>
      </c>
      <c r="CX96" s="54">
        <f t="shared" si="185"/>
        <v>0</v>
      </c>
      <c r="CY96" s="353">
        <f t="shared" si="186"/>
        <v>750.95898999999997</v>
      </c>
      <c r="CZ96" s="54">
        <f t="shared" si="187"/>
        <v>1.5137542973265698E-2</v>
      </c>
      <c r="DA96" s="468" t="str">
        <f t="shared" si="188"/>
        <v/>
      </c>
      <c r="DB96" s="468" t="str">
        <f t="shared" si="189"/>
        <v/>
      </c>
    </row>
    <row r="97" spans="2:106" s="103" customFormat="1" ht="13.15" customHeight="1" outlineLevel="2">
      <c r="B97" s="61" t="str">
        <f>+Расходы!A47</f>
        <v>Коммунальные расходы офисы</v>
      </c>
      <c r="C97" s="238"/>
      <c r="D97" s="54" t="str">
        <f t="shared" si="190"/>
        <v/>
      </c>
      <c r="E97" s="238"/>
      <c r="F97" s="54" t="str">
        <f t="shared" si="191"/>
        <v/>
      </c>
      <c r="G97" s="353">
        <f>+Расходы!B47/1000</f>
        <v>0</v>
      </c>
      <c r="H97" s="54" t="str">
        <f t="shared" si="192"/>
        <v/>
      </c>
      <c r="I97" s="468" t="str">
        <f t="shared" si="160"/>
        <v/>
      </c>
      <c r="J97" s="468" t="str">
        <f t="shared" si="161"/>
        <v/>
      </c>
      <c r="K97" s="238"/>
      <c r="L97" s="54" t="str">
        <f t="shared" si="193"/>
        <v/>
      </c>
      <c r="M97" s="238"/>
      <c r="N97" s="54" t="str">
        <f t="shared" si="194"/>
        <v/>
      </c>
      <c r="O97" s="353">
        <f>+Расходы!C47/1000</f>
        <v>0</v>
      </c>
      <c r="P97" s="54" t="str">
        <f t="shared" si="195"/>
        <v/>
      </c>
      <c r="Q97" s="468" t="str">
        <f t="shared" si="162"/>
        <v/>
      </c>
      <c r="R97" s="468" t="str">
        <f t="shared" si="163"/>
        <v/>
      </c>
      <c r="S97" s="238"/>
      <c r="T97" s="54" t="str">
        <f t="shared" si="196"/>
        <v/>
      </c>
      <c r="U97" s="238">
        <v>0</v>
      </c>
      <c r="V97" s="54" t="str">
        <f t="shared" si="197"/>
        <v/>
      </c>
      <c r="W97" s="353">
        <f>+Расходы!D47/1000</f>
        <v>0</v>
      </c>
      <c r="X97" s="54" t="str">
        <f t="shared" si="198"/>
        <v/>
      </c>
      <c r="Y97" s="468" t="str">
        <f t="shared" si="164"/>
        <v/>
      </c>
      <c r="Z97" s="468" t="str">
        <f t="shared" si="165"/>
        <v/>
      </c>
      <c r="AA97" s="238"/>
      <c r="AB97" s="54" t="str">
        <f t="shared" si="199"/>
        <v/>
      </c>
      <c r="AC97" s="238">
        <v>0</v>
      </c>
      <c r="AD97" s="54" t="str">
        <f t="shared" si="200"/>
        <v/>
      </c>
      <c r="AE97" s="353">
        <f>+Расходы!E47/1000</f>
        <v>0</v>
      </c>
      <c r="AF97" s="54" t="str">
        <f t="shared" si="201"/>
        <v/>
      </c>
      <c r="AG97" s="468" t="str">
        <f t="shared" si="166"/>
        <v/>
      </c>
      <c r="AH97" s="468" t="str">
        <f t="shared" si="167"/>
        <v/>
      </c>
      <c r="AI97" s="238"/>
      <c r="AJ97" s="54" t="str">
        <f t="shared" si="202"/>
        <v/>
      </c>
      <c r="AK97" s="238">
        <v>0</v>
      </c>
      <c r="AL97" s="54" t="str">
        <f t="shared" si="203"/>
        <v/>
      </c>
      <c r="AM97" s="353">
        <f>+Расходы!F47/1000</f>
        <v>0</v>
      </c>
      <c r="AN97" s="54" t="str">
        <f t="shared" si="204"/>
        <v/>
      </c>
      <c r="AO97" s="468" t="str">
        <f t="shared" si="168"/>
        <v/>
      </c>
      <c r="AP97" s="468" t="str">
        <f t="shared" si="169"/>
        <v/>
      </c>
      <c r="AQ97" s="344"/>
      <c r="AR97" s="54" t="str">
        <f t="shared" si="205"/>
        <v/>
      </c>
      <c r="AS97" s="238">
        <v>0</v>
      </c>
      <c r="AT97" s="54" t="str">
        <f t="shared" si="206"/>
        <v/>
      </c>
      <c r="AU97" s="353">
        <f>+Расходы!G47/1000</f>
        <v>0</v>
      </c>
      <c r="AV97" s="54" t="str">
        <f t="shared" si="207"/>
        <v/>
      </c>
      <c r="AW97" s="468" t="str">
        <f t="shared" si="170"/>
        <v/>
      </c>
      <c r="AX97" s="468" t="str">
        <f t="shared" si="171"/>
        <v/>
      </c>
      <c r="AY97" s="344"/>
      <c r="AZ97" s="54" t="str">
        <f t="shared" si="208"/>
        <v/>
      </c>
      <c r="BA97" s="238">
        <v>0</v>
      </c>
      <c r="BB97" s="54" t="str">
        <f t="shared" si="209"/>
        <v/>
      </c>
      <c r="BC97" s="353">
        <f>+Расходы!H47/1000</f>
        <v>0</v>
      </c>
      <c r="BD97" s="54" t="str">
        <f t="shared" si="210"/>
        <v/>
      </c>
      <c r="BE97" s="468" t="str">
        <f t="shared" si="172"/>
        <v/>
      </c>
      <c r="BF97" s="468" t="str">
        <f t="shared" si="173"/>
        <v/>
      </c>
      <c r="BG97" s="344"/>
      <c r="BH97" s="54" t="str">
        <f t="shared" si="211"/>
        <v/>
      </c>
      <c r="BI97" s="238">
        <v>0</v>
      </c>
      <c r="BJ97" s="54" t="str">
        <f t="shared" si="212"/>
        <v/>
      </c>
      <c r="BK97" s="353">
        <f>+Расходы!I47/1000</f>
        <v>0</v>
      </c>
      <c r="BL97" s="54" t="str">
        <f t="shared" si="213"/>
        <v/>
      </c>
      <c r="BM97" s="468" t="str">
        <f t="shared" si="174"/>
        <v/>
      </c>
      <c r="BN97" s="468" t="str">
        <f t="shared" si="175"/>
        <v/>
      </c>
      <c r="BO97" s="344"/>
      <c r="BP97" s="54" t="str">
        <f t="shared" si="214"/>
        <v/>
      </c>
      <c r="BQ97" s="238">
        <v>0</v>
      </c>
      <c r="BR97" s="54" t="str">
        <f t="shared" si="215"/>
        <v/>
      </c>
      <c r="BS97" s="353">
        <f>+Расходы!J47/1000</f>
        <v>0</v>
      </c>
      <c r="BT97" s="54" t="str">
        <f t="shared" si="216"/>
        <v/>
      </c>
      <c r="BU97" s="468" t="str">
        <f t="shared" si="176"/>
        <v/>
      </c>
      <c r="BV97" s="468" t="str">
        <f t="shared" si="177"/>
        <v/>
      </c>
      <c r="BW97" s="344"/>
      <c r="BX97" s="54" t="str">
        <f t="shared" si="217"/>
        <v/>
      </c>
      <c r="BY97" s="238">
        <v>0</v>
      </c>
      <c r="BZ97" s="54" t="str">
        <f t="shared" si="218"/>
        <v/>
      </c>
      <c r="CA97" s="353">
        <f>+Расходы!K47/1000</f>
        <v>0</v>
      </c>
      <c r="CB97" s="54" t="str">
        <f t="shared" si="219"/>
        <v/>
      </c>
      <c r="CC97" s="468" t="str">
        <f t="shared" si="178"/>
        <v/>
      </c>
      <c r="CD97" s="468" t="str">
        <f t="shared" si="179"/>
        <v/>
      </c>
      <c r="CE97" s="344"/>
      <c r="CF97" s="54" t="str">
        <f t="shared" si="220"/>
        <v/>
      </c>
      <c r="CG97" s="238">
        <v>0</v>
      </c>
      <c r="CH97" s="54" t="str">
        <f t="shared" si="221"/>
        <v/>
      </c>
      <c r="CI97" s="353">
        <f>+Расходы!L47/1000</f>
        <v>0</v>
      </c>
      <c r="CJ97" s="54" t="str">
        <f t="shared" si="222"/>
        <v/>
      </c>
      <c r="CK97" s="468" t="str">
        <f t="shared" si="180"/>
        <v/>
      </c>
      <c r="CL97" s="468" t="str">
        <f t="shared" si="181"/>
        <v/>
      </c>
      <c r="CM97" s="344"/>
      <c r="CN97" s="54" t="str">
        <f t="shared" si="223"/>
        <v/>
      </c>
      <c r="CO97" s="238">
        <v>0</v>
      </c>
      <c r="CP97" s="54" t="str">
        <f t="shared" si="224"/>
        <v/>
      </c>
      <c r="CQ97" s="353">
        <f>+Расходы!M47/1000</f>
        <v>0</v>
      </c>
      <c r="CR97" s="54" t="str">
        <f t="shared" si="225"/>
        <v/>
      </c>
      <c r="CS97" s="468" t="str">
        <f t="shared" si="182"/>
        <v/>
      </c>
      <c r="CT97" s="468" t="str">
        <f t="shared" si="183"/>
        <v/>
      </c>
      <c r="CU97" s="344">
        <f t="shared" si="158"/>
        <v>0</v>
      </c>
      <c r="CV97" s="54" t="str">
        <f t="shared" si="184"/>
        <v/>
      </c>
      <c r="CW97" s="238">
        <f t="shared" si="159"/>
        <v>0</v>
      </c>
      <c r="CX97" s="54">
        <f t="shared" si="185"/>
        <v>0</v>
      </c>
      <c r="CY97" s="353">
        <f t="shared" si="186"/>
        <v>0</v>
      </c>
      <c r="CZ97" s="54">
        <f t="shared" si="187"/>
        <v>0</v>
      </c>
      <c r="DA97" s="468" t="str">
        <f t="shared" si="188"/>
        <v/>
      </c>
      <c r="DB97" s="468" t="str">
        <f t="shared" si="189"/>
        <v/>
      </c>
    </row>
    <row r="98" spans="2:106" s="103" customFormat="1" ht="13.15" customHeight="1" outlineLevel="2">
      <c r="B98" s="61" t="str">
        <f>+Расходы!A48</f>
        <v>Сброс отходов</v>
      </c>
      <c r="C98" s="238"/>
      <c r="D98" s="54" t="str">
        <f t="shared" si="190"/>
        <v/>
      </c>
      <c r="E98" s="238"/>
      <c r="F98" s="54" t="str">
        <f t="shared" si="191"/>
        <v/>
      </c>
      <c r="G98" s="353">
        <f>+Расходы!B48/1000</f>
        <v>0</v>
      </c>
      <c r="H98" s="54" t="str">
        <f t="shared" si="192"/>
        <v/>
      </c>
      <c r="I98" s="468" t="str">
        <f t="shared" si="160"/>
        <v/>
      </c>
      <c r="J98" s="468" t="str">
        <f t="shared" si="161"/>
        <v/>
      </c>
      <c r="K98" s="238"/>
      <c r="L98" s="54" t="str">
        <f t="shared" si="193"/>
        <v/>
      </c>
      <c r="M98" s="238"/>
      <c r="N98" s="54" t="str">
        <f t="shared" si="194"/>
        <v/>
      </c>
      <c r="O98" s="353">
        <f>+Расходы!C48/1000</f>
        <v>0</v>
      </c>
      <c r="P98" s="54" t="str">
        <f t="shared" si="195"/>
        <v/>
      </c>
      <c r="Q98" s="468" t="str">
        <f t="shared" si="162"/>
        <v/>
      </c>
      <c r="R98" s="468" t="str">
        <f t="shared" si="163"/>
        <v/>
      </c>
      <c r="S98" s="238"/>
      <c r="T98" s="54" t="str">
        <f t="shared" si="196"/>
        <v/>
      </c>
      <c r="U98" s="238">
        <v>0</v>
      </c>
      <c r="V98" s="54" t="str">
        <f t="shared" si="197"/>
        <v/>
      </c>
      <c r="W98" s="353">
        <f>+Расходы!D48/1000</f>
        <v>0</v>
      </c>
      <c r="X98" s="54" t="str">
        <f t="shared" si="198"/>
        <v/>
      </c>
      <c r="Y98" s="468" t="str">
        <f t="shared" si="164"/>
        <v/>
      </c>
      <c r="Z98" s="468" t="str">
        <f t="shared" si="165"/>
        <v/>
      </c>
      <c r="AA98" s="238"/>
      <c r="AB98" s="54" t="str">
        <f t="shared" si="199"/>
        <v/>
      </c>
      <c r="AC98" s="238">
        <v>0</v>
      </c>
      <c r="AD98" s="54" t="str">
        <f t="shared" si="200"/>
        <v/>
      </c>
      <c r="AE98" s="353">
        <f>+Расходы!E48/1000</f>
        <v>0</v>
      </c>
      <c r="AF98" s="54" t="str">
        <f t="shared" si="201"/>
        <v/>
      </c>
      <c r="AG98" s="468" t="str">
        <f t="shared" si="166"/>
        <v/>
      </c>
      <c r="AH98" s="468" t="str">
        <f t="shared" si="167"/>
        <v/>
      </c>
      <c r="AI98" s="238"/>
      <c r="AJ98" s="54" t="str">
        <f t="shared" si="202"/>
        <v/>
      </c>
      <c r="AK98" s="238">
        <v>0</v>
      </c>
      <c r="AL98" s="54" t="str">
        <f t="shared" si="203"/>
        <v/>
      </c>
      <c r="AM98" s="353">
        <f>+Расходы!F48/1000</f>
        <v>0</v>
      </c>
      <c r="AN98" s="54" t="str">
        <f t="shared" si="204"/>
        <v/>
      </c>
      <c r="AO98" s="468" t="str">
        <f t="shared" si="168"/>
        <v/>
      </c>
      <c r="AP98" s="468" t="str">
        <f t="shared" si="169"/>
        <v/>
      </c>
      <c r="AQ98" s="344"/>
      <c r="AR98" s="54" t="str">
        <f t="shared" si="205"/>
        <v/>
      </c>
      <c r="AS98" s="238">
        <v>0</v>
      </c>
      <c r="AT98" s="54" t="str">
        <f t="shared" si="206"/>
        <v/>
      </c>
      <c r="AU98" s="353">
        <f>+Расходы!G48/1000</f>
        <v>0</v>
      </c>
      <c r="AV98" s="54" t="str">
        <f t="shared" si="207"/>
        <v/>
      </c>
      <c r="AW98" s="468" t="str">
        <f t="shared" si="170"/>
        <v/>
      </c>
      <c r="AX98" s="468" t="str">
        <f t="shared" si="171"/>
        <v/>
      </c>
      <c r="AY98" s="344"/>
      <c r="AZ98" s="54" t="str">
        <f t="shared" si="208"/>
        <v/>
      </c>
      <c r="BA98" s="238">
        <v>0</v>
      </c>
      <c r="BB98" s="54" t="str">
        <f t="shared" si="209"/>
        <v/>
      </c>
      <c r="BC98" s="353">
        <f>+Расходы!H48/1000</f>
        <v>0</v>
      </c>
      <c r="BD98" s="54" t="str">
        <f t="shared" si="210"/>
        <v/>
      </c>
      <c r="BE98" s="468" t="str">
        <f t="shared" si="172"/>
        <v/>
      </c>
      <c r="BF98" s="468" t="str">
        <f t="shared" si="173"/>
        <v/>
      </c>
      <c r="BG98" s="344"/>
      <c r="BH98" s="54" t="str">
        <f t="shared" si="211"/>
        <v/>
      </c>
      <c r="BI98" s="238">
        <v>0</v>
      </c>
      <c r="BJ98" s="54" t="str">
        <f t="shared" si="212"/>
        <v/>
      </c>
      <c r="BK98" s="353">
        <f>+Расходы!I48/1000</f>
        <v>0</v>
      </c>
      <c r="BL98" s="54" t="str">
        <f t="shared" si="213"/>
        <v/>
      </c>
      <c r="BM98" s="468" t="str">
        <f t="shared" si="174"/>
        <v/>
      </c>
      <c r="BN98" s="468" t="str">
        <f t="shared" si="175"/>
        <v/>
      </c>
      <c r="BO98" s="344"/>
      <c r="BP98" s="54" t="str">
        <f t="shared" si="214"/>
        <v/>
      </c>
      <c r="BQ98" s="238">
        <v>0</v>
      </c>
      <c r="BR98" s="54" t="str">
        <f t="shared" si="215"/>
        <v/>
      </c>
      <c r="BS98" s="353">
        <f>+Расходы!J48/1000</f>
        <v>0</v>
      </c>
      <c r="BT98" s="54" t="str">
        <f t="shared" si="216"/>
        <v/>
      </c>
      <c r="BU98" s="468" t="str">
        <f t="shared" si="176"/>
        <v/>
      </c>
      <c r="BV98" s="468" t="str">
        <f t="shared" si="177"/>
        <v/>
      </c>
      <c r="BW98" s="344"/>
      <c r="BX98" s="54" t="str">
        <f t="shared" si="217"/>
        <v/>
      </c>
      <c r="BY98" s="238">
        <v>0</v>
      </c>
      <c r="BZ98" s="54" t="str">
        <f t="shared" si="218"/>
        <v/>
      </c>
      <c r="CA98" s="353">
        <f>+Расходы!K48/1000</f>
        <v>0</v>
      </c>
      <c r="CB98" s="54" t="str">
        <f t="shared" si="219"/>
        <v/>
      </c>
      <c r="CC98" s="468" t="str">
        <f t="shared" si="178"/>
        <v/>
      </c>
      <c r="CD98" s="468" t="str">
        <f t="shared" si="179"/>
        <v/>
      </c>
      <c r="CE98" s="344"/>
      <c r="CF98" s="54" t="str">
        <f t="shared" si="220"/>
        <v/>
      </c>
      <c r="CG98" s="238">
        <v>0</v>
      </c>
      <c r="CH98" s="54" t="str">
        <f t="shared" si="221"/>
        <v/>
      </c>
      <c r="CI98" s="353">
        <f>+Расходы!L48/1000</f>
        <v>0</v>
      </c>
      <c r="CJ98" s="54" t="str">
        <f t="shared" si="222"/>
        <v/>
      </c>
      <c r="CK98" s="468" t="str">
        <f t="shared" si="180"/>
        <v/>
      </c>
      <c r="CL98" s="468" t="str">
        <f t="shared" si="181"/>
        <v/>
      </c>
      <c r="CM98" s="344"/>
      <c r="CN98" s="54" t="str">
        <f t="shared" si="223"/>
        <v/>
      </c>
      <c r="CO98" s="238">
        <v>0</v>
      </c>
      <c r="CP98" s="54" t="str">
        <f t="shared" si="224"/>
        <v/>
      </c>
      <c r="CQ98" s="353">
        <f>+Расходы!M48/1000</f>
        <v>0</v>
      </c>
      <c r="CR98" s="54" t="str">
        <f t="shared" si="225"/>
        <v/>
      </c>
      <c r="CS98" s="468" t="str">
        <f t="shared" si="182"/>
        <v/>
      </c>
      <c r="CT98" s="468" t="str">
        <f t="shared" si="183"/>
        <v/>
      </c>
      <c r="CU98" s="344">
        <f t="shared" si="158"/>
        <v>0</v>
      </c>
      <c r="CV98" s="54" t="str">
        <f t="shared" si="184"/>
        <v/>
      </c>
      <c r="CW98" s="238">
        <f t="shared" si="159"/>
        <v>0</v>
      </c>
      <c r="CX98" s="54">
        <f t="shared" si="185"/>
        <v>0</v>
      </c>
      <c r="CY98" s="353">
        <f t="shared" si="186"/>
        <v>0</v>
      </c>
      <c r="CZ98" s="54">
        <f t="shared" si="187"/>
        <v>0</v>
      </c>
      <c r="DA98" s="468" t="str">
        <f t="shared" si="188"/>
        <v/>
      </c>
      <c r="DB98" s="468" t="str">
        <f t="shared" si="189"/>
        <v/>
      </c>
    </row>
    <row r="99" spans="2:106" s="103" customFormat="1" ht="13.15" customHeight="1" outlineLevel="2">
      <c r="B99" s="61" t="str">
        <f>+Расходы!A49</f>
        <v>Содержание мест общего пользования (эксплуатационные расходы)</v>
      </c>
      <c r="C99" s="238"/>
      <c r="D99" s="54" t="str">
        <f t="shared" si="190"/>
        <v/>
      </c>
      <c r="E99" s="238"/>
      <c r="F99" s="54" t="str">
        <f t="shared" si="191"/>
        <v/>
      </c>
      <c r="G99" s="353">
        <f>+Расходы!B49/1000</f>
        <v>0</v>
      </c>
      <c r="H99" s="54" t="str">
        <f t="shared" si="192"/>
        <v/>
      </c>
      <c r="I99" s="468" t="str">
        <f t="shared" si="160"/>
        <v/>
      </c>
      <c r="J99" s="468" t="str">
        <f t="shared" si="161"/>
        <v/>
      </c>
      <c r="K99" s="238"/>
      <c r="L99" s="54" t="str">
        <f t="shared" si="193"/>
        <v/>
      </c>
      <c r="M99" s="238"/>
      <c r="N99" s="54" t="str">
        <f t="shared" si="194"/>
        <v/>
      </c>
      <c r="O99" s="353">
        <f>+Расходы!C49/1000</f>
        <v>0</v>
      </c>
      <c r="P99" s="54" t="str">
        <f t="shared" si="195"/>
        <v/>
      </c>
      <c r="Q99" s="468" t="str">
        <f t="shared" si="162"/>
        <v/>
      </c>
      <c r="R99" s="468" t="str">
        <f t="shared" si="163"/>
        <v/>
      </c>
      <c r="S99" s="238"/>
      <c r="T99" s="54" t="str">
        <f t="shared" si="196"/>
        <v/>
      </c>
      <c r="U99" s="238">
        <v>0</v>
      </c>
      <c r="V99" s="54" t="str">
        <f t="shared" si="197"/>
        <v/>
      </c>
      <c r="W99" s="353">
        <f>+Расходы!D49/1000</f>
        <v>0</v>
      </c>
      <c r="X99" s="54" t="str">
        <f t="shared" si="198"/>
        <v/>
      </c>
      <c r="Y99" s="468" t="str">
        <f t="shared" si="164"/>
        <v/>
      </c>
      <c r="Z99" s="468" t="str">
        <f t="shared" si="165"/>
        <v/>
      </c>
      <c r="AA99" s="238"/>
      <c r="AB99" s="54" t="str">
        <f t="shared" si="199"/>
        <v/>
      </c>
      <c r="AC99" s="238">
        <v>0</v>
      </c>
      <c r="AD99" s="54" t="str">
        <f t="shared" si="200"/>
        <v/>
      </c>
      <c r="AE99" s="353">
        <f>+Расходы!E49/1000</f>
        <v>0</v>
      </c>
      <c r="AF99" s="54" t="str">
        <f t="shared" si="201"/>
        <v/>
      </c>
      <c r="AG99" s="468" t="str">
        <f t="shared" si="166"/>
        <v/>
      </c>
      <c r="AH99" s="468" t="str">
        <f t="shared" si="167"/>
        <v/>
      </c>
      <c r="AI99" s="238"/>
      <c r="AJ99" s="54" t="str">
        <f t="shared" si="202"/>
        <v/>
      </c>
      <c r="AK99" s="238">
        <v>0</v>
      </c>
      <c r="AL99" s="54" t="str">
        <f t="shared" si="203"/>
        <v/>
      </c>
      <c r="AM99" s="353">
        <f>+Расходы!F49/1000</f>
        <v>0</v>
      </c>
      <c r="AN99" s="54" t="str">
        <f t="shared" si="204"/>
        <v/>
      </c>
      <c r="AO99" s="468" t="str">
        <f t="shared" si="168"/>
        <v/>
      </c>
      <c r="AP99" s="468" t="str">
        <f t="shared" si="169"/>
        <v/>
      </c>
      <c r="AQ99" s="344"/>
      <c r="AR99" s="54" t="str">
        <f t="shared" si="205"/>
        <v/>
      </c>
      <c r="AS99" s="238">
        <v>0</v>
      </c>
      <c r="AT99" s="54" t="str">
        <f t="shared" si="206"/>
        <v/>
      </c>
      <c r="AU99" s="353">
        <f>+Расходы!G49/1000</f>
        <v>0</v>
      </c>
      <c r="AV99" s="54" t="str">
        <f t="shared" si="207"/>
        <v/>
      </c>
      <c r="AW99" s="468" t="str">
        <f t="shared" si="170"/>
        <v/>
      </c>
      <c r="AX99" s="468" t="str">
        <f t="shared" si="171"/>
        <v/>
      </c>
      <c r="AY99" s="344"/>
      <c r="AZ99" s="54" t="str">
        <f t="shared" si="208"/>
        <v/>
      </c>
      <c r="BA99" s="238">
        <v>0</v>
      </c>
      <c r="BB99" s="54" t="str">
        <f t="shared" si="209"/>
        <v/>
      </c>
      <c r="BC99" s="353">
        <f>+Расходы!H49/1000</f>
        <v>0</v>
      </c>
      <c r="BD99" s="54" t="str">
        <f t="shared" si="210"/>
        <v/>
      </c>
      <c r="BE99" s="468" t="str">
        <f t="shared" si="172"/>
        <v/>
      </c>
      <c r="BF99" s="468" t="str">
        <f t="shared" si="173"/>
        <v/>
      </c>
      <c r="BG99" s="344"/>
      <c r="BH99" s="54" t="str">
        <f t="shared" si="211"/>
        <v/>
      </c>
      <c r="BI99" s="238">
        <v>0</v>
      </c>
      <c r="BJ99" s="54" t="str">
        <f t="shared" si="212"/>
        <v/>
      </c>
      <c r="BK99" s="353">
        <f>+Расходы!I49/1000</f>
        <v>0</v>
      </c>
      <c r="BL99" s="54" t="str">
        <f t="shared" si="213"/>
        <v/>
      </c>
      <c r="BM99" s="468" t="str">
        <f t="shared" si="174"/>
        <v/>
      </c>
      <c r="BN99" s="468" t="str">
        <f t="shared" si="175"/>
        <v/>
      </c>
      <c r="BO99" s="344"/>
      <c r="BP99" s="54" t="str">
        <f t="shared" si="214"/>
        <v/>
      </c>
      <c r="BQ99" s="238">
        <v>0</v>
      </c>
      <c r="BR99" s="54" t="str">
        <f t="shared" si="215"/>
        <v/>
      </c>
      <c r="BS99" s="353">
        <f>+Расходы!J49/1000</f>
        <v>0</v>
      </c>
      <c r="BT99" s="54" t="str">
        <f t="shared" si="216"/>
        <v/>
      </c>
      <c r="BU99" s="468" t="str">
        <f t="shared" si="176"/>
        <v/>
      </c>
      <c r="BV99" s="468" t="str">
        <f t="shared" si="177"/>
        <v/>
      </c>
      <c r="BW99" s="344"/>
      <c r="BX99" s="54" t="str">
        <f t="shared" si="217"/>
        <v/>
      </c>
      <c r="BY99" s="238">
        <v>0</v>
      </c>
      <c r="BZ99" s="54" t="str">
        <f t="shared" si="218"/>
        <v/>
      </c>
      <c r="CA99" s="353">
        <f>+Расходы!K49/1000</f>
        <v>0</v>
      </c>
      <c r="CB99" s="54" t="str">
        <f t="shared" si="219"/>
        <v/>
      </c>
      <c r="CC99" s="468" t="str">
        <f t="shared" si="178"/>
        <v/>
      </c>
      <c r="CD99" s="468" t="str">
        <f t="shared" si="179"/>
        <v/>
      </c>
      <c r="CE99" s="344"/>
      <c r="CF99" s="54" t="str">
        <f t="shared" si="220"/>
        <v/>
      </c>
      <c r="CG99" s="238">
        <v>0</v>
      </c>
      <c r="CH99" s="54" t="str">
        <f t="shared" si="221"/>
        <v/>
      </c>
      <c r="CI99" s="353">
        <f>+Расходы!L49/1000</f>
        <v>0</v>
      </c>
      <c r="CJ99" s="54" t="str">
        <f t="shared" si="222"/>
        <v/>
      </c>
      <c r="CK99" s="468" t="str">
        <f t="shared" si="180"/>
        <v/>
      </c>
      <c r="CL99" s="468" t="str">
        <f t="shared" si="181"/>
        <v/>
      </c>
      <c r="CM99" s="344"/>
      <c r="CN99" s="54" t="str">
        <f t="shared" si="223"/>
        <v/>
      </c>
      <c r="CO99" s="238">
        <v>0</v>
      </c>
      <c r="CP99" s="54" t="str">
        <f t="shared" si="224"/>
        <v/>
      </c>
      <c r="CQ99" s="353">
        <f>+Расходы!M49/1000</f>
        <v>0</v>
      </c>
      <c r="CR99" s="54" t="str">
        <f t="shared" si="225"/>
        <v/>
      </c>
      <c r="CS99" s="468" t="str">
        <f t="shared" si="182"/>
        <v/>
      </c>
      <c r="CT99" s="468" t="str">
        <f t="shared" si="183"/>
        <v/>
      </c>
      <c r="CU99" s="344">
        <f t="shared" si="158"/>
        <v>0</v>
      </c>
      <c r="CV99" s="54" t="str">
        <f t="shared" si="184"/>
        <v/>
      </c>
      <c r="CW99" s="238">
        <f t="shared" si="159"/>
        <v>0</v>
      </c>
      <c r="CX99" s="54">
        <f t="shared" si="185"/>
        <v>0</v>
      </c>
      <c r="CY99" s="353">
        <f t="shared" si="186"/>
        <v>0</v>
      </c>
      <c r="CZ99" s="54">
        <f t="shared" si="187"/>
        <v>0</v>
      </c>
      <c r="DA99" s="468" t="str">
        <f t="shared" si="188"/>
        <v/>
      </c>
      <c r="DB99" s="468" t="str">
        <f t="shared" si="189"/>
        <v/>
      </c>
    </row>
    <row r="100" spans="2:106" s="103" customFormat="1" ht="13.15" customHeight="1" outlineLevel="2">
      <c r="B100" s="61" t="str">
        <f>+Расходы!A50</f>
        <v>Стоки. Водоотведение</v>
      </c>
      <c r="C100" s="238"/>
      <c r="D100" s="54" t="str">
        <f t="shared" si="190"/>
        <v/>
      </c>
      <c r="E100" s="238"/>
      <c r="F100" s="54" t="str">
        <f t="shared" si="191"/>
        <v/>
      </c>
      <c r="G100" s="353">
        <f>+Расходы!B50/1000</f>
        <v>0</v>
      </c>
      <c r="H100" s="54" t="str">
        <f t="shared" si="192"/>
        <v/>
      </c>
      <c r="I100" s="468" t="str">
        <f t="shared" si="160"/>
        <v/>
      </c>
      <c r="J100" s="468" t="str">
        <f t="shared" si="161"/>
        <v/>
      </c>
      <c r="K100" s="238"/>
      <c r="L100" s="54" t="str">
        <f t="shared" si="193"/>
        <v/>
      </c>
      <c r="M100" s="238"/>
      <c r="N100" s="54" t="str">
        <f t="shared" si="194"/>
        <v/>
      </c>
      <c r="O100" s="353">
        <f>+Расходы!C50/1000</f>
        <v>0</v>
      </c>
      <c r="P100" s="54" t="str">
        <f t="shared" si="195"/>
        <v/>
      </c>
      <c r="Q100" s="468" t="str">
        <f t="shared" si="162"/>
        <v/>
      </c>
      <c r="R100" s="468" t="str">
        <f t="shared" si="163"/>
        <v/>
      </c>
      <c r="S100" s="238"/>
      <c r="T100" s="54" t="str">
        <f t="shared" si="196"/>
        <v/>
      </c>
      <c r="U100" s="238">
        <v>0</v>
      </c>
      <c r="V100" s="54" t="str">
        <f t="shared" si="197"/>
        <v/>
      </c>
      <c r="W100" s="353">
        <f>+Расходы!D50/1000</f>
        <v>0</v>
      </c>
      <c r="X100" s="54" t="str">
        <f t="shared" si="198"/>
        <v/>
      </c>
      <c r="Y100" s="468" t="str">
        <f t="shared" si="164"/>
        <v/>
      </c>
      <c r="Z100" s="468" t="str">
        <f t="shared" si="165"/>
        <v/>
      </c>
      <c r="AA100" s="238"/>
      <c r="AB100" s="54" t="str">
        <f t="shared" si="199"/>
        <v/>
      </c>
      <c r="AC100" s="238">
        <v>0</v>
      </c>
      <c r="AD100" s="54" t="str">
        <f t="shared" si="200"/>
        <v/>
      </c>
      <c r="AE100" s="353">
        <f>+Расходы!E50/1000</f>
        <v>0</v>
      </c>
      <c r="AF100" s="54" t="str">
        <f t="shared" si="201"/>
        <v/>
      </c>
      <c r="AG100" s="468" t="str">
        <f t="shared" si="166"/>
        <v/>
      </c>
      <c r="AH100" s="468" t="str">
        <f t="shared" si="167"/>
        <v/>
      </c>
      <c r="AI100" s="238"/>
      <c r="AJ100" s="54" t="str">
        <f t="shared" si="202"/>
        <v/>
      </c>
      <c r="AK100" s="238">
        <v>0</v>
      </c>
      <c r="AL100" s="54" t="str">
        <f t="shared" si="203"/>
        <v/>
      </c>
      <c r="AM100" s="353">
        <f>+Расходы!F50/1000</f>
        <v>0</v>
      </c>
      <c r="AN100" s="54" t="str">
        <f t="shared" si="204"/>
        <v/>
      </c>
      <c r="AO100" s="468" t="str">
        <f t="shared" si="168"/>
        <v/>
      </c>
      <c r="AP100" s="468" t="str">
        <f t="shared" si="169"/>
        <v/>
      </c>
      <c r="AQ100" s="344"/>
      <c r="AR100" s="54" t="str">
        <f t="shared" si="205"/>
        <v/>
      </c>
      <c r="AS100" s="238">
        <v>0</v>
      </c>
      <c r="AT100" s="54" t="str">
        <f t="shared" si="206"/>
        <v/>
      </c>
      <c r="AU100" s="353">
        <f>+Расходы!G50/1000</f>
        <v>0</v>
      </c>
      <c r="AV100" s="54" t="str">
        <f t="shared" si="207"/>
        <v/>
      </c>
      <c r="AW100" s="468" t="str">
        <f t="shared" si="170"/>
        <v/>
      </c>
      <c r="AX100" s="468" t="str">
        <f t="shared" si="171"/>
        <v/>
      </c>
      <c r="AY100" s="344"/>
      <c r="AZ100" s="54" t="str">
        <f t="shared" si="208"/>
        <v/>
      </c>
      <c r="BA100" s="238">
        <v>0</v>
      </c>
      <c r="BB100" s="54" t="str">
        <f t="shared" si="209"/>
        <v/>
      </c>
      <c r="BC100" s="353">
        <f>+Расходы!H50/1000</f>
        <v>0</v>
      </c>
      <c r="BD100" s="54" t="str">
        <f t="shared" si="210"/>
        <v/>
      </c>
      <c r="BE100" s="468" t="str">
        <f t="shared" si="172"/>
        <v/>
      </c>
      <c r="BF100" s="468" t="str">
        <f t="shared" si="173"/>
        <v/>
      </c>
      <c r="BG100" s="344"/>
      <c r="BH100" s="54" t="str">
        <f t="shared" si="211"/>
        <v/>
      </c>
      <c r="BI100" s="238">
        <v>0</v>
      </c>
      <c r="BJ100" s="54" t="str">
        <f t="shared" si="212"/>
        <v/>
      </c>
      <c r="BK100" s="353">
        <f>+Расходы!I50/1000</f>
        <v>0</v>
      </c>
      <c r="BL100" s="54" t="str">
        <f t="shared" si="213"/>
        <v/>
      </c>
      <c r="BM100" s="468" t="str">
        <f t="shared" si="174"/>
        <v/>
      </c>
      <c r="BN100" s="468" t="str">
        <f t="shared" si="175"/>
        <v/>
      </c>
      <c r="BO100" s="344"/>
      <c r="BP100" s="54" t="str">
        <f t="shared" si="214"/>
        <v/>
      </c>
      <c r="BQ100" s="238">
        <v>0</v>
      </c>
      <c r="BR100" s="54" t="str">
        <f t="shared" si="215"/>
        <v/>
      </c>
      <c r="BS100" s="353">
        <f>+Расходы!J50/1000</f>
        <v>0</v>
      </c>
      <c r="BT100" s="54" t="str">
        <f t="shared" si="216"/>
        <v/>
      </c>
      <c r="BU100" s="468" t="str">
        <f t="shared" si="176"/>
        <v/>
      </c>
      <c r="BV100" s="468" t="str">
        <f t="shared" si="177"/>
        <v/>
      </c>
      <c r="BW100" s="344"/>
      <c r="BX100" s="54" t="str">
        <f t="shared" si="217"/>
        <v/>
      </c>
      <c r="BY100" s="238">
        <v>0</v>
      </c>
      <c r="BZ100" s="54" t="str">
        <f t="shared" si="218"/>
        <v/>
      </c>
      <c r="CA100" s="353">
        <f>+Расходы!K50/1000</f>
        <v>0</v>
      </c>
      <c r="CB100" s="54" t="str">
        <f t="shared" si="219"/>
        <v/>
      </c>
      <c r="CC100" s="468" t="str">
        <f t="shared" si="178"/>
        <v/>
      </c>
      <c r="CD100" s="468" t="str">
        <f t="shared" si="179"/>
        <v/>
      </c>
      <c r="CE100" s="344"/>
      <c r="CF100" s="54" t="str">
        <f t="shared" si="220"/>
        <v/>
      </c>
      <c r="CG100" s="238">
        <v>0</v>
      </c>
      <c r="CH100" s="54" t="str">
        <f t="shared" si="221"/>
        <v/>
      </c>
      <c r="CI100" s="353">
        <f>+Расходы!L50/1000</f>
        <v>0</v>
      </c>
      <c r="CJ100" s="54" t="str">
        <f t="shared" si="222"/>
        <v/>
      </c>
      <c r="CK100" s="468" t="str">
        <f t="shared" si="180"/>
        <v/>
      </c>
      <c r="CL100" s="468" t="str">
        <f t="shared" si="181"/>
        <v/>
      </c>
      <c r="CM100" s="344"/>
      <c r="CN100" s="54" t="str">
        <f t="shared" si="223"/>
        <v/>
      </c>
      <c r="CO100" s="238">
        <v>0</v>
      </c>
      <c r="CP100" s="54" t="str">
        <f t="shared" si="224"/>
        <v/>
      </c>
      <c r="CQ100" s="353">
        <f>+Расходы!M50/1000</f>
        <v>0</v>
      </c>
      <c r="CR100" s="54" t="str">
        <f t="shared" si="225"/>
        <v/>
      </c>
      <c r="CS100" s="468" t="str">
        <f t="shared" si="182"/>
        <v/>
      </c>
      <c r="CT100" s="468" t="str">
        <f t="shared" si="183"/>
        <v/>
      </c>
      <c r="CU100" s="344">
        <f t="shared" si="158"/>
        <v>0</v>
      </c>
      <c r="CV100" s="54" t="str">
        <f t="shared" si="184"/>
        <v/>
      </c>
      <c r="CW100" s="238">
        <f t="shared" si="159"/>
        <v>0</v>
      </c>
      <c r="CX100" s="54">
        <f t="shared" si="185"/>
        <v>0</v>
      </c>
      <c r="CY100" s="353">
        <f t="shared" si="186"/>
        <v>0</v>
      </c>
      <c r="CZ100" s="54">
        <f t="shared" si="187"/>
        <v>0</v>
      </c>
      <c r="DA100" s="468" t="str">
        <f t="shared" si="188"/>
        <v/>
      </c>
      <c r="DB100" s="468" t="str">
        <f t="shared" si="189"/>
        <v/>
      </c>
    </row>
    <row r="101" spans="2:106" s="103" customFormat="1" ht="13.15" customHeight="1" outlineLevel="2">
      <c r="B101" s="61" t="str">
        <f>+Расходы!A51</f>
        <v>Теплоснабжение</v>
      </c>
      <c r="C101" s="238"/>
      <c r="D101" s="54" t="str">
        <f t="shared" si="190"/>
        <v/>
      </c>
      <c r="E101" s="238"/>
      <c r="F101" s="54" t="str">
        <f t="shared" si="191"/>
        <v/>
      </c>
      <c r="G101" s="353">
        <f>+Расходы!B51/1000</f>
        <v>0</v>
      </c>
      <c r="H101" s="54" t="str">
        <f t="shared" si="192"/>
        <v/>
      </c>
      <c r="I101" s="468" t="str">
        <f t="shared" si="160"/>
        <v/>
      </c>
      <c r="J101" s="468" t="str">
        <f t="shared" si="161"/>
        <v/>
      </c>
      <c r="K101" s="238"/>
      <c r="L101" s="54" t="str">
        <f t="shared" si="193"/>
        <v/>
      </c>
      <c r="M101" s="238"/>
      <c r="N101" s="54" t="str">
        <f t="shared" si="194"/>
        <v/>
      </c>
      <c r="O101" s="353">
        <f>+Расходы!C51/1000</f>
        <v>0</v>
      </c>
      <c r="P101" s="54" t="str">
        <f t="shared" si="195"/>
        <v/>
      </c>
      <c r="Q101" s="468" t="str">
        <f t="shared" si="162"/>
        <v/>
      </c>
      <c r="R101" s="468" t="str">
        <f t="shared" si="163"/>
        <v/>
      </c>
      <c r="S101" s="238"/>
      <c r="T101" s="54" t="str">
        <f t="shared" si="196"/>
        <v/>
      </c>
      <c r="U101" s="238">
        <v>0</v>
      </c>
      <c r="V101" s="54" t="str">
        <f t="shared" si="197"/>
        <v/>
      </c>
      <c r="W101" s="353">
        <f>+Расходы!D51/1000</f>
        <v>0</v>
      </c>
      <c r="X101" s="54" t="str">
        <f t="shared" si="198"/>
        <v/>
      </c>
      <c r="Y101" s="468" t="str">
        <f t="shared" si="164"/>
        <v/>
      </c>
      <c r="Z101" s="468" t="str">
        <f t="shared" si="165"/>
        <v/>
      </c>
      <c r="AA101" s="238"/>
      <c r="AB101" s="54" t="str">
        <f t="shared" si="199"/>
        <v/>
      </c>
      <c r="AC101" s="238">
        <v>0</v>
      </c>
      <c r="AD101" s="54" t="str">
        <f t="shared" si="200"/>
        <v/>
      </c>
      <c r="AE101" s="353">
        <f>+Расходы!E51/1000</f>
        <v>0</v>
      </c>
      <c r="AF101" s="54" t="str">
        <f t="shared" si="201"/>
        <v/>
      </c>
      <c r="AG101" s="468" t="str">
        <f t="shared" si="166"/>
        <v/>
      </c>
      <c r="AH101" s="468" t="str">
        <f t="shared" si="167"/>
        <v/>
      </c>
      <c r="AI101" s="238"/>
      <c r="AJ101" s="54" t="str">
        <f t="shared" si="202"/>
        <v/>
      </c>
      <c r="AK101" s="238">
        <v>0</v>
      </c>
      <c r="AL101" s="54" t="str">
        <f t="shared" si="203"/>
        <v/>
      </c>
      <c r="AM101" s="353">
        <f>+Расходы!F51/1000</f>
        <v>0</v>
      </c>
      <c r="AN101" s="54" t="str">
        <f t="shared" si="204"/>
        <v/>
      </c>
      <c r="AO101" s="468" t="str">
        <f t="shared" si="168"/>
        <v/>
      </c>
      <c r="AP101" s="468" t="str">
        <f t="shared" si="169"/>
        <v/>
      </c>
      <c r="AQ101" s="344"/>
      <c r="AR101" s="54" t="str">
        <f t="shared" si="205"/>
        <v/>
      </c>
      <c r="AS101" s="238">
        <v>0</v>
      </c>
      <c r="AT101" s="54" t="str">
        <f t="shared" si="206"/>
        <v/>
      </c>
      <c r="AU101" s="353">
        <f>+Расходы!G51/1000</f>
        <v>0</v>
      </c>
      <c r="AV101" s="54" t="str">
        <f t="shared" si="207"/>
        <v/>
      </c>
      <c r="AW101" s="468" t="str">
        <f t="shared" si="170"/>
        <v/>
      </c>
      <c r="AX101" s="468" t="str">
        <f t="shared" si="171"/>
        <v/>
      </c>
      <c r="AY101" s="344"/>
      <c r="AZ101" s="54" t="str">
        <f t="shared" si="208"/>
        <v/>
      </c>
      <c r="BA101" s="238">
        <v>0</v>
      </c>
      <c r="BB101" s="54" t="str">
        <f t="shared" si="209"/>
        <v/>
      </c>
      <c r="BC101" s="353">
        <f>+Расходы!H51/1000</f>
        <v>0</v>
      </c>
      <c r="BD101" s="54" t="str">
        <f t="shared" si="210"/>
        <v/>
      </c>
      <c r="BE101" s="468" t="str">
        <f t="shared" si="172"/>
        <v/>
      </c>
      <c r="BF101" s="468" t="str">
        <f t="shared" si="173"/>
        <v/>
      </c>
      <c r="BG101" s="344"/>
      <c r="BH101" s="54" t="str">
        <f t="shared" si="211"/>
        <v/>
      </c>
      <c r="BI101" s="238">
        <v>0</v>
      </c>
      <c r="BJ101" s="54" t="str">
        <f t="shared" si="212"/>
        <v/>
      </c>
      <c r="BK101" s="353">
        <f>+Расходы!I51/1000</f>
        <v>0</v>
      </c>
      <c r="BL101" s="54" t="str">
        <f t="shared" si="213"/>
        <v/>
      </c>
      <c r="BM101" s="468" t="str">
        <f t="shared" si="174"/>
        <v/>
      </c>
      <c r="BN101" s="468" t="str">
        <f t="shared" si="175"/>
        <v/>
      </c>
      <c r="BO101" s="344"/>
      <c r="BP101" s="54" t="str">
        <f t="shared" si="214"/>
        <v/>
      </c>
      <c r="BQ101" s="238">
        <v>0</v>
      </c>
      <c r="BR101" s="54" t="str">
        <f t="shared" si="215"/>
        <v/>
      </c>
      <c r="BS101" s="353">
        <f>+Расходы!J51/1000</f>
        <v>0</v>
      </c>
      <c r="BT101" s="54" t="str">
        <f t="shared" si="216"/>
        <v/>
      </c>
      <c r="BU101" s="468" t="str">
        <f t="shared" si="176"/>
        <v/>
      </c>
      <c r="BV101" s="468" t="str">
        <f t="shared" si="177"/>
        <v/>
      </c>
      <c r="BW101" s="344"/>
      <c r="BX101" s="54" t="str">
        <f t="shared" si="217"/>
        <v/>
      </c>
      <c r="BY101" s="238">
        <v>0</v>
      </c>
      <c r="BZ101" s="54" t="str">
        <f t="shared" si="218"/>
        <v/>
      </c>
      <c r="CA101" s="353">
        <f>+Расходы!K51/1000</f>
        <v>0</v>
      </c>
      <c r="CB101" s="54" t="str">
        <f t="shared" si="219"/>
        <v/>
      </c>
      <c r="CC101" s="468" t="str">
        <f t="shared" si="178"/>
        <v/>
      </c>
      <c r="CD101" s="468" t="str">
        <f t="shared" si="179"/>
        <v/>
      </c>
      <c r="CE101" s="344"/>
      <c r="CF101" s="54" t="str">
        <f t="shared" si="220"/>
        <v/>
      </c>
      <c r="CG101" s="238">
        <v>0</v>
      </c>
      <c r="CH101" s="54" t="str">
        <f t="shared" si="221"/>
        <v/>
      </c>
      <c r="CI101" s="353">
        <f>+Расходы!L51/1000</f>
        <v>0</v>
      </c>
      <c r="CJ101" s="54" t="str">
        <f t="shared" si="222"/>
        <v/>
      </c>
      <c r="CK101" s="468" t="str">
        <f t="shared" si="180"/>
        <v/>
      </c>
      <c r="CL101" s="468" t="str">
        <f t="shared" si="181"/>
        <v/>
      </c>
      <c r="CM101" s="344"/>
      <c r="CN101" s="54" t="str">
        <f t="shared" si="223"/>
        <v/>
      </c>
      <c r="CO101" s="238">
        <v>0</v>
      </c>
      <c r="CP101" s="54" t="str">
        <f t="shared" si="224"/>
        <v/>
      </c>
      <c r="CQ101" s="353">
        <f>+Расходы!M51/1000</f>
        <v>0</v>
      </c>
      <c r="CR101" s="54" t="str">
        <f t="shared" si="225"/>
        <v/>
      </c>
      <c r="CS101" s="468" t="str">
        <f t="shared" si="182"/>
        <v/>
      </c>
      <c r="CT101" s="468" t="str">
        <f t="shared" si="183"/>
        <v/>
      </c>
      <c r="CU101" s="344">
        <f t="shared" si="158"/>
        <v>0</v>
      </c>
      <c r="CV101" s="54" t="str">
        <f t="shared" si="184"/>
        <v/>
      </c>
      <c r="CW101" s="238">
        <f t="shared" si="159"/>
        <v>0</v>
      </c>
      <c r="CX101" s="54">
        <f t="shared" si="185"/>
        <v>0</v>
      </c>
      <c r="CY101" s="353">
        <f t="shared" si="186"/>
        <v>0</v>
      </c>
      <c r="CZ101" s="54">
        <f t="shared" si="187"/>
        <v>0</v>
      </c>
      <c r="DA101" s="468" t="str">
        <f t="shared" si="188"/>
        <v/>
      </c>
      <c r="DB101" s="468" t="str">
        <f t="shared" si="189"/>
        <v/>
      </c>
    </row>
    <row r="102" spans="2:106" s="103" customFormat="1" ht="13.15" customHeight="1" outlineLevel="2">
      <c r="B102" s="61" t="str">
        <f>+Расходы!A52</f>
        <v>Электроэнергия</v>
      </c>
      <c r="C102" s="238"/>
      <c r="D102" s="54" t="str">
        <f t="shared" si="190"/>
        <v/>
      </c>
      <c r="E102" s="238"/>
      <c r="F102" s="54" t="str">
        <f t="shared" si="191"/>
        <v/>
      </c>
      <c r="G102" s="353">
        <f>+Расходы!B52/1000</f>
        <v>0</v>
      </c>
      <c r="H102" s="54" t="str">
        <f t="shared" si="192"/>
        <v/>
      </c>
      <c r="I102" s="468" t="str">
        <f t="shared" si="160"/>
        <v/>
      </c>
      <c r="J102" s="468" t="str">
        <f t="shared" si="161"/>
        <v/>
      </c>
      <c r="K102" s="238"/>
      <c r="L102" s="54" t="str">
        <f t="shared" si="193"/>
        <v/>
      </c>
      <c r="M102" s="238"/>
      <c r="N102" s="54" t="str">
        <f t="shared" si="194"/>
        <v/>
      </c>
      <c r="O102" s="353">
        <f>+Расходы!C52/1000</f>
        <v>0</v>
      </c>
      <c r="P102" s="54" t="str">
        <f t="shared" si="195"/>
        <v/>
      </c>
      <c r="Q102" s="468" t="str">
        <f t="shared" si="162"/>
        <v/>
      </c>
      <c r="R102" s="468" t="str">
        <f t="shared" si="163"/>
        <v/>
      </c>
      <c r="S102" s="238"/>
      <c r="T102" s="54" t="str">
        <f t="shared" si="196"/>
        <v/>
      </c>
      <c r="U102" s="238">
        <v>0</v>
      </c>
      <c r="V102" s="54" t="str">
        <f t="shared" si="197"/>
        <v/>
      </c>
      <c r="W102" s="353">
        <f>+Расходы!D52/1000</f>
        <v>0</v>
      </c>
      <c r="X102" s="54" t="str">
        <f t="shared" si="198"/>
        <v/>
      </c>
      <c r="Y102" s="468" t="str">
        <f t="shared" si="164"/>
        <v/>
      </c>
      <c r="Z102" s="468" t="str">
        <f t="shared" si="165"/>
        <v/>
      </c>
      <c r="AA102" s="238"/>
      <c r="AB102" s="54" t="str">
        <f t="shared" si="199"/>
        <v/>
      </c>
      <c r="AC102" s="238">
        <v>0</v>
      </c>
      <c r="AD102" s="54" t="str">
        <f t="shared" si="200"/>
        <v/>
      </c>
      <c r="AE102" s="353">
        <f>+Расходы!E52/1000</f>
        <v>0</v>
      </c>
      <c r="AF102" s="54" t="str">
        <f t="shared" si="201"/>
        <v/>
      </c>
      <c r="AG102" s="468" t="str">
        <f t="shared" si="166"/>
        <v/>
      </c>
      <c r="AH102" s="468" t="str">
        <f t="shared" si="167"/>
        <v/>
      </c>
      <c r="AI102" s="238"/>
      <c r="AJ102" s="54" t="str">
        <f t="shared" si="202"/>
        <v/>
      </c>
      <c r="AK102" s="238">
        <v>0</v>
      </c>
      <c r="AL102" s="54" t="str">
        <f t="shared" si="203"/>
        <v/>
      </c>
      <c r="AM102" s="353">
        <f>+Расходы!F52/1000</f>
        <v>0</v>
      </c>
      <c r="AN102" s="54" t="str">
        <f t="shared" si="204"/>
        <v/>
      </c>
      <c r="AO102" s="468" t="str">
        <f t="shared" si="168"/>
        <v/>
      </c>
      <c r="AP102" s="468" t="str">
        <f t="shared" si="169"/>
        <v/>
      </c>
      <c r="AQ102" s="344"/>
      <c r="AR102" s="54" t="str">
        <f t="shared" si="205"/>
        <v/>
      </c>
      <c r="AS102" s="238">
        <v>0</v>
      </c>
      <c r="AT102" s="54" t="str">
        <f t="shared" si="206"/>
        <v/>
      </c>
      <c r="AU102" s="353">
        <f>+Расходы!G52/1000</f>
        <v>0</v>
      </c>
      <c r="AV102" s="54" t="str">
        <f t="shared" si="207"/>
        <v/>
      </c>
      <c r="AW102" s="468" t="str">
        <f t="shared" si="170"/>
        <v/>
      </c>
      <c r="AX102" s="468" t="str">
        <f t="shared" si="171"/>
        <v/>
      </c>
      <c r="AY102" s="344"/>
      <c r="AZ102" s="54" t="str">
        <f t="shared" si="208"/>
        <v/>
      </c>
      <c r="BA102" s="238">
        <v>0</v>
      </c>
      <c r="BB102" s="54" t="str">
        <f t="shared" si="209"/>
        <v/>
      </c>
      <c r="BC102" s="353">
        <f>+Расходы!H52/1000</f>
        <v>0</v>
      </c>
      <c r="BD102" s="54" t="str">
        <f t="shared" si="210"/>
        <v/>
      </c>
      <c r="BE102" s="468" t="str">
        <f t="shared" si="172"/>
        <v/>
      </c>
      <c r="BF102" s="468" t="str">
        <f t="shared" si="173"/>
        <v/>
      </c>
      <c r="BG102" s="344"/>
      <c r="BH102" s="54" t="str">
        <f t="shared" si="211"/>
        <v/>
      </c>
      <c r="BI102" s="238">
        <v>0</v>
      </c>
      <c r="BJ102" s="54" t="str">
        <f t="shared" si="212"/>
        <v/>
      </c>
      <c r="BK102" s="353">
        <f>+Расходы!I52/1000</f>
        <v>0</v>
      </c>
      <c r="BL102" s="54" t="str">
        <f t="shared" si="213"/>
        <v/>
      </c>
      <c r="BM102" s="468" t="str">
        <f t="shared" si="174"/>
        <v/>
      </c>
      <c r="BN102" s="468" t="str">
        <f t="shared" si="175"/>
        <v/>
      </c>
      <c r="BO102" s="344"/>
      <c r="BP102" s="54" t="str">
        <f t="shared" si="214"/>
        <v/>
      </c>
      <c r="BQ102" s="238">
        <v>0</v>
      </c>
      <c r="BR102" s="54" t="str">
        <f t="shared" si="215"/>
        <v/>
      </c>
      <c r="BS102" s="353">
        <f>+Расходы!J52/1000</f>
        <v>0</v>
      </c>
      <c r="BT102" s="54" t="str">
        <f t="shared" si="216"/>
        <v/>
      </c>
      <c r="BU102" s="468" t="str">
        <f t="shared" si="176"/>
        <v/>
      </c>
      <c r="BV102" s="468" t="str">
        <f t="shared" si="177"/>
        <v/>
      </c>
      <c r="BW102" s="344"/>
      <c r="BX102" s="54" t="str">
        <f t="shared" si="217"/>
        <v/>
      </c>
      <c r="BY102" s="238">
        <v>0</v>
      </c>
      <c r="BZ102" s="54" t="str">
        <f t="shared" si="218"/>
        <v/>
      </c>
      <c r="CA102" s="353">
        <f>+Расходы!K52/1000</f>
        <v>0</v>
      </c>
      <c r="CB102" s="54" t="str">
        <f t="shared" si="219"/>
        <v/>
      </c>
      <c r="CC102" s="468" t="str">
        <f t="shared" si="178"/>
        <v/>
      </c>
      <c r="CD102" s="468" t="str">
        <f t="shared" si="179"/>
        <v/>
      </c>
      <c r="CE102" s="344"/>
      <c r="CF102" s="54" t="str">
        <f t="shared" si="220"/>
        <v/>
      </c>
      <c r="CG102" s="238">
        <v>0</v>
      </c>
      <c r="CH102" s="54" t="str">
        <f t="shared" si="221"/>
        <v/>
      </c>
      <c r="CI102" s="353">
        <f>+Расходы!L52/1000</f>
        <v>0</v>
      </c>
      <c r="CJ102" s="54" t="str">
        <f t="shared" si="222"/>
        <v/>
      </c>
      <c r="CK102" s="468" t="str">
        <f t="shared" si="180"/>
        <v/>
      </c>
      <c r="CL102" s="468" t="str">
        <f t="shared" si="181"/>
        <v/>
      </c>
      <c r="CM102" s="344"/>
      <c r="CN102" s="54" t="str">
        <f t="shared" si="223"/>
        <v/>
      </c>
      <c r="CO102" s="238">
        <v>0</v>
      </c>
      <c r="CP102" s="54" t="str">
        <f t="shared" si="224"/>
        <v/>
      </c>
      <c r="CQ102" s="353">
        <f>+Расходы!M52/1000</f>
        <v>0</v>
      </c>
      <c r="CR102" s="54" t="str">
        <f t="shared" si="225"/>
        <v/>
      </c>
      <c r="CS102" s="468" t="str">
        <f t="shared" si="182"/>
        <v/>
      </c>
      <c r="CT102" s="468" t="str">
        <f t="shared" si="183"/>
        <v/>
      </c>
      <c r="CU102" s="344">
        <f t="shared" si="158"/>
        <v>0</v>
      </c>
      <c r="CV102" s="54" t="str">
        <f t="shared" si="184"/>
        <v/>
      </c>
      <c r="CW102" s="238">
        <f t="shared" si="159"/>
        <v>0</v>
      </c>
      <c r="CX102" s="54">
        <f t="shared" si="185"/>
        <v>0</v>
      </c>
      <c r="CY102" s="353">
        <f t="shared" si="186"/>
        <v>0</v>
      </c>
      <c r="CZ102" s="54">
        <f t="shared" si="187"/>
        <v>0</v>
      </c>
      <c r="DA102" s="468" t="str">
        <f t="shared" si="188"/>
        <v/>
      </c>
      <c r="DB102" s="468" t="str">
        <f t="shared" si="189"/>
        <v/>
      </c>
    </row>
    <row r="103" spans="2:106" s="103" customFormat="1" ht="13.15" customHeight="1" outlineLevel="1">
      <c r="B103" s="57" t="str">
        <f>+Расходы!A53</f>
        <v>Прочие ОФР/Деко</v>
      </c>
      <c r="C103" s="485">
        <f>+C104+C111+C117+C122+C171+C197</f>
        <v>0</v>
      </c>
      <c r="D103" s="64" t="str">
        <f t="shared" si="190"/>
        <v/>
      </c>
      <c r="E103" s="485">
        <f>+E104+E111+E117+E122+E171+E197</f>
        <v>0</v>
      </c>
      <c r="F103" s="64" t="str">
        <f t="shared" si="191"/>
        <v/>
      </c>
      <c r="G103" s="358">
        <f>+Расходы!B53/1000</f>
        <v>0</v>
      </c>
      <c r="H103" s="64" t="str">
        <f t="shared" si="192"/>
        <v/>
      </c>
      <c r="I103" s="483" t="str">
        <f t="shared" si="160"/>
        <v/>
      </c>
      <c r="J103" s="483" t="str">
        <f t="shared" si="161"/>
        <v/>
      </c>
      <c r="K103" s="485">
        <f>+K104+K111+K117+K122+K171+K197</f>
        <v>0</v>
      </c>
      <c r="L103" s="64" t="str">
        <f t="shared" si="193"/>
        <v/>
      </c>
      <c r="M103" s="485">
        <f>+M104+M111+M117+M122+M171+M197</f>
        <v>0</v>
      </c>
      <c r="N103" s="64" t="str">
        <f t="shared" si="194"/>
        <v/>
      </c>
      <c r="O103" s="358">
        <f>+Расходы!C53/1000</f>
        <v>0</v>
      </c>
      <c r="P103" s="64" t="str">
        <f t="shared" si="195"/>
        <v/>
      </c>
      <c r="Q103" s="483" t="str">
        <f t="shared" si="162"/>
        <v/>
      </c>
      <c r="R103" s="483" t="str">
        <f t="shared" si="163"/>
        <v/>
      </c>
      <c r="S103" s="485">
        <f>+S104+S111+S117+S122+S171+S197</f>
        <v>0</v>
      </c>
      <c r="T103" s="64" t="str">
        <f t="shared" si="196"/>
        <v/>
      </c>
      <c r="U103" s="485">
        <f>+U104+U111+U117+U122+U171+U197</f>
        <v>0</v>
      </c>
      <c r="V103" s="64" t="str">
        <f t="shared" si="197"/>
        <v/>
      </c>
      <c r="W103" s="358">
        <f>+Расходы!D53/1000</f>
        <v>186.30521000000002</v>
      </c>
      <c r="X103" s="64">
        <f t="shared" si="198"/>
        <v>3.1417934535152368E-2</v>
      </c>
      <c r="Y103" s="483" t="str">
        <f t="shared" si="164"/>
        <v/>
      </c>
      <c r="Z103" s="483" t="str">
        <f t="shared" si="165"/>
        <v/>
      </c>
      <c r="AA103" s="485">
        <f>+AA104+AA111+AA117+AA122+AA171+AA197</f>
        <v>0</v>
      </c>
      <c r="AB103" s="64" t="str">
        <f t="shared" si="199"/>
        <v/>
      </c>
      <c r="AC103" s="485">
        <f>+AC104+AC111+AC117+AC122+AC171+AC197</f>
        <v>813.05</v>
      </c>
      <c r="AD103" s="64">
        <f t="shared" si="200"/>
        <v>5.9468952240517729E-2</v>
      </c>
      <c r="AE103" s="358">
        <f>+Расходы!E53/1000</f>
        <v>776.07270000000005</v>
      </c>
      <c r="AF103" s="64">
        <f t="shared" si="201"/>
        <v>5.6593114663244175E-2</v>
      </c>
      <c r="AG103" s="483">
        <f t="shared" si="166"/>
        <v>-4.5479736793554992E-2</v>
      </c>
      <c r="AH103" s="483" t="str">
        <f t="shared" si="167"/>
        <v/>
      </c>
      <c r="AI103" s="485">
        <f>+AI104+AI111+AI117+AI122+AI171+AI197</f>
        <v>0</v>
      </c>
      <c r="AJ103" s="64" t="str">
        <f t="shared" si="202"/>
        <v/>
      </c>
      <c r="AK103" s="485">
        <f>+AK104+AK111+AK117+AK122+AK171+AK197</f>
        <v>955.05</v>
      </c>
      <c r="AL103" s="64">
        <f t="shared" si="203"/>
        <v>6.8354566275407952E-2</v>
      </c>
      <c r="AM103" s="358">
        <f>+Расходы!F53/1000</f>
        <v>1190.6209200000001</v>
      </c>
      <c r="AN103" s="64">
        <f t="shared" si="204"/>
        <v>7.5774962625512407E-2</v>
      </c>
      <c r="AO103" s="483">
        <f t="shared" si="168"/>
        <v>0.24665820637662961</v>
      </c>
      <c r="AP103" s="483" t="str">
        <f t="shared" si="169"/>
        <v/>
      </c>
      <c r="AQ103" s="486">
        <f>+AQ104+AQ111+AQ117+AQ122+AQ171+AQ197</f>
        <v>0</v>
      </c>
      <c r="AR103" s="64" t="str">
        <f t="shared" si="205"/>
        <v/>
      </c>
      <c r="AS103" s="485">
        <f>+AS104+AS111+AS117+AS122+AS171+AS197</f>
        <v>1086</v>
      </c>
      <c r="AT103" s="64">
        <f t="shared" si="206"/>
        <v>7.2015915119363394E-2</v>
      </c>
      <c r="AU103" s="358">
        <f>+Расходы!G53/1000</f>
        <v>811.86824999999999</v>
      </c>
      <c r="AV103" s="64">
        <f t="shared" si="207"/>
        <v>5.6959815975906297E-2</v>
      </c>
      <c r="AW103" s="483">
        <f t="shared" si="170"/>
        <v>-0.2524233425414365</v>
      </c>
      <c r="AX103" s="483" t="str">
        <f t="shared" si="171"/>
        <v/>
      </c>
      <c r="AY103" s="486">
        <f>+AY104+AY111+AY117+AY122+AY171+AY197</f>
        <v>0</v>
      </c>
      <c r="AZ103" s="64" t="str">
        <f t="shared" si="208"/>
        <v/>
      </c>
      <c r="BA103" s="485">
        <f>+BA104+BA111+BA117+BA122+BA171+BA197</f>
        <v>976</v>
      </c>
      <c r="BB103" s="64">
        <f t="shared" si="209"/>
        <v>6.2294558800063828E-2</v>
      </c>
      <c r="BC103" s="358">
        <f>+Расходы!H53/1000</f>
        <v>0</v>
      </c>
      <c r="BD103" s="64" t="str">
        <f t="shared" si="210"/>
        <v/>
      </c>
      <c r="BE103" s="483">
        <f t="shared" si="172"/>
        <v>-1</v>
      </c>
      <c r="BF103" s="483" t="str">
        <f t="shared" si="173"/>
        <v/>
      </c>
      <c r="BG103" s="486">
        <f>+BG104+BG111+BG117+BG122+BG171+BG197</f>
        <v>0</v>
      </c>
      <c r="BH103" s="64" t="str">
        <f t="shared" si="211"/>
        <v/>
      </c>
      <c r="BI103" s="485">
        <f>+BI104+BI111+BI117+BI122+BI171+BI197</f>
        <v>991</v>
      </c>
      <c r="BJ103" s="64">
        <f t="shared" si="212"/>
        <v>6.325195468326153E-2</v>
      </c>
      <c r="BK103" s="358">
        <f>+Расходы!I53/1000</f>
        <v>0</v>
      </c>
      <c r="BL103" s="64" t="str">
        <f t="shared" si="213"/>
        <v/>
      </c>
      <c r="BM103" s="483">
        <f t="shared" si="174"/>
        <v>-1</v>
      </c>
      <c r="BN103" s="483" t="str">
        <f t="shared" si="175"/>
        <v/>
      </c>
      <c r="BO103" s="486">
        <f>+BO104+BO111+BO117+BO122+BO171+BO197</f>
        <v>0</v>
      </c>
      <c r="BP103" s="64" t="str">
        <f t="shared" si="214"/>
        <v/>
      </c>
      <c r="BQ103" s="485">
        <f>+BQ104+BQ111+BQ117+BQ122+BQ171+BQ197</f>
        <v>1011</v>
      </c>
      <c r="BR103" s="64">
        <f t="shared" si="215"/>
        <v>6.982044198895028E-2</v>
      </c>
      <c r="BS103" s="358">
        <f>+Расходы!J53/1000</f>
        <v>0</v>
      </c>
      <c r="BT103" s="64" t="str">
        <f t="shared" si="216"/>
        <v/>
      </c>
      <c r="BU103" s="483">
        <f t="shared" si="176"/>
        <v>-1</v>
      </c>
      <c r="BV103" s="483" t="str">
        <f t="shared" si="177"/>
        <v/>
      </c>
      <c r="BW103" s="486">
        <f>+BW104+BW111+BW117+BW122+BW171+BW197</f>
        <v>0</v>
      </c>
      <c r="BX103" s="64" t="str">
        <f t="shared" si="217"/>
        <v/>
      </c>
      <c r="BY103" s="485">
        <f>+BY104+BY111+BY117+BY122+BY171+BY197</f>
        <v>7.0720000000000001</v>
      </c>
      <c r="BZ103" s="64">
        <f t="shared" si="218"/>
        <v>5.0212898204162252E-4</v>
      </c>
      <c r="CA103" s="358">
        <f>+Расходы!K53/1000</f>
        <v>0</v>
      </c>
      <c r="CB103" s="64" t="str">
        <f t="shared" si="219"/>
        <v/>
      </c>
      <c r="CC103" s="483">
        <f t="shared" si="178"/>
        <v>-1</v>
      </c>
      <c r="CD103" s="483" t="str">
        <f t="shared" si="179"/>
        <v/>
      </c>
      <c r="CE103" s="486">
        <f>+CE104+CE111+CE117+CE122+CE171+CE197</f>
        <v>0</v>
      </c>
      <c r="CF103" s="64" t="str">
        <f t="shared" si="220"/>
        <v/>
      </c>
      <c r="CG103" s="485">
        <f>+CG104+CG111+CG117+CG122+CG171+CG197</f>
        <v>7.0720000000000001</v>
      </c>
      <c r="CH103" s="64">
        <f t="shared" si="221"/>
        <v>4.8634812732096817E-4</v>
      </c>
      <c r="CI103" s="358">
        <f>+Расходы!L53/1000</f>
        <v>0</v>
      </c>
      <c r="CJ103" s="64" t="str">
        <f t="shared" si="222"/>
        <v/>
      </c>
      <c r="CK103" s="483">
        <f t="shared" si="180"/>
        <v>-1</v>
      </c>
      <c r="CL103" s="483" t="str">
        <f t="shared" si="181"/>
        <v/>
      </c>
      <c r="CM103" s="486">
        <f>+CM104+CM111+CM117+CM122+CM171+CM197</f>
        <v>0</v>
      </c>
      <c r="CN103" s="64" t="str">
        <f t="shared" si="223"/>
        <v/>
      </c>
      <c r="CO103" s="485">
        <f>+CO104+CO111+CO117+CO122+CO171+CO197</f>
        <v>7.0720000000000001</v>
      </c>
      <c r="CP103" s="64">
        <f t="shared" si="224"/>
        <v>4.5785078389114529E-4</v>
      </c>
      <c r="CQ103" s="358">
        <f>+Расходы!M53/1000</f>
        <v>0</v>
      </c>
      <c r="CR103" s="64" t="str">
        <f t="shared" si="225"/>
        <v/>
      </c>
      <c r="CS103" s="483">
        <f t="shared" si="182"/>
        <v>-1</v>
      </c>
      <c r="CT103" s="483" t="str">
        <f t="shared" si="183"/>
        <v/>
      </c>
      <c r="CU103" s="486">
        <f t="shared" si="158"/>
        <v>0</v>
      </c>
      <c r="CV103" s="64" t="str">
        <f t="shared" si="184"/>
        <v/>
      </c>
      <c r="CW103" s="485">
        <f t="shared" si="159"/>
        <v>5853.3160000000007</v>
      </c>
      <c r="CX103" s="64">
        <f t="shared" si="185"/>
        <v>4.4139334001051203E-2</v>
      </c>
      <c r="CY103" s="358">
        <f t="shared" si="186"/>
        <v>2964.86708</v>
      </c>
      <c r="CZ103" s="64">
        <f t="shared" si="187"/>
        <v>5.9764652172977897E-2</v>
      </c>
      <c r="DA103" s="483">
        <f t="shared" si="188"/>
        <v>-0.49347223351686464</v>
      </c>
      <c r="DB103" s="483" t="str">
        <f t="shared" si="189"/>
        <v/>
      </c>
    </row>
    <row r="104" spans="2:106" s="103" customFormat="1" ht="13.9" customHeight="1" outlineLevel="1">
      <c r="B104" s="58" t="str">
        <f>+Расходы!A54</f>
        <v>HR Маркетинг</v>
      </c>
      <c r="C104" s="480">
        <f>SUM(C105:C110)</f>
        <v>0</v>
      </c>
      <c r="D104" s="51" t="str">
        <f t="shared" si="190"/>
        <v/>
      </c>
      <c r="E104" s="480">
        <f>SUM(E105:E110)</f>
        <v>0</v>
      </c>
      <c r="F104" s="51" t="str">
        <f t="shared" si="191"/>
        <v/>
      </c>
      <c r="G104" s="354">
        <f>+Расходы!B54/1000</f>
        <v>0</v>
      </c>
      <c r="H104" s="51" t="str">
        <f t="shared" si="192"/>
        <v/>
      </c>
      <c r="I104" s="478" t="str">
        <f t="shared" si="160"/>
        <v/>
      </c>
      <c r="J104" s="478" t="str">
        <f t="shared" si="161"/>
        <v/>
      </c>
      <c r="K104" s="480">
        <f>SUM(K105:K110)</f>
        <v>0</v>
      </c>
      <c r="L104" s="51" t="str">
        <f t="shared" si="193"/>
        <v/>
      </c>
      <c r="M104" s="480">
        <f>SUM(M105:M110)</f>
        <v>0</v>
      </c>
      <c r="N104" s="51" t="str">
        <f t="shared" si="194"/>
        <v/>
      </c>
      <c r="O104" s="354">
        <f>+Расходы!C54/1000</f>
        <v>0</v>
      </c>
      <c r="P104" s="51" t="str">
        <f t="shared" si="195"/>
        <v/>
      </c>
      <c r="Q104" s="478" t="str">
        <f t="shared" si="162"/>
        <v/>
      </c>
      <c r="R104" s="478" t="str">
        <f t="shared" si="163"/>
        <v/>
      </c>
      <c r="S104" s="480">
        <f>SUM(S105:S110)</f>
        <v>0</v>
      </c>
      <c r="T104" s="51" t="str">
        <f t="shared" si="196"/>
        <v/>
      </c>
      <c r="U104" s="480">
        <f>SUM(U105:U110)</f>
        <v>0</v>
      </c>
      <c r="V104" s="51" t="str">
        <f t="shared" si="197"/>
        <v/>
      </c>
      <c r="W104" s="354">
        <f>+Расходы!D54/1000</f>
        <v>26.226430000000001</v>
      </c>
      <c r="X104" s="51">
        <f t="shared" si="198"/>
        <v>4.4227440597649206E-3</v>
      </c>
      <c r="Y104" s="478" t="str">
        <f t="shared" si="164"/>
        <v/>
      </c>
      <c r="Z104" s="478" t="str">
        <f t="shared" si="165"/>
        <v/>
      </c>
      <c r="AA104" s="480">
        <f>SUM(AA105:AA110)</f>
        <v>0</v>
      </c>
      <c r="AB104" s="51" t="str">
        <f t="shared" si="199"/>
        <v/>
      </c>
      <c r="AC104" s="480">
        <f>SUM(AC105:AC110)</f>
        <v>55</v>
      </c>
      <c r="AD104" s="51">
        <f t="shared" si="200"/>
        <v>4.0228674413977927E-3</v>
      </c>
      <c r="AE104" s="354">
        <f>+Расходы!E54/1000</f>
        <v>3.0826000000000002</v>
      </c>
      <c r="AF104" s="51">
        <f t="shared" si="201"/>
        <v>2.2479071259808069E-4</v>
      </c>
      <c r="AG104" s="478">
        <f t="shared" si="166"/>
        <v>-0.94395272727272728</v>
      </c>
      <c r="AH104" s="478" t="str">
        <f t="shared" si="167"/>
        <v/>
      </c>
      <c r="AI104" s="480">
        <f>SUM(AI105:AI110)</f>
        <v>0</v>
      </c>
      <c r="AJ104" s="51" t="str">
        <f t="shared" si="202"/>
        <v/>
      </c>
      <c r="AK104" s="480">
        <f>SUM(AK105:AK110)</f>
        <v>70</v>
      </c>
      <c r="AL104" s="51">
        <f t="shared" si="203"/>
        <v>5.0100200400801601E-3</v>
      </c>
      <c r="AM104" s="354">
        <f>+Расходы!F54/1000</f>
        <v>23.079249999999998</v>
      </c>
      <c r="AN104" s="51">
        <f t="shared" si="204"/>
        <v>1.4688380464328286E-3</v>
      </c>
      <c r="AO104" s="478">
        <f t="shared" si="168"/>
        <v>-0.67029642857142857</v>
      </c>
      <c r="AP104" s="478" t="str">
        <f t="shared" si="169"/>
        <v/>
      </c>
      <c r="AQ104" s="481">
        <f>SUM(AQ105:AQ110)</f>
        <v>0</v>
      </c>
      <c r="AR104" s="51" t="str">
        <f t="shared" si="205"/>
        <v/>
      </c>
      <c r="AS104" s="480">
        <f>SUM(AS105:AS110)</f>
        <v>20</v>
      </c>
      <c r="AT104" s="51">
        <f t="shared" si="206"/>
        <v>1.3262599469496021E-3</v>
      </c>
      <c r="AU104" s="354">
        <f>+Расходы!G54/1000</f>
        <v>17.042809999999999</v>
      </c>
      <c r="AV104" s="51">
        <f t="shared" si="207"/>
        <v>1.1957054870815993E-3</v>
      </c>
      <c r="AW104" s="478">
        <f t="shared" si="170"/>
        <v>-0.14785950000000003</v>
      </c>
      <c r="AX104" s="478" t="str">
        <f t="shared" si="171"/>
        <v/>
      </c>
      <c r="AY104" s="481">
        <f>SUM(AY105:AY110)</f>
        <v>0</v>
      </c>
      <c r="AZ104" s="51" t="str">
        <f t="shared" si="208"/>
        <v/>
      </c>
      <c r="BA104" s="480">
        <f>SUM(BA105:BA110)</f>
        <v>5</v>
      </c>
      <c r="BB104" s="51">
        <f t="shared" si="209"/>
        <v>3.1913196106590075E-4</v>
      </c>
      <c r="BC104" s="354">
        <f>+Расходы!H54/1000</f>
        <v>0</v>
      </c>
      <c r="BD104" s="51" t="str">
        <f t="shared" si="210"/>
        <v/>
      </c>
      <c r="BE104" s="478">
        <f t="shared" si="172"/>
        <v>-1</v>
      </c>
      <c r="BF104" s="478" t="str">
        <f t="shared" si="173"/>
        <v/>
      </c>
      <c r="BG104" s="481">
        <f>SUM(BG105:BG110)</f>
        <v>0</v>
      </c>
      <c r="BH104" s="51" t="str">
        <f t="shared" si="211"/>
        <v/>
      </c>
      <c r="BI104" s="480">
        <f>SUM(BI105:BI110)</f>
        <v>20</v>
      </c>
      <c r="BJ104" s="51">
        <f t="shared" si="212"/>
        <v>1.276527844263603E-3</v>
      </c>
      <c r="BK104" s="354">
        <f>+Расходы!I54/1000</f>
        <v>0</v>
      </c>
      <c r="BL104" s="51" t="str">
        <f t="shared" si="213"/>
        <v/>
      </c>
      <c r="BM104" s="478">
        <f t="shared" si="174"/>
        <v>-1</v>
      </c>
      <c r="BN104" s="478" t="str">
        <f t="shared" si="175"/>
        <v/>
      </c>
      <c r="BO104" s="481">
        <f>SUM(BO105:BO110)</f>
        <v>0</v>
      </c>
      <c r="BP104" s="51" t="str">
        <f t="shared" si="214"/>
        <v/>
      </c>
      <c r="BQ104" s="480">
        <f>SUM(BQ105:BQ110)</f>
        <v>5</v>
      </c>
      <c r="BR104" s="51">
        <f t="shared" si="215"/>
        <v>3.453038674033149E-4</v>
      </c>
      <c r="BS104" s="354">
        <f>+Расходы!J54/1000</f>
        <v>0</v>
      </c>
      <c r="BT104" s="51" t="str">
        <f t="shared" si="216"/>
        <v/>
      </c>
      <c r="BU104" s="478">
        <f t="shared" si="176"/>
        <v>-1</v>
      </c>
      <c r="BV104" s="478" t="str">
        <f t="shared" si="177"/>
        <v/>
      </c>
      <c r="BW104" s="481">
        <f>SUM(BW105:BW110)</f>
        <v>0</v>
      </c>
      <c r="BX104" s="51" t="str">
        <f t="shared" si="217"/>
        <v/>
      </c>
      <c r="BY104" s="480">
        <f>SUM(BY105:BY110)</f>
        <v>7.0720000000000001</v>
      </c>
      <c r="BZ104" s="51">
        <f t="shared" si="218"/>
        <v>5.0212898204162252E-4</v>
      </c>
      <c r="CA104" s="354">
        <f>+Расходы!K54/1000</f>
        <v>0</v>
      </c>
      <c r="CB104" s="51" t="str">
        <f t="shared" si="219"/>
        <v/>
      </c>
      <c r="CC104" s="478">
        <f t="shared" si="178"/>
        <v>-1</v>
      </c>
      <c r="CD104" s="478" t="str">
        <f t="shared" si="179"/>
        <v/>
      </c>
      <c r="CE104" s="481">
        <f>SUM(CE105:CE110)</f>
        <v>0</v>
      </c>
      <c r="CF104" s="51" t="str">
        <f t="shared" si="220"/>
        <v/>
      </c>
      <c r="CG104" s="480">
        <f>SUM(CG105:CG110)</f>
        <v>7.0720000000000001</v>
      </c>
      <c r="CH104" s="51">
        <f t="shared" si="221"/>
        <v>4.8634812732096817E-4</v>
      </c>
      <c r="CI104" s="354">
        <f>+Расходы!L54/1000</f>
        <v>0</v>
      </c>
      <c r="CJ104" s="51" t="str">
        <f t="shared" si="222"/>
        <v/>
      </c>
      <c r="CK104" s="478">
        <f t="shared" si="180"/>
        <v>-1</v>
      </c>
      <c r="CL104" s="478" t="str">
        <f t="shared" si="181"/>
        <v/>
      </c>
      <c r="CM104" s="481">
        <f>SUM(CM105:CM110)</f>
        <v>0</v>
      </c>
      <c r="CN104" s="51" t="str">
        <f t="shared" si="223"/>
        <v/>
      </c>
      <c r="CO104" s="480">
        <f>SUM(CO105:CO110)</f>
        <v>7.0720000000000001</v>
      </c>
      <c r="CP104" s="51">
        <f t="shared" si="224"/>
        <v>4.5785078389114529E-4</v>
      </c>
      <c r="CQ104" s="354">
        <f>+Расходы!M54/1000</f>
        <v>0</v>
      </c>
      <c r="CR104" s="51" t="str">
        <f t="shared" si="225"/>
        <v/>
      </c>
      <c r="CS104" s="478">
        <f t="shared" si="182"/>
        <v>-1</v>
      </c>
      <c r="CT104" s="478" t="str">
        <f t="shared" si="183"/>
        <v/>
      </c>
      <c r="CU104" s="481">
        <f t="shared" si="158"/>
        <v>0</v>
      </c>
      <c r="CV104" s="51" t="str">
        <f t="shared" si="184"/>
        <v/>
      </c>
      <c r="CW104" s="480">
        <f t="shared" si="159"/>
        <v>196.21600000000001</v>
      </c>
      <c r="CX104" s="51">
        <f t="shared" si="185"/>
        <v>1.4796473589244561E-3</v>
      </c>
      <c r="CY104" s="354">
        <f t="shared" si="186"/>
        <v>69.431089999999998</v>
      </c>
      <c r="CZ104" s="51">
        <f t="shared" si="187"/>
        <v>1.3995652526320754E-3</v>
      </c>
      <c r="DA104" s="478">
        <f t="shared" si="188"/>
        <v>-0.64614970236881808</v>
      </c>
      <c r="DB104" s="478" t="str">
        <f t="shared" si="189"/>
        <v/>
      </c>
    </row>
    <row r="105" spans="2:106" s="103" customFormat="1" ht="13.15" customHeight="1" outlineLevel="2">
      <c r="B105" s="61" t="str">
        <f>+Расходы!A55</f>
        <v>HR Маркетинг</v>
      </c>
      <c r="C105" s="238"/>
      <c r="D105" s="54" t="str">
        <f t="shared" si="190"/>
        <v/>
      </c>
      <c r="E105" s="238"/>
      <c r="F105" s="54" t="str">
        <f t="shared" si="191"/>
        <v/>
      </c>
      <c r="G105" s="353">
        <f>+Расходы!B55/1000</f>
        <v>0</v>
      </c>
      <c r="H105" s="54" t="str">
        <f t="shared" si="192"/>
        <v/>
      </c>
      <c r="I105" s="468" t="str">
        <f t="shared" si="160"/>
        <v/>
      </c>
      <c r="J105" s="468" t="str">
        <f t="shared" si="161"/>
        <v/>
      </c>
      <c r="K105" s="238"/>
      <c r="L105" s="54" t="str">
        <f t="shared" si="193"/>
        <v/>
      </c>
      <c r="M105" s="238"/>
      <c r="N105" s="54" t="str">
        <f t="shared" si="194"/>
        <v/>
      </c>
      <c r="O105" s="353">
        <f>+Расходы!C55/1000</f>
        <v>0</v>
      </c>
      <c r="P105" s="54" t="str">
        <f t="shared" si="195"/>
        <v/>
      </c>
      <c r="Q105" s="468" t="str">
        <f t="shared" si="162"/>
        <v/>
      </c>
      <c r="R105" s="468" t="str">
        <f t="shared" si="163"/>
        <v/>
      </c>
      <c r="S105" s="238"/>
      <c r="T105" s="54" t="str">
        <f t="shared" si="196"/>
        <v/>
      </c>
      <c r="U105" s="238">
        <v>0</v>
      </c>
      <c r="V105" s="54" t="str">
        <f t="shared" si="197"/>
        <v/>
      </c>
      <c r="W105" s="353">
        <f>+Расходы!D55/1000</f>
        <v>0</v>
      </c>
      <c r="X105" s="54" t="str">
        <f t="shared" si="198"/>
        <v/>
      </c>
      <c r="Y105" s="468" t="str">
        <f t="shared" si="164"/>
        <v/>
      </c>
      <c r="Z105" s="468" t="str">
        <f t="shared" si="165"/>
        <v/>
      </c>
      <c r="AA105" s="238"/>
      <c r="AB105" s="54" t="str">
        <f t="shared" si="199"/>
        <v/>
      </c>
      <c r="AC105" s="238">
        <v>10</v>
      </c>
      <c r="AD105" s="54">
        <f t="shared" si="200"/>
        <v>7.3143044389050783E-4</v>
      </c>
      <c r="AE105" s="353">
        <f>+Расходы!E55/1000</f>
        <v>0</v>
      </c>
      <c r="AF105" s="54" t="str">
        <f t="shared" si="201"/>
        <v/>
      </c>
      <c r="AG105" s="468">
        <f t="shared" si="166"/>
        <v>-1</v>
      </c>
      <c r="AH105" s="468" t="str">
        <f t="shared" si="167"/>
        <v/>
      </c>
      <c r="AI105" s="238"/>
      <c r="AJ105" s="54" t="str">
        <f t="shared" si="202"/>
        <v/>
      </c>
      <c r="AK105" s="238">
        <v>10</v>
      </c>
      <c r="AL105" s="54">
        <f t="shared" si="203"/>
        <v>7.1571714858288009E-4</v>
      </c>
      <c r="AM105" s="353">
        <f>+Расходы!F55/1000</f>
        <v>0</v>
      </c>
      <c r="AN105" s="54" t="str">
        <f t="shared" si="204"/>
        <v/>
      </c>
      <c r="AO105" s="468">
        <f t="shared" si="168"/>
        <v>-1</v>
      </c>
      <c r="AP105" s="468" t="str">
        <f t="shared" si="169"/>
        <v/>
      </c>
      <c r="AQ105" s="344">
        <f>+AQ106+AQ113+AQ119+AQ122+AQ171+AQ197</f>
        <v>0</v>
      </c>
      <c r="AR105" s="54" t="str">
        <f t="shared" si="205"/>
        <v/>
      </c>
      <c r="AS105" s="238">
        <v>0</v>
      </c>
      <c r="AT105" s="54" t="str">
        <f t="shared" si="206"/>
        <v/>
      </c>
      <c r="AU105" s="353">
        <f>+Расходы!G55/1000</f>
        <v>7.3710000000000004</v>
      </c>
      <c r="AV105" s="54">
        <f t="shared" si="207"/>
        <v>5.1714154797703358E-4</v>
      </c>
      <c r="AW105" s="468" t="str">
        <f t="shared" si="170"/>
        <v/>
      </c>
      <c r="AX105" s="468" t="str">
        <f t="shared" si="171"/>
        <v/>
      </c>
      <c r="AY105" s="344">
        <f>+AY106+AY113+AY119+AY122+AY171+AY197</f>
        <v>0</v>
      </c>
      <c r="AZ105" s="54" t="str">
        <f t="shared" si="208"/>
        <v/>
      </c>
      <c r="BA105" s="238">
        <v>0</v>
      </c>
      <c r="BB105" s="54" t="str">
        <f t="shared" si="209"/>
        <v/>
      </c>
      <c r="BC105" s="353">
        <f>+Расходы!H55/1000</f>
        <v>0</v>
      </c>
      <c r="BD105" s="54" t="str">
        <f t="shared" si="210"/>
        <v/>
      </c>
      <c r="BE105" s="468" t="str">
        <f t="shared" si="172"/>
        <v/>
      </c>
      <c r="BF105" s="468" t="str">
        <f t="shared" si="173"/>
        <v/>
      </c>
      <c r="BG105" s="344">
        <f>+BG106+BG113+BG119+BG122+BG171+BG197</f>
        <v>0</v>
      </c>
      <c r="BH105" s="54" t="str">
        <f t="shared" si="211"/>
        <v/>
      </c>
      <c r="BI105" s="238">
        <v>0</v>
      </c>
      <c r="BJ105" s="54" t="str">
        <f t="shared" si="212"/>
        <v/>
      </c>
      <c r="BK105" s="353">
        <f>+Расходы!I55/1000</f>
        <v>0</v>
      </c>
      <c r="BL105" s="54" t="str">
        <f t="shared" si="213"/>
        <v/>
      </c>
      <c r="BM105" s="468" t="str">
        <f t="shared" si="174"/>
        <v/>
      </c>
      <c r="BN105" s="468" t="str">
        <f t="shared" si="175"/>
        <v/>
      </c>
      <c r="BO105" s="344">
        <f>+BO106+BO113+BO119+BO122+BO171+BO197</f>
        <v>0</v>
      </c>
      <c r="BP105" s="54" t="str">
        <f t="shared" si="214"/>
        <v/>
      </c>
      <c r="BQ105" s="238">
        <v>0</v>
      </c>
      <c r="BR105" s="54" t="str">
        <f t="shared" si="215"/>
        <v/>
      </c>
      <c r="BS105" s="353">
        <f>+Расходы!J55/1000</f>
        <v>0</v>
      </c>
      <c r="BT105" s="54" t="str">
        <f t="shared" si="216"/>
        <v/>
      </c>
      <c r="BU105" s="468" t="str">
        <f t="shared" si="176"/>
        <v/>
      </c>
      <c r="BV105" s="468" t="str">
        <f t="shared" si="177"/>
        <v/>
      </c>
      <c r="BW105" s="344">
        <f>+BW106+BW113+BW119+BW122+BW171+BW197</f>
        <v>0</v>
      </c>
      <c r="BX105" s="54" t="str">
        <f t="shared" si="217"/>
        <v/>
      </c>
      <c r="BY105" s="238">
        <v>7.0720000000000001</v>
      </c>
      <c r="BZ105" s="54">
        <f t="shared" si="218"/>
        <v>5.0212898204162252E-4</v>
      </c>
      <c r="CA105" s="353">
        <f>+Расходы!K55/1000</f>
        <v>0</v>
      </c>
      <c r="CB105" s="54" t="str">
        <f t="shared" si="219"/>
        <v/>
      </c>
      <c r="CC105" s="468">
        <f t="shared" si="178"/>
        <v>-1</v>
      </c>
      <c r="CD105" s="468" t="str">
        <f t="shared" si="179"/>
        <v/>
      </c>
      <c r="CE105" s="344">
        <f>+CE106+CE113+CE119+CE122+CE171+CE197</f>
        <v>0</v>
      </c>
      <c r="CF105" s="54" t="str">
        <f t="shared" si="220"/>
        <v/>
      </c>
      <c r="CG105" s="238">
        <v>7.0720000000000001</v>
      </c>
      <c r="CH105" s="54">
        <f t="shared" si="221"/>
        <v>4.8634812732096817E-4</v>
      </c>
      <c r="CI105" s="353">
        <f>+Расходы!L55/1000</f>
        <v>0</v>
      </c>
      <c r="CJ105" s="54" t="str">
        <f t="shared" si="222"/>
        <v/>
      </c>
      <c r="CK105" s="468">
        <f t="shared" si="180"/>
        <v>-1</v>
      </c>
      <c r="CL105" s="468" t="str">
        <f t="shared" si="181"/>
        <v/>
      </c>
      <c r="CM105" s="344">
        <f>+CM106+CM113+CM119+CM122+CM171+CM197</f>
        <v>0</v>
      </c>
      <c r="CN105" s="54" t="str">
        <f t="shared" si="223"/>
        <v/>
      </c>
      <c r="CO105" s="238">
        <v>7.0720000000000001</v>
      </c>
      <c r="CP105" s="54">
        <f t="shared" si="224"/>
        <v>4.5785078389114529E-4</v>
      </c>
      <c r="CQ105" s="353">
        <f>+Расходы!M55/1000</f>
        <v>0</v>
      </c>
      <c r="CR105" s="54" t="str">
        <f t="shared" si="225"/>
        <v/>
      </c>
      <c r="CS105" s="468">
        <f t="shared" si="182"/>
        <v>-1</v>
      </c>
      <c r="CT105" s="468" t="str">
        <f t="shared" si="183"/>
        <v/>
      </c>
      <c r="CU105" s="344">
        <f t="shared" si="158"/>
        <v>0</v>
      </c>
      <c r="CV105" s="54" t="str">
        <f t="shared" si="184"/>
        <v/>
      </c>
      <c r="CW105" s="238">
        <f t="shared" si="159"/>
        <v>41.216000000000001</v>
      </c>
      <c r="CX105" s="54">
        <f t="shared" si="185"/>
        <v>3.1080618066534012E-4</v>
      </c>
      <c r="CY105" s="353">
        <f t="shared" si="186"/>
        <v>7.3710000000000004</v>
      </c>
      <c r="CZ105" s="54">
        <f t="shared" si="187"/>
        <v>1.4858178774308496E-4</v>
      </c>
      <c r="DA105" s="468">
        <f t="shared" si="188"/>
        <v>-0.82116168478260865</v>
      </c>
      <c r="DB105" s="468" t="str">
        <f t="shared" si="189"/>
        <v/>
      </c>
    </row>
    <row r="106" spans="2:106" s="103" customFormat="1" ht="13.15" customHeight="1" outlineLevel="2">
      <c r="B106" s="61" t="str">
        <f>+Расходы!A56</f>
        <v>Командировочные расходы</v>
      </c>
      <c r="C106" s="238"/>
      <c r="D106" s="54" t="str">
        <f t="shared" si="190"/>
        <v/>
      </c>
      <c r="E106" s="238"/>
      <c r="F106" s="54" t="str">
        <f t="shared" si="191"/>
        <v/>
      </c>
      <c r="G106" s="353">
        <f>+Расходы!B56/1000</f>
        <v>0</v>
      </c>
      <c r="H106" s="54" t="str">
        <f t="shared" si="192"/>
        <v/>
      </c>
      <c r="I106" s="468" t="str">
        <f t="shared" si="160"/>
        <v/>
      </c>
      <c r="J106" s="468" t="str">
        <f t="shared" si="161"/>
        <v/>
      </c>
      <c r="K106" s="238"/>
      <c r="L106" s="54" t="str">
        <f t="shared" si="193"/>
        <v/>
      </c>
      <c r="M106" s="238"/>
      <c r="N106" s="54" t="str">
        <f t="shared" si="194"/>
        <v/>
      </c>
      <c r="O106" s="353">
        <f>+Расходы!C56/1000</f>
        <v>0</v>
      </c>
      <c r="P106" s="54" t="str">
        <f t="shared" si="195"/>
        <v/>
      </c>
      <c r="Q106" s="468" t="str">
        <f t="shared" si="162"/>
        <v/>
      </c>
      <c r="R106" s="468" t="str">
        <f t="shared" si="163"/>
        <v/>
      </c>
      <c r="S106" s="238"/>
      <c r="T106" s="54" t="str">
        <f t="shared" si="196"/>
        <v/>
      </c>
      <c r="U106" s="238">
        <v>0</v>
      </c>
      <c r="V106" s="54" t="str">
        <f t="shared" si="197"/>
        <v/>
      </c>
      <c r="W106" s="353">
        <f>+Расходы!D56/1000</f>
        <v>0</v>
      </c>
      <c r="X106" s="54" t="str">
        <f t="shared" si="198"/>
        <v/>
      </c>
      <c r="Y106" s="468" t="str">
        <f t="shared" si="164"/>
        <v/>
      </c>
      <c r="Z106" s="468" t="str">
        <f t="shared" si="165"/>
        <v/>
      </c>
      <c r="AA106" s="238"/>
      <c r="AB106" s="54" t="str">
        <f t="shared" si="199"/>
        <v/>
      </c>
      <c r="AC106" s="238">
        <v>0</v>
      </c>
      <c r="AD106" s="54" t="str">
        <f t="shared" si="200"/>
        <v/>
      </c>
      <c r="AE106" s="353">
        <f>+Расходы!E56/1000</f>
        <v>0</v>
      </c>
      <c r="AF106" s="54" t="str">
        <f t="shared" si="201"/>
        <v/>
      </c>
      <c r="AG106" s="468" t="str">
        <f t="shared" si="166"/>
        <v/>
      </c>
      <c r="AH106" s="468" t="str">
        <f t="shared" si="167"/>
        <v/>
      </c>
      <c r="AI106" s="238"/>
      <c r="AJ106" s="54" t="str">
        <f t="shared" si="202"/>
        <v/>
      </c>
      <c r="AK106" s="238">
        <v>0</v>
      </c>
      <c r="AL106" s="54" t="str">
        <f t="shared" si="203"/>
        <v/>
      </c>
      <c r="AM106" s="353">
        <f>+Расходы!F56/1000</f>
        <v>0</v>
      </c>
      <c r="AN106" s="54" t="str">
        <f t="shared" si="204"/>
        <v/>
      </c>
      <c r="AO106" s="468" t="str">
        <f t="shared" si="168"/>
        <v/>
      </c>
      <c r="AP106" s="468" t="str">
        <f t="shared" si="169"/>
        <v/>
      </c>
      <c r="AQ106" s="344">
        <f>SUM(AQ107:AQ112)</f>
        <v>0</v>
      </c>
      <c r="AR106" s="54" t="str">
        <f t="shared" si="205"/>
        <v/>
      </c>
      <c r="AS106" s="238">
        <v>0</v>
      </c>
      <c r="AT106" s="54" t="str">
        <f t="shared" si="206"/>
        <v/>
      </c>
      <c r="AU106" s="353">
        <f>+Расходы!G56/1000</f>
        <v>0</v>
      </c>
      <c r="AV106" s="54" t="str">
        <f t="shared" si="207"/>
        <v/>
      </c>
      <c r="AW106" s="468" t="str">
        <f t="shared" si="170"/>
        <v/>
      </c>
      <c r="AX106" s="468" t="str">
        <f t="shared" si="171"/>
        <v/>
      </c>
      <c r="AY106" s="344">
        <f>SUM(AY107:AY112)</f>
        <v>0</v>
      </c>
      <c r="AZ106" s="54" t="str">
        <f t="shared" si="208"/>
        <v/>
      </c>
      <c r="BA106" s="238">
        <v>0</v>
      </c>
      <c r="BB106" s="54" t="str">
        <f t="shared" si="209"/>
        <v/>
      </c>
      <c r="BC106" s="353">
        <f>+Расходы!H56/1000</f>
        <v>0</v>
      </c>
      <c r="BD106" s="54" t="str">
        <f t="shared" si="210"/>
        <v/>
      </c>
      <c r="BE106" s="468" t="str">
        <f t="shared" si="172"/>
        <v/>
      </c>
      <c r="BF106" s="468" t="str">
        <f t="shared" si="173"/>
        <v/>
      </c>
      <c r="BG106" s="344">
        <f>SUM(BG107:BG112)</f>
        <v>0</v>
      </c>
      <c r="BH106" s="54" t="str">
        <f t="shared" si="211"/>
        <v/>
      </c>
      <c r="BI106" s="238">
        <v>0</v>
      </c>
      <c r="BJ106" s="54" t="str">
        <f t="shared" si="212"/>
        <v/>
      </c>
      <c r="BK106" s="353">
        <f>+Расходы!I56/1000</f>
        <v>0</v>
      </c>
      <c r="BL106" s="54" t="str">
        <f t="shared" si="213"/>
        <v/>
      </c>
      <c r="BM106" s="468" t="str">
        <f t="shared" si="174"/>
        <v/>
      </c>
      <c r="BN106" s="468" t="str">
        <f t="shared" si="175"/>
        <v/>
      </c>
      <c r="BO106" s="344">
        <f>SUM(BO107:BO112)</f>
        <v>0</v>
      </c>
      <c r="BP106" s="54" t="str">
        <f t="shared" si="214"/>
        <v/>
      </c>
      <c r="BQ106" s="238">
        <v>0</v>
      </c>
      <c r="BR106" s="54" t="str">
        <f t="shared" si="215"/>
        <v/>
      </c>
      <c r="BS106" s="353">
        <f>+Расходы!J56/1000</f>
        <v>0</v>
      </c>
      <c r="BT106" s="54" t="str">
        <f t="shared" si="216"/>
        <v/>
      </c>
      <c r="BU106" s="468" t="str">
        <f t="shared" si="176"/>
        <v/>
      </c>
      <c r="BV106" s="468" t="str">
        <f t="shared" si="177"/>
        <v/>
      </c>
      <c r="BW106" s="344">
        <f>SUM(BW107:BW112)</f>
        <v>0</v>
      </c>
      <c r="BX106" s="54" t="str">
        <f t="shared" si="217"/>
        <v/>
      </c>
      <c r="BY106" s="238">
        <v>0</v>
      </c>
      <c r="BZ106" s="54" t="str">
        <f t="shared" si="218"/>
        <v/>
      </c>
      <c r="CA106" s="353">
        <f>+Расходы!K56/1000</f>
        <v>0</v>
      </c>
      <c r="CB106" s="54" t="str">
        <f t="shared" si="219"/>
        <v/>
      </c>
      <c r="CC106" s="468" t="str">
        <f t="shared" si="178"/>
        <v/>
      </c>
      <c r="CD106" s="468" t="str">
        <f t="shared" si="179"/>
        <v/>
      </c>
      <c r="CE106" s="344">
        <f>SUM(CE107:CE112)</f>
        <v>0</v>
      </c>
      <c r="CF106" s="54" t="str">
        <f t="shared" si="220"/>
        <v/>
      </c>
      <c r="CG106" s="238">
        <v>0</v>
      </c>
      <c r="CH106" s="54" t="str">
        <f t="shared" si="221"/>
        <v/>
      </c>
      <c r="CI106" s="353">
        <f>+Расходы!L56/1000</f>
        <v>0</v>
      </c>
      <c r="CJ106" s="54" t="str">
        <f t="shared" si="222"/>
        <v/>
      </c>
      <c r="CK106" s="468" t="str">
        <f t="shared" si="180"/>
        <v/>
      </c>
      <c r="CL106" s="468" t="str">
        <f t="shared" si="181"/>
        <v/>
      </c>
      <c r="CM106" s="344">
        <f>SUM(CM107:CM112)</f>
        <v>0</v>
      </c>
      <c r="CN106" s="54" t="str">
        <f t="shared" si="223"/>
        <v/>
      </c>
      <c r="CO106" s="238">
        <v>0</v>
      </c>
      <c r="CP106" s="54" t="str">
        <f t="shared" si="224"/>
        <v/>
      </c>
      <c r="CQ106" s="353">
        <f>+Расходы!M56/1000</f>
        <v>0</v>
      </c>
      <c r="CR106" s="54" t="str">
        <f t="shared" si="225"/>
        <v/>
      </c>
      <c r="CS106" s="468" t="str">
        <f t="shared" si="182"/>
        <v/>
      </c>
      <c r="CT106" s="468" t="str">
        <f t="shared" si="183"/>
        <v/>
      </c>
      <c r="CU106" s="344">
        <f t="shared" si="158"/>
        <v>0</v>
      </c>
      <c r="CV106" s="54" t="str">
        <f t="shared" si="184"/>
        <v/>
      </c>
      <c r="CW106" s="238">
        <f t="shared" si="159"/>
        <v>0</v>
      </c>
      <c r="CX106" s="54">
        <f t="shared" si="185"/>
        <v>0</v>
      </c>
      <c r="CY106" s="353">
        <f t="shared" si="186"/>
        <v>0</v>
      </c>
      <c r="CZ106" s="54">
        <f t="shared" si="187"/>
        <v>0</v>
      </c>
      <c r="DA106" s="468" t="str">
        <f t="shared" si="188"/>
        <v/>
      </c>
      <c r="DB106" s="468" t="str">
        <f t="shared" si="189"/>
        <v/>
      </c>
    </row>
    <row r="107" spans="2:106" s="103" customFormat="1" ht="13.15" customHeight="1" outlineLevel="2">
      <c r="B107" s="61" t="str">
        <f>+Расходы!A57</f>
        <v>Корпоративные мероприятия</v>
      </c>
      <c r="C107" s="238"/>
      <c r="D107" s="54" t="str">
        <f t="shared" si="190"/>
        <v/>
      </c>
      <c r="E107" s="238"/>
      <c r="F107" s="54" t="str">
        <f t="shared" si="191"/>
        <v/>
      </c>
      <c r="G107" s="353">
        <f>+Расходы!B57/1000</f>
        <v>0</v>
      </c>
      <c r="H107" s="54" t="str">
        <f t="shared" si="192"/>
        <v/>
      </c>
      <c r="I107" s="468" t="str">
        <f t="shared" si="160"/>
        <v/>
      </c>
      <c r="J107" s="468" t="str">
        <f t="shared" si="161"/>
        <v/>
      </c>
      <c r="K107" s="238"/>
      <c r="L107" s="54" t="str">
        <f t="shared" si="193"/>
        <v/>
      </c>
      <c r="M107" s="238"/>
      <c r="N107" s="54" t="str">
        <f t="shared" si="194"/>
        <v/>
      </c>
      <c r="O107" s="353">
        <f>+Расходы!C57/1000</f>
        <v>0</v>
      </c>
      <c r="P107" s="54" t="str">
        <f t="shared" si="195"/>
        <v/>
      </c>
      <c r="Q107" s="468" t="str">
        <f t="shared" si="162"/>
        <v/>
      </c>
      <c r="R107" s="468" t="str">
        <f t="shared" si="163"/>
        <v/>
      </c>
      <c r="S107" s="238"/>
      <c r="T107" s="54" t="str">
        <f t="shared" si="196"/>
        <v/>
      </c>
      <c r="U107" s="238">
        <v>0</v>
      </c>
      <c r="V107" s="54" t="str">
        <f t="shared" si="197"/>
        <v/>
      </c>
      <c r="W107" s="353">
        <f>+Расходы!D57/1000</f>
        <v>13.2072</v>
      </c>
      <c r="X107" s="54">
        <f t="shared" si="198"/>
        <v>2.2272213696689657E-3</v>
      </c>
      <c r="Y107" s="468" t="str">
        <f t="shared" si="164"/>
        <v/>
      </c>
      <c r="Z107" s="468" t="str">
        <f t="shared" si="165"/>
        <v/>
      </c>
      <c r="AA107" s="238"/>
      <c r="AB107" s="54" t="str">
        <f t="shared" si="199"/>
        <v/>
      </c>
      <c r="AC107" s="238">
        <v>0</v>
      </c>
      <c r="AD107" s="54" t="str">
        <f t="shared" si="200"/>
        <v/>
      </c>
      <c r="AE107" s="353">
        <f>+Расходы!E57/1000</f>
        <v>0</v>
      </c>
      <c r="AF107" s="54" t="str">
        <f t="shared" si="201"/>
        <v/>
      </c>
      <c r="AG107" s="468" t="str">
        <f t="shared" si="166"/>
        <v/>
      </c>
      <c r="AH107" s="468" t="str">
        <f t="shared" si="167"/>
        <v/>
      </c>
      <c r="AI107" s="238"/>
      <c r="AJ107" s="54" t="str">
        <f t="shared" si="202"/>
        <v/>
      </c>
      <c r="AK107" s="238">
        <v>10</v>
      </c>
      <c r="AL107" s="54">
        <f t="shared" si="203"/>
        <v>7.1571714858288009E-4</v>
      </c>
      <c r="AM107" s="353">
        <f>+Расходы!F57/1000</f>
        <v>0</v>
      </c>
      <c r="AN107" s="54" t="str">
        <f t="shared" si="204"/>
        <v/>
      </c>
      <c r="AO107" s="468">
        <f t="shared" si="168"/>
        <v>-1</v>
      </c>
      <c r="AP107" s="468" t="str">
        <f t="shared" si="169"/>
        <v/>
      </c>
      <c r="AQ107" s="344"/>
      <c r="AR107" s="54" t="str">
        <f t="shared" si="205"/>
        <v/>
      </c>
      <c r="AS107" s="238">
        <v>15</v>
      </c>
      <c r="AT107" s="54">
        <f t="shared" si="206"/>
        <v>9.9469496021220159E-4</v>
      </c>
      <c r="AU107" s="353">
        <f>+Расходы!G57/1000</f>
        <v>0</v>
      </c>
      <c r="AV107" s="54" t="str">
        <f t="shared" si="207"/>
        <v/>
      </c>
      <c r="AW107" s="468">
        <f t="shared" si="170"/>
        <v>-1</v>
      </c>
      <c r="AX107" s="468" t="str">
        <f t="shared" si="171"/>
        <v/>
      </c>
      <c r="AY107" s="344"/>
      <c r="AZ107" s="54" t="str">
        <f t="shared" si="208"/>
        <v/>
      </c>
      <c r="BA107" s="238">
        <v>0</v>
      </c>
      <c r="BB107" s="54" t="str">
        <f t="shared" si="209"/>
        <v/>
      </c>
      <c r="BC107" s="353">
        <f>+Расходы!H57/1000</f>
        <v>0</v>
      </c>
      <c r="BD107" s="54" t="str">
        <f t="shared" si="210"/>
        <v/>
      </c>
      <c r="BE107" s="468" t="str">
        <f t="shared" si="172"/>
        <v/>
      </c>
      <c r="BF107" s="468" t="str">
        <f t="shared" si="173"/>
        <v/>
      </c>
      <c r="BG107" s="344"/>
      <c r="BH107" s="54" t="str">
        <f t="shared" si="211"/>
        <v/>
      </c>
      <c r="BI107" s="238">
        <v>15</v>
      </c>
      <c r="BJ107" s="54">
        <f t="shared" si="212"/>
        <v>9.5739588319770225E-4</v>
      </c>
      <c r="BK107" s="353">
        <f>+Расходы!I57/1000</f>
        <v>0</v>
      </c>
      <c r="BL107" s="54" t="str">
        <f t="shared" si="213"/>
        <v/>
      </c>
      <c r="BM107" s="468">
        <f t="shared" si="174"/>
        <v>-1</v>
      </c>
      <c r="BN107" s="468" t="str">
        <f t="shared" si="175"/>
        <v/>
      </c>
      <c r="BO107" s="344"/>
      <c r="BP107" s="54" t="str">
        <f t="shared" si="214"/>
        <v/>
      </c>
      <c r="BQ107" s="238">
        <v>0</v>
      </c>
      <c r="BR107" s="54" t="str">
        <f t="shared" si="215"/>
        <v/>
      </c>
      <c r="BS107" s="353">
        <f>+Расходы!J57/1000</f>
        <v>0</v>
      </c>
      <c r="BT107" s="54" t="str">
        <f t="shared" si="216"/>
        <v/>
      </c>
      <c r="BU107" s="468" t="str">
        <f t="shared" si="176"/>
        <v/>
      </c>
      <c r="BV107" s="468" t="str">
        <f t="shared" si="177"/>
        <v/>
      </c>
      <c r="BW107" s="344"/>
      <c r="BX107" s="54" t="str">
        <f t="shared" si="217"/>
        <v/>
      </c>
      <c r="BY107" s="238">
        <v>0</v>
      </c>
      <c r="BZ107" s="54" t="str">
        <f t="shared" si="218"/>
        <v/>
      </c>
      <c r="CA107" s="353">
        <f>+Расходы!K57/1000</f>
        <v>0</v>
      </c>
      <c r="CB107" s="54" t="str">
        <f t="shared" si="219"/>
        <v/>
      </c>
      <c r="CC107" s="468" t="str">
        <f t="shared" si="178"/>
        <v/>
      </c>
      <c r="CD107" s="468" t="str">
        <f t="shared" si="179"/>
        <v/>
      </c>
      <c r="CE107" s="344"/>
      <c r="CF107" s="54" t="str">
        <f t="shared" si="220"/>
        <v/>
      </c>
      <c r="CG107" s="238">
        <v>0</v>
      </c>
      <c r="CH107" s="54" t="str">
        <f t="shared" si="221"/>
        <v/>
      </c>
      <c r="CI107" s="353">
        <f>+Расходы!L57/1000</f>
        <v>0</v>
      </c>
      <c r="CJ107" s="54" t="str">
        <f t="shared" si="222"/>
        <v/>
      </c>
      <c r="CK107" s="468" t="str">
        <f t="shared" si="180"/>
        <v/>
      </c>
      <c r="CL107" s="468" t="str">
        <f t="shared" si="181"/>
        <v/>
      </c>
      <c r="CM107" s="344"/>
      <c r="CN107" s="54" t="str">
        <f t="shared" si="223"/>
        <v/>
      </c>
      <c r="CO107" s="238">
        <v>0</v>
      </c>
      <c r="CP107" s="54" t="str">
        <f t="shared" si="224"/>
        <v/>
      </c>
      <c r="CQ107" s="353">
        <f>+Расходы!M57/1000</f>
        <v>0</v>
      </c>
      <c r="CR107" s="54" t="str">
        <f t="shared" si="225"/>
        <v/>
      </c>
      <c r="CS107" s="468" t="str">
        <f t="shared" si="182"/>
        <v/>
      </c>
      <c r="CT107" s="468" t="str">
        <f t="shared" si="183"/>
        <v/>
      </c>
      <c r="CU107" s="344">
        <f t="shared" si="158"/>
        <v>0</v>
      </c>
      <c r="CV107" s="54" t="str">
        <f t="shared" si="184"/>
        <v/>
      </c>
      <c r="CW107" s="238">
        <f t="shared" si="159"/>
        <v>40</v>
      </c>
      <c r="CX107" s="54">
        <f t="shared" si="185"/>
        <v>3.0163643309912669E-4</v>
      </c>
      <c r="CY107" s="353">
        <f t="shared" si="186"/>
        <v>13.2072</v>
      </c>
      <c r="CZ107" s="54">
        <f t="shared" si="187"/>
        <v>2.6622566640625042E-4</v>
      </c>
      <c r="DA107" s="468">
        <f t="shared" si="188"/>
        <v>-0.66981999999999997</v>
      </c>
      <c r="DB107" s="468" t="str">
        <f t="shared" si="189"/>
        <v/>
      </c>
    </row>
    <row r="108" spans="2:106" s="103" customFormat="1" ht="13.15" customHeight="1" outlineLevel="2">
      <c r="B108" s="61" t="str">
        <f>+Расходы!A58</f>
        <v>Обучение персонала</v>
      </c>
      <c r="C108" s="238"/>
      <c r="D108" s="54" t="str">
        <f t="shared" si="190"/>
        <v/>
      </c>
      <c r="E108" s="238"/>
      <c r="F108" s="54" t="str">
        <f t="shared" si="191"/>
        <v/>
      </c>
      <c r="G108" s="353">
        <f>+Расходы!B58/1000</f>
        <v>0</v>
      </c>
      <c r="H108" s="54" t="str">
        <f t="shared" si="192"/>
        <v/>
      </c>
      <c r="I108" s="468" t="str">
        <f t="shared" si="160"/>
        <v/>
      </c>
      <c r="J108" s="468" t="str">
        <f t="shared" si="161"/>
        <v/>
      </c>
      <c r="K108" s="238"/>
      <c r="L108" s="54" t="str">
        <f t="shared" si="193"/>
        <v/>
      </c>
      <c r="M108" s="238"/>
      <c r="N108" s="54" t="str">
        <f t="shared" si="194"/>
        <v/>
      </c>
      <c r="O108" s="353">
        <f>+Расходы!C58/1000</f>
        <v>0</v>
      </c>
      <c r="P108" s="54" t="str">
        <f t="shared" si="195"/>
        <v/>
      </c>
      <c r="Q108" s="468" t="str">
        <f t="shared" si="162"/>
        <v/>
      </c>
      <c r="R108" s="468" t="str">
        <f t="shared" si="163"/>
        <v/>
      </c>
      <c r="S108" s="238"/>
      <c r="T108" s="54" t="str">
        <f t="shared" si="196"/>
        <v/>
      </c>
      <c r="U108" s="238">
        <v>0</v>
      </c>
      <c r="V108" s="54" t="str">
        <f t="shared" si="197"/>
        <v/>
      </c>
      <c r="W108" s="353">
        <f>+Расходы!D58/1000</f>
        <v>12.01923</v>
      </c>
      <c r="X108" s="54">
        <f t="shared" si="198"/>
        <v>2.0268857822222973E-3</v>
      </c>
      <c r="Y108" s="468" t="str">
        <f t="shared" si="164"/>
        <v/>
      </c>
      <c r="Z108" s="468" t="str">
        <f t="shared" si="165"/>
        <v/>
      </c>
      <c r="AA108" s="238"/>
      <c r="AB108" s="54" t="str">
        <f t="shared" si="199"/>
        <v/>
      </c>
      <c r="AC108" s="238">
        <v>5</v>
      </c>
      <c r="AD108" s="54">
        <f t="shared" si="200"/>
        <v>3.6571522194525391E-4</v>
      </c>
      <c r="AE108" s="353">
        <f>+Расходы!E58/1000</f>
        <v>2.9778200000000004</v>
      </c>
      <c r="AF108" s="54">
        <f t="shared" si="201"/>
        <v>2.1714989936703324E-4</v>
      </c>
      <c r="AG108" s="468">
        <f t="shared" si="166"/>
        <v>-0.40443599999999991</v>
      </c>
      <c r="AH108" s="468" t="str">
        <f t="shared" si="167"/>
        <v/>
      </c>
      <c r="AI108" s="238"/>
      <c r="AJ108" s="54" t="str">
        <f t="shared" si="202"/>
        <v/>
      </c>
      <c r="AK108" s="238">
        <v>10</v>
      </c>
      <c r="AL108" s="54">
        <f t="shared" si="203"/>
        <v>7.1571714858288009E-4</v>
      </c>
      <c r="AM108" s="353">
        <f>+Расходы!F58/1000</f>
        <v>18.064250000000001</v>
      </c>
      <c r="AN108" s="54">
        <f t="shared" si="204"/>
        <v>1.1496672413650456E-3</v>
      </c>
      <c r="AO108" s="468">
        <f t="shared" si="168"/>
        <v>0.80642500000000017</v>
      </c>
      <c r="AP108" s="468" t="str">
        <f t="shared" si="169"/>
        <v/>
      </c>
      <c r="AQ108" s="344"/>
      <c r="AR108" s="54" t="str">
        <f t="shared" si="205"/>
        <v/>
      </c>
      <c r="AS108" s="238">
        <v>0</v>
      </c>
      <c r="AT108" s="54" t="str">
        <f t="shared" si="206"/>
        <v/>
      </c>
      <c r="AU108" s="353">
        <f>+Расходы!G58/1000</f>
        <v>5.77698</v>
      </c>
      <c r="AV108" s="54">
        <f t="shared" si="207"/>
        <v>4.0530679417071815E-4</v>
      </c>
      <c r="AW108" s="468" t="str">
        <f t="shared" si="170"/>
        <v/>
      </c>
      <c r="AX108" s="468" t="str">
        <f t="shared" si="171"/>
        <v/>
      </c>
      <c r="AY108" s="344"/>
      <c r="AZ108" s="54" t="str">
        <f t="shared" si="208"/>
        <v/>
      </c>
      <c r="BA108" s="238">
        <v>0</v>
      </c>
      <c r="BB108" s="54" t="str">
        <f t="shared" si="209"/>
        <v/>
      </c>
      <c r="BC108" s="353">
        <f>+Расходы!H58/1000</f>
        <v>0</v>
      </c>
      <c r="BD108" s="54" t="str">
        <f t="shared" si="210"/>
        <v/>
      </c>
      <c r="BE108" s="468" t="str">
        <f t="shared" si="172"/>
        <v/>
      </c>
      <c r="BF108" s="468" t="str">
        <f t="shared" si="173"/>
        <v/>
      </c>
      <c r="BG108" s="344"/>
      <c r="BH108" s="54" t="str">
        <f t="shared" si="211"/>
        <v/>
      </c>
      <c r="BI108" s="238">
        <v>0</v>
      </c>
      <c r="BJ108" s="54" t="str">
        <f t="shared" si="212"/>
        <v/>
      </c>
      <c r="BK108" s="353">
        <f>+Расходы!I58/1000</f>
        <v>0</v>
      </c>
      <c r="BL108" s="54" t="str">
        <f t="shared" si="213"/>
        <v/>
      </c>
      <c r="BM108" s="468" t="str">
        <f t="shared" si="174"/>
        <v/>
      </c>
      <c r="BN108" s="468" t="str">
        <f t="shared" si="175"/>
        <v/>
      </c>
      <c r="BO108" s="344"/>
      <c r="BP108" s="54" t="str">
        <f t="shared" si="214"/>
        <v/>
      </c>
      <c r="BQ108" s="238">
        <v>0</v>
      </c>
      <c r="BR108" s="54" t="str">
        <f t="shared" si="215"/>
        <v/>
      </c>
      <c r="BS108" s="353">
        <f>+Расходы!J58/1000</f>
        <v>0</v>
      </c>
      <c r="BT108" s="54" t="str">
        <f t="shared" si="216"/>
        <v/>
      </c>
      <c r="BU108" s="468" t="str">
        <f t="shared" si="176"/>
        <v/>
      </c>
      <c r="BV108" s="468" t="str">
        <f t="shared" si="177"/>
        <v/>
      </c>
      <c r="BW108" s="344"/>
      <c r="BX108" s="54" t="str">
        <f t="shared" si="217"/>
        <v/>
      </c>
      <c r="BY108" s="238">
        <v>0</v>
      </c>
      <c r="BZ108" s="54" t="str">
        <f t="shared" si="218"/>
        <v/>
      </c>
      <c r="CA108" s="353">
        <f>+Расходы!K58/1000</f>
        <v>0</v>
      </c>
      <c r="CB108" s="54" t="str">
        <f t="shared" si="219"/>
        <v/>
      </c>
      <c r="CC108" s="468" t="str">
        <f t="shared" si="178"/>
        <v/>
      </c>
      <c r="CD108" s="468" t="str">
        <f t="shared" si="179"/>
        <v/>
      </c>
      <c r="CE108" s="344"/>
      <c r="CF108" s="54" t="str">
        <f t="shared" si="220"/>
        <v/>
      </c>
      <c r="CG108" s="238">
        <v>0</v>
      </c>
      <c r="CH108" s="54" t="str">
        <f t="shared" si="221"/>
        <v/>
      </c>
      <c r="CI108" s="353">
        <f>+Расходы!L58/1000</f>
        <v>0</v>
      </c>
      <c r="CJ108" s="54" t="str">
        <f t="shared" si="222"/>
        <v/>
      </c>
      <c r="CK108" s="468" t="str">
        <f t="shared" si="180"/>
        <v/>
      </c>
      <c r="CL108" s="468" t="str">
        <f t="shared" si="181"/>
        <v/>
      </c>
      <c r="CM108" s="344"/>
      <c r="CN108" s="54" t="str">
        <f t="shared" si="223"/>
        <v/>
      </c>
      <c r="CO108" s="238">
        <v>0</v>
      </c>
      <c r="CP108" s="54" t="str">
        <f t="shared" si="224"/>
        <v/>
      </c>
      <c r="CQ108" s="353">
        <f>+Расходы!M58/1000</f>
        <v>0</v>
      </c>
      <c r="CR108" s="54" t="str">
        <f t="shared" si="225"/>
        <v/>
      </c>
      <c r="CS108" s="468" t="str">
        <f t="shared" si="182"/>
        <v/>
      </c>
      <c r="CT108" s="468" t="str">
        <f t="shared" si="183"/>
        <v/>
      </c>
      <c r="CU108" s="344">
        <f t="shared" si="158"/>
        <v>0</v>
      </c>
      <c r="CV108" s="54" t="str">
        <f t="shared" si="184"/>
        <v/>
      </c>
      <c r="CW108" s="238">
        <f t="shared" si="159"/>
        <v>15</v>
      </c>
      <c r="CX108" s="54">
        <f t="shared" si="185"/>
        <v>1.131136624121725E-4</v>
      </c>
      <c r="CY108" s="353">
        <f t="shared" si="186"/>
        <v>38.838280000000005</v>
      </c>
      <c r="CZ108" s="54">
        <f t="shared" si="187"/>
        <v>7.8288713543162426E-4</v>
      </c>
      <c r="DA108" s="468">
        <f t="shared" si="188"/>
        <v>1.589218666666667</v>
      </c>
      <c r="DB108" s="468" t="str">
        <f t="shared" si="189"/>
        <v/>
      </c>
    </row>
    <row r="109" spans="2:106" s="103" customFormat="1" ht="13.15" customHeight="1" outlineLevel="2">
      <c r="B109" s="61" t="str">
        <f>+Расходы!A59</f>
        <v>Подбор персонала</v>
      </c>
      <c r="C109" s="238"/>
      <c r="D109" s="54" t="str">
        <f t="shared" si="190"/>
        <v/>
      </c>
      <c r="E109" s="238"/>
      <c r="F109" s="54" t="str">
        <f t="shared" si="191"/>
        <v/>
      </c>
      <c r="G109" s="353">
        <f>+Расходы!B59/1000</f>
        <v>0</v>
      </c>
      <c r="H109" s="54" t="str">
        <f t="shared" si="192"/>
        <v/>
      </c>
      <c r="I109" s="468" t="str">
        <f t="shared" si="160"/>
        <v/>
      </c>
      <c r="J109" s="468" t="str">
        <f t="shared" si="161"/>
        <v/>
      </c>
      <c r="K109" s="238"/>
      <c r="L109" s="54" t="str">
        <f t="shared" si="193"/>
        <v/>
      </c>
      <c r="M109" s="238"/>
      <c r="N109" s="54" t="str">
        <f t="shared" si="194"/>
        <v/>
      </c>
      <c r="O109" s="353">
        <f>+Расходы!C59/1000</f>
        <v>0</v>
      </c>
      <c r="P109" s="54" t="str">
        <f t="shared" si="195"/>
        <v/>
      </c>
      <c r="Q109" s="468" t="str">
        <f t="shared" si="162"/>
        <v/>
      </c>
      <c r="R109" s="468" t="str">
        <f t="shared" si="163"/>
        <v/>
      </c>
      <c r="S109" s="238"/>
      <c r="T109" s="54" t="str">
        <f t="shared" si="196"/>
        <v/>
      </c>
      <c r="U109" s="238">
        <v>0</v>
      </c>
      <c r="V109" s="54" t="str">
        <f t="shared" si="197"/>
        <v/>
      </c>
      <c r="W109" s="353">
        <f>+Расходы!D59/1000</f>
        <v>1</v>
      </c>
      <c r="X109" s="54">
        <f t="shared" si="198"/>
        <v>1.6863690787365725E-4</v>
      </c>
      <c r="Y109" s="468" t="str">
        <f t="shared" si="164"/>
        <v/>
      </c>
      <c r="Z109" s="468" t="str">
        <f t="shared" si="165"/>
        <v/>
      </c>
      <c r="AA109" s="238"/>
      <c r="AB109" s="54" t="str">
        <f t="shared" si="199"/>
        <v/>
      </c>
      <c r="AC109" s="238">
        <v>35</v>
      </c>
      <c r="AD109" s="54">
        <f t="shared" si="200"/>
        <v>2.5600065536167771E-3</v>
      </c>
      <c r="AE109" s="353">
        <f>+Расходы!E59/1000</f>
        <v>0.10478</v>
      </c>
      <c r="AF109" s="54">
        <f t="shared" si="201"/>
        <v>7.6408132310474576E-6</v>
      </c>
      <c r="AG109" s="468">
        <f t="shared" si="166"/>
        <v>-0.99700628571428573</v>
      </c>
      <c r="AH109" s="468" t="str">
        <f t="shared" si="167"/>
        <v/>
      </c>
      <c r="AI109" s="238"/>
      <c r="AJ109" s="54" t="str">
        <f t="shared" si="202"/>
        <v/>
      </c>
      <c r="AK109" s="238">
        <v>35</v>
      </c>
      <c r="AL109" s="54">
        <f t="shared" si="203"/>
        <v>2.5050100200400801E-3</v>
      </c>
      <c r="AM109" s="353">
        <f>+Расходы!F59/1000</f>
        <v>5.0149999999999997</v>
      </c>
      <c r="AN109" s="54">
        <f t="shared" si="204"/>
        <v>3.1917080506778319E-4</v>
      </c>
      <c r="AO109" s="468">
        <f t="shared" si="168"/>
        <v>-0.85671428571428576</v>
      </c>
      <c r="AP109" s="468" t="str">
        <f t="shared" si="169"/>
        <v/>
      </c>
      <c r="AQ109" s="344"/>
      <c r="AR109" s="54" t="str">
        <f t="shared" si="205"/>
        <v/>
      </c>
      <c r="AS109" s="238">
        <v>0</v>
      </c>
      <c r="AT109" s="54" t="str">
        <f t="shared" si="206"/>
        <v/>
      </c>
      <c r="AU109" s="353">
        <f>+Расходы!G59/1000</f>
        <v>1.2268299999999999</v>
      </c>
      <c r="AV109" s="54">
        <f t="shared" si="207"/>
        <v>8.6073092566091986E-5</v>
      </c>
      <c r="AW109" s="468" t="str">
        <f t="shared" si="170"/>
        <v/>
      </c>
      <c r="AX109" s="468" t="str">
        <f t="shared" si="171"/>
        <v/>
      </c>
      <c r="AY109" s="344"/>
      <c r="AZ109" s="54" t="str">
        <f t="shared" si="208"/>
        <v/>
      </c>
      <c r="BA109" s="238">
        <v>0</v>
      </c>
      <c r="BB109" s="54" t="str">
        <f t="shared" si="209"/>
        <v/>
      </c>
      <c r="BC109" s="353">
        <f>+Расходы!H59/1000</f>
        <v>0</v>
      </c>
      <c r="BD109" s="54" t="str">
        <f t="shared" si="210"/>
        <v/>
      </c>
      <c r="BE109" s="468" t="str">
        <f t="shared" si="172"/>
        <v/>
      </c>
      <c r="BF109" s="468" t="str">
        <f t="shared" si="173"/>
        <v/>
      </c>
      <c r="BG109" s="344"/>
      <c r="BH109" s="54" t="str">
        <f t="shared" si="211"/>
        <v/>
      </c>
      <c r="BI109" s="238">
        <v>0</v>
      </c>
      <c r="BJ109" s="54" t="str">
        <f t="shared" si="212"/>
        <v/>
      </c>
      <c r="BK109" s="353">
        <f>+Расходы!I59/1000</f>
        <v>0</v>
      </c>
      <c r="BL109" s="54" t="str">
        <f t="shared" si="213"/>
        <v/>
      </c>
      <c r="BM109" s="468" t="str">
        <f t="shared" si="174"/>
        <v/>
      </c>
      <c r="BN109" s="468" t="str">
        <f t="shared" si="175"/>
        <v/>
      </c>
      <c r="BO109" s="344"/>
      <c r="BP109" s="54" t="str">
        <f t="shared" si="214"/>
        <v/>
      </c>
      <c r="BQ109" s="238">
        <v>0</v>
      </c>
      <c r="BR109" s="54" t="str">
        <f t="shared" si="215"/>
        <v/>
      </c>
      <c r="BS109" s="353">
        <f>+Расходы!J59/1000</f>
        <v>0</v>
      </c>
      <c r="BT109" s="54" t="str">
        <f t="shared" si="216"/>
        <v/>
      </c>
      <c r="BU109" s="468" t="str">
        <f t="shared" si="176"/>
        <v/>
      </c>
      <c r="BV109" s="468" t="str">
        <f t="shared" si="177"/>
        <v/>
      </c>
      <c r="BW109" s="344"/>
      <c r="BX109" s="54" t="str">
        <f t="shared" si="217"/>
        <v/>
      </c>
      <c r="BY109" s="238">
        <v>0</v>
      </c>
      <c r="BZ109" s="54" t="str">
        <f t="shared" si="218"/>
        <v/>
      </c>
      <c r="CA109" s="353">
        <f>+Расходы!K59/1000</f>
        <v>0</v>
      </c>
      <c r="CB109" s="54" t="str">
        <f t="shared" si="219"/>
        <v/>
      </c>
      <c r="CC109" s="468" t="str">
        <f t="shared" si="178"/>
        <v/>
      </c>
      <c r="CD109" s="468" t="str">
        <f t="shared" si="179"/>
        <v/>
      </c>
      <c r="CE109" s="344"/>
      <c r="CF109" s="54" t="str">
        <f t="shared" si="220"/>
        <v/>
      </c>
      <c r="CG109" s="238">
        <v>0</v>
      </c>
      <c r="CH109" s="54" t="str">
        <f t="shared" si="221"/>
        <v/>
      </c>
      <c r="CI109" s="353">
        <f>+Расходы!L59/1000</f>
        <v>0</v>
      </c>
      <c r="CJ109" s="54" t="str">
        <f t="shared" si="222"/>
        <v/>
      </c>
      <c r="CK109" s="468" t="str">
        <f t="shared" si="180"/>
        <v/>
      </c>
      <c r="CL109" s="468" t="str">
        <f t="shared" si="181"/>
        <v/>
      </c>
      <c r="CM109" s="344"/>
      <c r="CN109" s="54" t="str">
        <f t="shared" si="223"/>
        <v/>
      </c>
      <c r="CO109" s="238">
        <v>0</v>
      </c>
      <c r="CP109" s="54" t="str">
        <f t="shared" si="224"/>
        <v/>
      </c>
      <c r="CQ109" s="353">
        <f>+Расходы!M59/1000</f>
        <v>0</v>
      </c>
      <c r="CR109" s="54" t="str">
        <f t="shared" si="225"/>
        <v/>
      </c>
      <c r="CS109" s="468" t="str">
        <f t="shared" si="182"/>
        <v/>
      </c>
      <c r="CT109" s="468" t="str">
        <f t="shared" si="183"/>
        <v/>
      </c>
      <c r="CU109" s="344">
        <f t="shared" si="158"/>
        <v>0</v>
      </c>
      <c r="CV109" s="54" t="str">
        <f t="shared" si="184"/>
        <v/>
      </c>
      <c r="CW109" s="238">
        <f t="shared" si="159"/>
        <v>70</v>
      </c>
      <c r="CX109" s="54">
        <f t="shared" si="185"/>
        <v>5.2786375792347165E-4</v>
      </c>
      <c r="CY109" s="353">
        <f t="shared" si="186"/>
        <v>7.3466099999999992</v>
      </c>
      <c r="CZ109" s="54">
        <f t="shared" si="187"/>
        <v>1.4809014348815972E-4</v>
      </c>
      <c r="DA109" s="468">
        <f t="shared" si="188"/>
        <v>-0.89504842857142863</v>
      </c>
      <c r="DB109" s="468" t="str">
        <f t="shared" si="189"/>
        <v/>
      </c>
    </row>
    <row r="110" spans="2:106" s="103" customFormat="1" ht="13.15" customHeight="1" outlineLevel="2">
      <c r="B110" s="61" t="str">
        <f>+Расходы!A60</f>
        <v>Развитие насмотренности</v>
      </c>
      <c r="C110" s="238"/>
      <c r="D110" s="54" t="str">
        <f t="shared" si="190"/>
        <v/>
      </c>
      <c r="E110" s="238"/>
      <c r="F110" s="54" t="str">
        <f t="shared" si="191"/>
        <v/>
      </c>
      <c r="G110" s="353">
        <f>+Расходы!B60/1000</f>
        <v>0</v>
      </c>
      <c r="H110" s="54" t="str">
        <f t="shared" si="192"/>
        <v/>
      </c>
      <c r="I110" s="468" t="str">
        <f t="shared" si="160"/>
        <v/>
      </c>
      <c r="J110" s="468" t="str">
        <f t="shared" si="161"/>
        <v/>
      </c>
      <c r="K110" s="238"/>
      <c r="L110" s="54" t="str">
        <f t="shared" si="193"/>
        <v/>
      </c>
      <c r="M110" s="238"/>
      <c r="N110" s="54" t="str">
        <f t="shared" si="194"/>
        <v/>
      </c>
      <c r="O110" s="353">
        <f>+Расходы!C60/1000</f>
        <v>0</v>
      </c>
      <c r="P110" s="54" t="str">
        <f t="shared" si="195"/>
        <v/>
      </c>
      <c r="Q110" s="468" t="str">
        <f t="shared" si="162"/>
        <v/>
      </c>
      <c r="R110" s="468" t="str">
        <f t="shared" si="163"/>
        <v/>
      </c>
      <c r="S110" s="238"/>
      <c r="T110" s="54" t="str">
        <f t="shared" si="196"/>
        <v/>
      </c>
      <c r="U110" s="238">
        <v>0</v>
      </c>
      <c r="V110" s="54" t="str">
        <f t="shared" si="197"/>
        <v/>
      </c>
      <c r="W110" s="353">
        <f>+Расходы!D60/1000</f>
        <v>0</v>
      </c>
      <c r="X110" s="54" t="str">
        <f t="shared" si="198"/>
        <v/>
      </c>
      <c r="Y110" s="468" t="str">
        <f t="shared" si="164"/>
        <v/>
      </c>
      <c r="Z110" s="468" t="str">
        <f t="shared" si="165"/>
        <v/>
      </c>
      <c r="AA110" s="238"/>
      <c r="AB110" s="54" t="str">
        <f t="shared" si="199"/>
        <v/>
      </c>
      <c r="AC110" s="238">
        <v>5</v>
      </c>
      <c r="AD110" s="54">
        <f t="shared" si="200"/>
        <v>3.6571522194525391E-4</v>
      </c>
      <c r="AE110" s="353">
        <f>+Расходы!E60/1000</f>
        <v>0</v>
      </c>
      <c r="AF110" s="54" t="str">
        <f t="shared" si="201"/>
        <v/>
      </c>
      <c r="AG110" s="468">
        <f t="shared" si="166"/>
        <v>-1</v>
      </c>
      <c r="AH110" s="468" t="str">
        <f t="shared" si="167"/>
        <v/>
      </c>
      <c r="AI110" s="238"/>
      <c r="AJ110" s="54" t="str">
        <f t="shared" si="202"/>
        <v/>
      </c>
      <c r="AK110" s="238">
        <v>5</v>
      </c>
      <c r="AL110" s="54">
        <f t="shared" si="203"/>
        <v>3.5785857429144005E-4</v>
      </c>
      <c r="AM110" s="353">
        <f>+Расходы!F60/1000</f>
        <v>0</v>
      </c>
      <c r="AN110" s="54" t="str">
        <f t="shared" si="204"/>
        <v/>
      </c>
      <c r="AO110" s="468">
        <f t="shared" si="168"/>
        <v>-1</v>
      </c>
      <c r="AP110" s="468" t="str">
        <f t="shared" si="169"/>
        <v/>
      </c>
      <c r="AQ110" s="344"/>
      <c r="AR110" s="54" t="str">
        <f t="shared" si="205"/>
        <v/>
      </c>
      <c r="AS110" s="238">
        <v>5</v>
      </c>
      <c r="AT110" s="54">
        <f t="shared" si="206"/>
        <v>3.3156498673740051E-4</v>
      </c>
      <c r="AU110" s="353">
        <f>+Расходы!G60/1000</f>
        <v>2.6680000000000001</v>
      </c>
      <c r="AV110" s="54">
        <f t="shared" si="207"/>
        <v>1.8718405236775549E-4</v>
      </c>
      <c r="AW110" s="468">
        <f t="shared" si="170"/>
        <v>-0.46639999999999993</v>
      </c>
      <c r="AX110" s="468" t="str">
        <f t="shared" si="171"/>
        <v/>
      </c>
      <c r="AY110" s="344"/>
      <c r="AZ110" s="54" t="str">
        <f t="shared" si="208"/>
        <v/>
      </c>
      <c r="BA110" s="238">
        <v>5</v>
      </c>
      <c r="BB110" s="54">
        <f t="shared" si="209"/>
        <v>3.1913196106590075E-4</v>
      </c>
      <c r="BC110" s="353">
        <f>+Расходы!H60/1000</f>
        <v>0</v>
      </c>
      <c r="BD110" s="54" t="str">
        <f t="shared" si="210"/>
        <v/>
      </c>
      <c r="BE110" s="468">
        <f t="shared" si="172"/>
        <v>-1</v>
      </c>
      <c r="BF110" s="468" t="str">
        <f t="shared" si="173"/>
        <v/>
      </c>
      <c r="BG110" s="344"/>
      <c r="BH110" s="54" t="str">
        <f t="shared" si="211"/>
        <v/>
      </c>
      <c r="BI110" s="238">
        <v>5</v>
      </c>
      <c r="BJ110" s="54">
        <f t="shared" si="212"/>
        <v>3.1913196106590075E-4</v>
      </c>
      <c r="BK110" s="353">
        <f>+Расходы!I60/1000</f>
        <v>0</v>
      </c>
      <c r="BL110" s="54" t="str">
        <f t="shared" si="213"/>
        <v/>
      </c>
      <c r="BM110" s="468">
        <f t="shared" si="174"/>
        <v>-1</v>
      </c>
      <c r="BN110" s="468" t="str">
        <f t="shared" si="175"/>
        <v/>
      </c>
      <c r="BO110" s="344"/>
      <c r="BP110" s="54" t="str">
        <f t="shared" si="214"/>
        <v/>
      </c>
      <c r="BQ110" s="238">
        <v>5</v>
      </c>
      <c r="BR110" s="54">
        <f t="shared" si="215"/>
        <v>3.453038674033149E-4</v>
      </c>
      <c r="BS110" s="353">
        <f>+Расходы!J60/1000</f>
        <v>0</v>
      </c>
      <c r="BT110" s="54" t="str">
        <f t="shared" si="216"/>
        <v/>
      </c>
      <c r="BU110" s="468">
        <f t="shared" si="176"/>
        <v>-1</v>
      </c>
      <c r="BV110" s="468" t="str">
        <f t="shared" si="177"/>
        <v/>
      </c>
      <c r="BW110" s="344"/>
      <c r="BX110" s="54" t="str">
        <f t="shared" si="217"/>
        <v/>
      </c>
      <c r="BY110" s="238">
        <v>0</v>
      </c>
      <c r="BZ110" s="54" t="str">
        <f t="shared" si="218"/>
        <v/>
      </c>
      <c r="CA110" s="353">
        <f>+Расходы!K60/1000</f>
        <v>0</v>
      </c>
      <c r="CB110" s="54" t="str">
        <f t="shared" si="219"/>
        <v/>
      </c>
      <c r="CC110" s="468" t="str">
        <f t="shared" si="178"/>
        <v/>
      </c>
      <c r="CD110" s="468" t="str">
        <f t="shared" si="179"/>
        <v/>
      </c>
      <c r="CE110" s="344"/>
      <c r="CF110" s="54" t="str">
        <f t="shared" si="220"/>
        <v/>
      </c>
      <c r="CG110" s="238">
        <v>0</v>
      </c>
      <c r="CH110" s="54" t="str">
        <f t="shared" si="221"/>
        <v/>
      </c>
      <c r="CI110" s="353">
        <f>+Расходы!L60/1000</f>
        <v>0</v>
      </c>
      <c r="CJ110" s="54" t="str">
        <f t="shared" si="222"/>
        <v/>
      </c>
      <c r="CK110" s="468" t="str">
        <f t="shared" si="180"/>
        <v/>
      </c>
      <c r="CL110" s="468" t="str">
        <f t="shared" si="181"/>
        <v/>
      </c>
      <c r="CM110" s="344"/>
      <c r="CN110" s="54" t="str">
        <f t="shared" si="223"/>
        <v/>
      </c>
      <c r="CO110" s="238">
        <v>0</v>
      </c>
      <c r="CP110" s="54" t="str">
        <f t="shared" si="224"/>
        <v/>
      </c>
      <c r="CQ110" s="353">
        <f>+Расходы!M60/1000</f>
        <v>0</v>
      </c>
      <c r="CR110" s="54" t="str">
        <f t="shared" si="225"/>
        <v/>
      </c>
      <c r="CS110" s="468" t="str">
        <f t="shared" si="182"/>
        <v/>
      </c>
      <c r="CT110" s="468" t="str">
        <f t="shared" si="183"/>
        <v/>
      </c>
      <c r="CU110" s="344">
        <f t="shared" si="158"/>
        <v>0</v>
      </c>
      <c r="CV110" s="54" t="str">
        <f t="shared" si="184"/>
        <v/>
      </c>
      <c r="CW110" s="238">
        <f t="shared" si="159"/>
        <v>30</v>
      </c>
      <c r="CX110" s="54">
        <f t="shared" si="185"/>
        <v>2.2622732482434501E-4</v>
      </c>
      <c r="CY110" s="353">
        <f t="shared" si="186"/>
        <v>2.6680000000000001</v>
      </c>
      <c r="CZ110" s="54">
        <f t="shared" si="187"/>
        <v>5.3780519562956274E-5</v>
      </c>
      <c r="DA110" s="468">
        <f t="shared" si="188"/>
        <v>-0.91106666666666669</v>
      </c>
      <c r="DB110" s="468" t="str">
        <f t="shared" si="189"/>
        <v/>
      </c>
    </row>
    <row r="111" spans="2:106" s="103" customFormat="1" ht="13.9" customHeight="1" outlineLevel="1">
      <c r="B111" s="58" t="str">
        <f>+Расходы!A61</f>
        <v>Праздники</v>
      </c>
      <c r="C111" s="480">
        <f>SUM(C112:C116)</f>
        <v>0</v>
      </c>
      <c r="D111" s="51" t="str">
        <f t="shared" si="190"/>
        <v/>
      </c>
      <c r="E111" s="480">
        <f>SUM(E112:E116)</f>
        <v>0</v>
      </c>
      <c r="F111" s="51" t="str">
        <f t="shared" si="191"/>
        <v/>
      </c>
      <c r="G111" s="354">
        <f>+Расходы!B61/1000</f>
        <v>0</v>
      </c>
      <c r="H111" s="51" t="str">
        <f t="shared" si="192"/>
        <v/>
      </c>
      <c r="I111" s="478" t="str">
        <f t="shared" si="160"/>
        <v/>
      </c>
      <c r="J111" s="478" t="str">
        <f t="shared" si="161"/>
        <v/>
      </c>
      <c r="K111" s="480">
        <f>SUM(K112:K116)</f>
        <v>0</v>
      </c>
      <c r="L111" s="51" t="str">
        <f t="shared" si="193"/>
        <v/>
      </c>
      <c r="M111" s="480">
        <f>SUM(M112:M116)</f>
        <v>0</v>
      </c>
      <c r="N111" s="51" t="str">
        <f t="shared" si="194"/>
        <v/>
      </c>
      <c r="O111" s="354">
        <f>+Расходы!C61/1000</f>
        <v>0</v>
      </c>
      <c r="P111" s="51" t="str">
        <f t="shared" si="195"/>
        <v/>
      </c>
      <c r="Q111" s="478" t="str">
        <f t="shared" si="162"/>
        <v/>
      </c>
      <c r="R111" s="478" t="str">
        <f t="shared" si="163"/>
        <v/>
      </c>
      <c r="S111" s="480">
        <f>SUM(S112:S116)</f>
        <v>0</v>
      </c>
      <c r="T111" s="51" t="str">
        <f t="shared" si="196"/>
        <v/>
      </c>
      <c r="U111" s="480">
        <f>SUM(U112:U116)</f>
        <v>0</v>
      </c>
      <c r="V111" s="51" t="str">
        <f t="shared" si="197"/>
        <v/>
      </c>
      <c r="W111" s="354">
        <f>+Расходы!D61/1000</f>
        <v>0</v>
      </c>
      <c r="X111" s="51" t="str">
        <f t="shared" si="198"/>
        <v/>
      </c>
      <c r="Y111" s="478" t="str">
        <f t="shared" si="164"/>
        <v/>
      </c>
      <c r="Z111" s="478" t="str">
        <f t="shared" si="165"/>
        <v/>
      </c>
      <c r="AA111" s="480">
        <f>SUM(AA112:AA116)</f>
        <v>0</v>
      </c>
      <c r="AB111" s="51" t="str">
        <f t="shared" si="199"/>
        <v/>
      </c>
      <c r="AC111" s="480">
        <f>SUM(AC112:AC116)</f>
        <v>0</v>
      </c>
      <c r="AD111" s="51" t="str">
        <f t="shared" si="200"/>
        <v/>
      </c>
      <c r="AE111" s="354">
        <f>+Расходы!E61/1000</f>
        <v>0</v>
      </c>
      <c r="AF111" s="51" t="str">
        <f t="shared" si="201"/>
        <v/>
      </c>
      <c r="AG111" s="478" t="str">
        <f t="shared" si="166"/>
        <v/>
      </c>
      <c r="AH111" s="478" t="str">
        <f t="shared" si="167"/>
        <v/>
      </c>
      <c r="AI111" s="480">
        <f>SUM(AI112:AI116)</f>
        <v>0</v>
      </c>
      <c r="AJ111" s="51" t="str">
        <f t="shared" si="202"/>
        <v/>
      </c>
      <c r="AK111" s="480">
        <f>SUM(AK112:AK116)</f>
        <v>0</v>
      </c>
      <c r="AL111" s="51" t="str">
        <f t="shared" si="203"/>
        <v/>
      </c>
      <c r="AM111" s="354">
        <f>+Расходы!F61/1000</f>
        <v>0</v>
      </c>
      <c r="AN111" s="51" t="str">
        <f t="shared" si="204"/>
        <v/>
      </c>
      <c r="AO111" s="478" t="str">
        <f t="shared" si="168"/>
        <v/>
      </c>
      <c r="AP111" s="478" t="str">
        <f t="shared" si="169"/>
        <v/>
      </c>
      <c r="AQ111" s="481">
        <f>SUM(AQ112:AQ116)</f>
        <v>0</v>
      </c>
      <c r="AR111" s="51" t="str">
        <f t="shared" si="205"/>
        <v/>
      </c>
      <c r="AS111" s="480">
        <f>SUM(AS112:AS116)</f>
        <v>0</v>
      </c>
      <c r="AT111" s="51" t="str">
        <f t="shared" si="206"/>
        <v/>
      </c>
      <c r="AU111" s="354">
        <f>+Расходы!G61/1000</f>
        <v>0</v>
      </c>
      <c r="AV111" s="51" t="str">
        <f t="shared" si="207"/>
        <v/>
      </c>
      <c r="AW111" s="478" t="str">
        <f t="shared" si="170"/>
        <v/>
      </c>
      <c r="AX111" s="478" t="str">
        <f t="shared" si="171"/>
        <v/>
      </c>
      <c r="AY111" s="481">
        <f>SUM(AY112:AY116)</f>
        <v>0</v>
      </c>
      <c r="AZ111" s="51" t="str">
        <f t="shared" si="208"/>
        <v/>
      </c>
      <c r="BA111" s="480">
        <f>SUM(BA112:BA116)</f>
        <v>0</v>
      </c>
      <c r="BB111" s="51" t="str">
        <f t="shared" si="209"/>
        <v/>
      </c>
      <c r="BC111" s="354">
        <f>+Расходы!H61/1000</f>
        <v>0</v>
      </c>
      <c r="BD111" s="51" t="str">
        <f t="shared" si="210"/>
        <v/>
      </c>
      <c r="BE111" s="478" t="str">
        <f t="shared" si="172"/>
        <v/>
      </c>
      <c r="BF111" s="478" t="str">
        <f t="shared" si="173"/>
        <v/>
      </c>
      <c r="BG111" s="481">
        <f>SUM(BG112:BG116)</f>
        <v>0</v>
      </c>
      <c r="BH111" s="51" t="str">
        <f t="shared" si="211"/>
        <v/>
      </c>
      <c r="BI111" s="480">
        <f>SUM(BI112:BI116)</f>
        <v>0</v>
      </c>
      <c r="BJ111" s="51" t="str">
        <f t="shared" si="212"/>
        <v/>
      </c>
      <c r="BK111" s="354">
        <f>+Расходы!I61/1000</f>
        <v>0</v>
      </c>
      <c r="BL111" s="51" t="str">
        <f t="shared" si="213"/>
        <v/>
      </c>
      <c r="BM111" s="478" t="str">
        <f t="shared" si="174"/>
        <v/>
      </c>
      <c r="BN111" s="478" t="str">
        <f t="shared" si="175"/>
        <v/>
      </c>
      <c r="BO111" s="481">
        <f>SUM(BO112:BO116)</f>
        <v>0</v>
      </c>
      <c r="BP111" s="51" t="str">
        <f t="shared" si="214"/>
        <v/>
      </c>
      <c r="BQ111" s="480">
        <f>SUM(BQ112:BQ116)</f>
        <v>0</v>
      </c>
      <c r="BR111" s="51" t="str">
        <f t="shared" si="215"/>
        <v/>
      </c>
      <c r="BS111" s="354">
        <f>+Расходы!J61/1000</f>
        <v>0</v>
      </c>
      <c r="BT111" s="51" t="str">
        <f t="shared" si="216"/>
        <v/>
      </c>
      <c r="BU111" s="478" t="str">
        <f t="shared" si="176"/>
        <v/>
      </c>
      <c r="BV111" s="478" t="str">
        <f t="shared" si="177"/>
        <v/>
      </c>
      <c r="BW111" s="481">
        <f>SUM(BW112:BW116)</f>
        <v>0</v>
      </c>
      <c r="BX111" s="51" t="str">
        <f t="shared" si="217"/>
        <v/>
      </c>
      <c r="BY111" s="480">
        <f>SUM(BY112:BY116)</f>
        <v>0</v>
      </c>
      <c r="BZ111" s="51" t="str">
        <f t="shared" si="218"/>
        <v/>
      </c>
      <c r="CA111" s="354">
        <f>+Расходы!K61/1000</f>
        <v>0</v>
      </c>
      <c r="CB111" s="51" t="str">
        <f t="shared" si="219"/>
        <v/>
      </c>
      <c r="CC111" s="478" t="str">
        <f t="shared" si="178"/>
        <v/>
      </c>
      <c r="CD111" s="478" t="str">
        <f t="shared" si="179"/>
        <v/>
      </c>
      <c r="CE111" s="481">
        <f>SUM(CE112:CE116)</f>
        <v>0</v>
      </c>
      <c r="CF111" s="51" t="str">
        <f t="shared" si="220"/>
        <v/>
      </c>
      <c r="CG111" s="480">
        <f>SUM(CG112:CG116)</f>
        <v>0</v>
      </c>
      <c r="CH111" s="51" t="str">
        <f t="shared" si="221"/>
        <v/>
      </c>
      <c r="CI111" s="354">
        <f>+Расходы!L61/1000</f>
        <v>0</v>
      </c>
      <c r="CJ111" s="51" t="str">
        <f t="shared" si="222"/>
        <v/>
      </c>
      <c r="CK111" s="478" t="str">
        <f t="shared" si="180"/>
        <v/>
      </c>
      <c r="CL111" s="478" t="str">
        <f t="shared" si="181"/>
        <v/>
      </c>
      <c r="CM111" s="481">
        <f>SUM(CM112:CM116)</f>
        <v>0</v>
      </c>
      <c r="CN111" s="51" t="str">
        <f t="shared" si="223"/>
        <v/>
      </c>
      <c r="CO111" s="480">
        <f>SUM(CO112:CO116)</f>
        <v>0</v>
      </c>
      <c r="CP111" s="51" t="str">
        <f t="shared" si="224"/>
        <v/>
      </c>
      <c r="CQ111" s="354">
        <f>+Расходы!M61/1000</f>
        <v>0</v>
      </c>
      <c r="CR111" s="51" t="str">
        <f t="shared" si="225"/>
        <v/>
      </c>
      <c r="CS111" s="478" t="str">
        <f t="shared" si="182"/>
        <v/>
      </c>
      <c r="CT111" s="478" t="str">
        <f t="shared" si="183"/>
        <v/>
      </c>
      <c r="CU111" s="481">
        <f t="shared" si="158"/>
        <v>0</v>
      </c>
      <c r="CV111" s="51" t="str">
        <f t="shared" si="184"/>
        <v/>
      </c>
      <c r="CW111" s="480">
        <f t="shared" si="159"/>
        <v>0</v>
      </c>
      <c r="CX111" s="51">
        <f t="shared" si="185"/>
        <v>0</v>
      </c>
      <c r="CY111" s="354">
        <f t="shared" si="186"/>
        <v>0</v>
      </c>
      <c r="CZ111" s="51">
        <f t="shared" si="187"/>
        <v>0</v>
      </c>
      <c r="DA111" s="478" t="str">
        <f t="shared" si="188"/>
        <v/>
      </c>
      <c r="DB111" s="478" t="str">
        <f t="shared" si="189"/>
        <v/>
      </c>
    </row>
    <row r="112" spans="2:106" s="103" customFormat="1" ht="13.15" customHeight="1" outlineLevel="2">
      <c r="B112" s="61" t="str">
        <f>+Расходы!A62</f>
        <v>23 февраля</v>
      </c>
      <c r="C112" s="238"/>
      <c r="D112" s="54" t="str">
        <f t="shared" si="190"/>
        <v/>
      </c>
      <c r="E112" s="238"/>
      <c r="F112" s="54" t="str">
        <f t="shared" si="191"/>
        <v/>
      </c>
      <c r="G112" s="353">
        <f>+Расходы!B62/1000</f>
        <v>0</v>
      </c>
      <c r="H112" s="54" t="str">
        <f t="shared" si="192"/>
        <v/>
      </c>
      <c r="I112" s="468" t="str">
        <f t="shared" si="160"/>
        <v/>
      </c>
      <c r="J112" s="468" t="str">
        <f t="shared" si="161"/>
        <v/>
      </c>
      <c r="K112" s="238"/>
      <c r="L112" s="54" t="str">
        <f t="shared" si="193"/>
        <v/>
      </c>
      <c r="M112" s="238"/>
      <c r="N112" s="54" t="str">
        <f t="shared" si="194"/>
        <v/>
      </c>
      <c r="O112" s="353">
        <f>+Расходы!C62/1000</f>
        <v>0</v>
      </c>
      <c r="P112" s="54" t="str">
        <f t="shared" si="195"/>
        <v/>
      </c>
      <c r="Q112" s="468" t="str">
        <f t="shared" si="162"/>
        <v/>
      </c>
      <c r="R112" s="468" t="str">
        <f t="shared" si="163"/>
        <v/>
      </c>
      <c r="S112" s="238"/>
      <c r="T112" s="54" t="str">
        <f t="shared" si="196"/>
        <v/>
      </c>
      <c r="U112" s="238">
        <v>0</v>
      </c>
      <c r="V112" s="54" t="str">
        <f t="shared" si="197"/>
        <v/>
      </c>
      <c r="W112" s="353">
        <f>+Расходы!D62/1000</f>
        <v>0</v>
      </c>
      <c r="X112" s="54" t="str">
        <f t="shared" si="198"/>
        <v/>
      </c>
      <c r="Y112" s="468" t="str">
        <f t="shared" si="164"/>
        <v/>
      </c>
      <c r="Z112" s="468" t="str">
        <f t="shared" si="165"/>
        <v/>
      </c>
      <c r="AA112" s="238"/>
      <c r="AB112" s="54" t="str">
        <f t="shared" si="199"/>
        <v/>
      </c>
      <c r="AC112" s="238">
        <v>0</v>
      </c>
      <c r="AD112" s="54" t="str">
        <f t="shared" si="200"/>
        <v/>
      </c>
      <c r="AE112" s="353">
        <f>+Расходы!E62/1000</f>
        <v>0</v>
      </c>
      <c r="AF112" s="54" t="str">
        <f t="shared" si="201"/>
        <v/>
      </c>
      <c r="AG112" s="468" t="str">
        <f t="shared" si="166"/>
        <v/>
      </c>
      <c r="AH112" s="468" t="str">
        <f t="shared" si="167"/>
        <v/>
      </c>
      <c r="AI112" s="238"/>
      <c r="AJ112" s="54" t="str">
        <f t="shared" si="202"/>
        <v/>
      </c>
      <c r="AK112" s="238">
        <v>0</v>
      </c>
      <c r="AL112" s="54" t="str">
        <f t="shared" si="203"/>
        <v/>
      </c>
      <c r="AM112" s="353">
        <f>+Расходы!F62/1000</f>
        <v>0</v>
      </c>
      <c r="AN112" s="54" t="str">
        <f t="shared" si="204"/>
        <v/>
      </c>
      <c r="AO112" s="468" t="str">
        <f t="shared" si="168"/>
        <v/>
      </c>
      <c r="AP112" s="468" t="str">
        <f t="shared" si="169"/>
        <v/>
      </c>
      <c r="AQ112" s="344"/>
      <c r="AR112" s="54" t="str">
        <f t="shared" si="205"/>
        <v/>
      </c>
      <c r="AS112" s="238">
        <v>0</v>
      </c>
      <c r="AT112" s="54" t="str">
        <f t="shared" si="206"/>
        <v/>
      </c>
      <c r="AU112" s="353">
        <f>+Расходы!G62/1000</f>
        <v>0</v>
      </c>
      <c r="AV112" s="54" t="str">
        <f t="shared" si="207"/>
        <v/>
      </c>
      <c r="AW112" s="468" t="str">
        <f t="shared" si="170"/>
        <v/>
      </c>
      <c r="AX112" s="468" t="str">
        <f t="shared" si="171"/>
        <v/>
      </c>
      <c r="AY112" s="344"/>
      <c r="AZ112" s="54" t="str">
        <f t="shared" si="208"/>
        <v/>
      </c>
      <c r="BA112" s="238">
        <v>0</v>
      </c>
      <c r="BB112" s="54" t="str">
        <f t="shared" si="209"/>
        <v/>
      </c>
      <c r="BC112" s="353">
        <f>+Расходы!H62/1000</f>
        <v>0</v>
      </c>
      <c r="BD112" s="54" t="str">
        <f t="shared" si="210"/>
        <v/>
      </c>
      <c r="BE112" s="468" t="str">
        <f t="shared" si="172"/>
        <v/>
      </c>
      <c r="BF112" s="468" t="str">
        <f t="shared" si="173"/>
        <v/>
      </c>
      <c r="BG112" s="344"/>
      <c r="BH112" s="54" t="str">
        <f t="shared" si="211"/>
        <v/>
      </c>
      <c r="BI112" s="238">
        <v>0</v>
      </c>
      <c r="BJ112" s="54" t="str">
        <f t="shared" si="212"/>
        <v/>
      </c>
      <c r="BK112" s="353">
        <f>+Расходы!I62/1000</f>
        <v>0</v>
      </c>
      <c r="BL112" s="54" t="str">
        <f t="shared" si="213"/>
        <v/>
      </c>
      <c r="BM112" s="468" t="str">
        <f t="shared" si="174"/>
        <v/>
      </c>
      <c r="BN112" s="468" t="str">
        <f t="shared" si="175"/>
        <v/>
      </c>
      <c r="BO112" s="344"/>
      <c r="BP112" s="54" t="str">
        <f t="shared" si="214"/>
        <v/>
      </c>
      <c r="BQ112" s="238">
        <v>0</v>
      </c>
      <c r="BR112" s="54" t="str">
        <f t="shared" si="215"/>
        <v/>
      </c>
      <c r="BS112" s="353">
        <f>+Расходы!J62/1000</f>
        <v>0</v>
      </c>
      <c r="BT112" s="54" t="str">
        <f t="shared" si="216"/>
        <v/>
      </c>
      <c r="BU112" s="468" t="str">
        <f t="shared" si="176"/>
        <v/>
      </c>
      <c r="BV112" s="468" t="str">
        <f t="shared" si="177"/>
        <v/>
      </c>
      <c r="BW112" s="344"/>
      <c r="BX112" s="54" t="str">
        <f t="shared" si="217"/>
        <v/>
      </c>
      <c r="BY112" s="238">
        <v>0</v>
      </c>
      <c r="BZ112" s="54" t="str">
        <f t="shared" si="218"/>
        <v/>
      </c>
      <c r="CA112" s="353">
        <f>+Расходы!K62/1000</f>
        <v>0</v>
      </c>
      <c r="CB112" s="54" t="str">
        <f t="shared" si="219"/>
        <v/>
      </c>
      <c r="CC112" s="468" t="str">
        <f t="shared" si="178"/>
        <v/>
      </c>
      <c r="CD112" s="468" t="str">
        <f t="shared" si="179"/>
        <v/>
      </c>
      <c r="CE112" s="344"/>
      <c r="CF112" s="54" t="str">
        <f t="shared" si="220"/>
        <v/>
      </c>
      <c r="CG112" s="238">
        <v>0</v>
      </c>
      <c r="CH112" s="54" t="str">
        <f t="shared" si="221"/>
        <v/>
      </c>
      <c r="CI112" s="353">
        <f>+Расходы!L62/1000</f>
        <v>0</v>
      </c>
      <c r="CJ112" s="54" t="str">
        <f t="shared" si="222"/>
        <v/>
      </c>
      <c r="CK112" s="468" t="str">
        <f t="shared" si="180"/>
        <v/>
      </c>
      <c r="CL112" s="468" t="str">
        <f t="shared" si="181"/>
        <v/>
      </c>
      <c r="CM112" s="344"/>
      <c r="CN112" s="54" t="str">
        <f t="shared" si="223"/>
        <v/>
      </c>
      <c r="CO112" s="238">
        <v>0</v>
      </c>
      <c r="CP112" s="54" t="str">
        <f t="shared" si="224"/>
        <v/>
      </c>
      <c r="CQ112" s="353">
        <f>+Расходы!M62/1000</f>
        <v>0</v>
      </c>
      <c r="CR112" s="54" t="str">
        <f t="shared" si="225"/>
        <v/>
      </c>
      <c r="CS112" s="468" t="str">
        <f t="shared" si="182"/>
        <v/>
      </c>
      <c r="CT112" s="468" t="str">
        <f t="shared" si="183"/>
        <v/>
      </c>
      <c r="CU112" s="344">
        <f t="shared" si="158"/>
        <v>0</v>
      </c>
      <c r="CV112" s="54" t="str">
        <f t="shared" si="184"/>
        <v/>
      </c>
      <c r="CW112" s="238">
        <f t="shared" si="159"/>
        <v>0</v>
      </c>
      <c r="CX112" s="54">
        <f t="shared" si="185"/>
        <v>0</v>
      </c>
      <c r="CY112" s="353">
        <f t="shared" si="186"/>
        <v>0</v>
      </c>
      <c r="CZ112" s="54">
        <f t="shared" si="187"/>
        <v>0</v>
      </c>
      <c r="DA112" s="468" t="str">
        <f t="shared" si="188"/>
        <v/>
      </c>
      <c r="DB112" s="468" t="str">
        <f t="shared" si="189"/>
        <v/>
      </c>
    </row>
    <row r="113" spans="2:106" s="103" customFormat="1" ht="13.15" customHeight="1" outlineLevel="2">
      <c r="B113" s="61" t="str">
        <f>+Расходы!A63</f>
        <v>8 марта</v>
      </c>
      <c r="C113" s="238"/>
      <c r="D113" s="54" t="str">
        <f t="shared" si="190"/>
        <v/>
      </c>
      <c r="E113" s="238"/>
      <c r="F113" s="54" t="str">
        <f t="shared" si="191"/>
        <v/>
      </c>
      <c r="G113" s="353">
        <f>+Расходы!B63/1000</f>
        <v>0</v>
      </c>
      <c r="H113" s="54" t="str">
        <f t="shared" si="192"/>
        <v/>
      </c>
      <c r="I113" s="468" t="str">
        <f t="shared" si="160"/>
        <v/>
      </c>
      <c r="J113" s="468" t="str">
        <f t="shared" si="161"/>
        <v/>
      </c>
      <c r="K113" s="238"/>
      <c r="L113" s="54" t="str">
        <f t="shared" si="193"/>
        <v/>
      </c>
      <c r="M113" s="238"/>
      <c r="N113" s="54" t="str">
        <f t="shared" si="194"/>
        <v/>
      </c>
      <c r="O113" s="353">
        <f>+Расходы!C63/1000</f>
        <v>0</v>
      </c>
      <c r="P113" s="54" t="str">
        <f t="shared" si="195"/>
        <v/>
      </c>
      <c r="Q113" s="468" t="str">
        <f t="shared" si="162"/>
        <v/>
      </c>
      <c r="R113" s="468" t="str">
        <f t="shared" si="163"/>
        <v/>
      </c>
      <c r="S113" s="238"/>
      <c r="T113" s="54" t="str">
        <f t="shared" si="196"/>
        <v/>
      </c>
      <c r="U113" s="238">
        <v>0</v>
      </c>
      <c r="V113" s="54" t="str">
        <f t="shared" si="197"/>
        <v/>
      </c>
      <c r="W113" s="353">
        <f>+Расходы!D63/1000</f>
        <v>0</v>
      </c>
      <c r="X113" s="54" t="str">
        <f t="shared" si="198"/>
        <v/>
      </c>
      <c r="Y113" s="468" t="str">
        <f t="shared" si="164"/>
        <v/>
      </c>
      <c r="Z113" s="468" t="str">
        <f t="shared" si="165"/>
        <v/>
      </c>
      <c r="AA113" s="238"/>
      <c r="AB113" s="54" t="str">
        <f t="shared" si="199"/>
        <v/>
      </c>
      <c r="AC113" s="238">
        <v>0</v>
      </c>
      <c r="AD113" s="54" t="str">
        <f t="shared" si="200"/>
        <v/>
      </c>
      <c r="AE113" s="353">
        <f>+Расходы!E63/1000</f>
        <v>0</v>
      </c>
      <c r="AF113" s="54" t="str">
        <f t="shared" si="201"/>
        <v/>
      </c>
      <c r="AG113" s="468" t="str">
        <f t="shared" si="166"/>
        <v/>
      </c>
      <c r="AH113" s="468" t="str">
        <f t="shared" si="167"/>
        <v/>
      </c>
      <c r="AI113" s="238"/>
      <c r="AJ113" s="54" t="str">
        <f t="shared" si="202"/>
        <v/>
      </c>
      <c r="AK113" s="238">
        <v>0</v>
      </c>
      <c r="AL113" s="54" t="str">
        <f t="shared" si="203"/>
        <v/>
      </c>
      <c r="AM113" s="353">
        <f>+Расходы!F63/1000</f>
        <v>0</v>
      </c>
      <c r="AN113" s="54" t="str">
        <f t="shared" si="204"/>
        <v/>
      </c>
      <c r="AO113" s="468" t="str">
        <f t="shared" si="168"/>
        <v/>
      </c>
      <c r="AP113" s="468" t="str">
        <f t="shared" si="169"/>
        <v/>
      </c>
      <c r="AQ113" s="344">
        <f>SUM(AQ114:AQ118)</f>
        <v>0</v>
      </c>
      <c r="AR113" s="54" t="str">
        <f t="shared" si="205"/>
        <v/>
      </c>
      <c r="AS113" s="238">
        <v>0</v>
      </c>
      <c r="AT113" s="54" t="str">
        <f t="shared" si="206"/>
        <v/>
      </c>
      <c r="AU113" s="353">
        <f>+Расходы!G63/1000</f>
        <v>0</v>
      </c>
      <c r="AV113" s="54" t="str">
        <f t="shared" si="207"/>
        <v/>
      </c>
      <c r="AW113" s="468" t="str">
        <f t="shared" si="170"/>
        <v/>
      </c>
      <c r="AX113" s="468" t="str">
        <f t="shared" si="171"/>
        <v/>
      </c>
      <c r="AY113" s="344">
        <f>SUM(AY114:AY118)</f>
        <v>0</v>
      </c>
      <c r="AZ113" s="54" t="str">
        <f t="shared" si="208"/>
        <v/>
      </c>
      <c r="BA113" s="238">
        <v>0</v>
      </c>
      <c r="BB113" s="54" t="str">
        <f t="shared" si="209"/>
        <v/>
      </c>
      <c r="BC113" s="353">
        <f>+Расходы!H63/1000</f>
        <v>0</v>
      </c>
      <c r="BD113" s="54" t="str">
        <f t="shared" si="210"/>
        <v/>
      </c>
      <c r="BE113" s="468" t="str">
        <f t="shared" si="172"/>
        <v/>
      </c>
      <c r="BF113" s="468" t="str">
        <f t="shared" si="173"/>
        <v/>
      </c>
      <c r="BG113" s="344">
        <f>SUM(BG114:BG118)</f>
        <v>0</v>
      </c>
      <c r="BH113" s="54" t="str">
        <f t="shared" si="211"/>
        <v/>
      </c>
      <c r="BI113" s="238">
        <v>0</v>
      </c>
      <c r="BJ113" s="54" t="str">
        <f t="shared" si="212"/>
        <v/>
      </c>
      <c r="BK113" s="353">
        <f>+Расходы!I63/1000</f>
        <v>0</v>
      </c>
      <c r="BL113" s="54" t="str">
        <f t="shared" si="213"/>
        <v/>
      </c>
      <c r="BM113" s="468" t="str">
        <f t="shared" si="174"/>
        <v/>
      </c>
      <c r="BN113" s="468" t="str">
        <f t="shared" si="175"/>
        <v/>
      </c>
      <c r="BO113" s="344">
        <f>SUM(BO114:BO118)</f>
        <v>0</v>
      </c>
      <c r="BP113" s="54" t="str">
        <f t="shared" si="214"/>
        <v/>
      </c>
      <c r="BQ113" s="238">
        <v>0</v>
      </c>
      <c r="BR113" s="54" t="str">
        <f t="shared" si="215"/>
        <v/>
      </c>
      <c r="BS113" s="353">
        <f>+Расходы!J63/1000</f>
        <v>0</v>
      </c>
      <c r="BT113" s="54" t="str">
        <f t="shared" si="216"/>
        <v/>
      </c>
      <c r="BU113" s="468" t="str">
        <f t="shared" si="176"/>
        <v/>
      </c>
      <c r="BV113" s="468" t="str">
        <f t="shared" si="177"/>
        <v/>
      </c>
      <c r="BW113" s="344">
        <f>SUM(BW114:BW118)</f>
        <v>0</v>
      </c>
      <c r="BX113" s="54" t="str">
        <f t="shared" si="217"/>
        <v/>
      </c>
      <c r="BY113" s="238">
        <v>0</v>
      </c>
      <c r="BZ113" s="54" t="str">
        <f t="shared" si="218"/>
        <v/>
      </c>
      <c r="CA113" s="353">
        <f>+Расходы!K63/1000</f>
        <v>0</v>
      </c>
      <c r="CB113" s="54" t="str">
        <f t="shared" si="219"/>
        <v/>
      </c>
      <c r="CC113" s="468" t="str">
        <f t="shared" si="178"/>
        <v/>
      </c>
      <c r="CD113" s="468" t="str">
        <f t="shared" si="179"/>
        <v/>
      </c>
      <c r="CE113" s="344">
        <f>SUM(CE114:CE118)</f>
        <v>0</v>
      </c>
      <c r="CF113" s="54" t="str">
        <f t="shared" si="220"/>
        <v/>
      </c>
      <c r="CG113" s="238">
        <v>0</v>
      </c>
      <c r="CH113" s="54" t="str">
        <f t="shared" si="221"/>
        <v/>
      </c>
      <c r="CI113" s="353">
        <f>+Расходы!L63/1000</f>
        <v>0</v>
      </c>
      <c r="CJ113" s="54" t="str">
        <f t="shared" si="222"/>
        <v/>
      </c>
      <c r="CK113" s="468" t="str">
        <f t="shared" si="180"/>
        <v/>
      </c>
      <c r="CL113" s="468" t="str">
        <f t="shared" si="181"/>
        <v/>
      </c>
      <c r="CM113" s="344">
        <f>SUM(CM114:CM118)</f>
        <v>0</v>
      </c>
      <c r="CN113" s="54" t="str">
        <f t="shared" si="223"/>
        <v/>
      </c>
      <c r="CO113" s="238">
        <v>0</v>
      </c>
      <c r="CP113" s="54" t="str">
        <f t="shared" si="224"/>
        <v/>
      </c>
      <c r="CQ113" s="353">
        <f>+Расходы!M63/1000</f>
        <v>0</v>
      </c>
      <c r="CR113" s="54" t="str">
        <f t="shared" si="225"/>
        <v/>
      </c>
      <c r="CS113" s="468" t="str">
        <f t="shared" si="182"/>
        <v/>
      </c>
      <c r="CT113" s="468" t="str">
        <f t="shared" si="183"/>
        <v/>
      </c>
      <c r="CU113" s="344">
        <f t="shared" si="158"/>
        <v>0</v>
      </c>
      <c r="CV113" s="54" t="str">
        <f t="shared" si="184"/>
        <v/>
      </c>
      <c r="CW113" s="238">
        <f t="shared" si="159"/>
        <v>0</v>
      </c>
      <c r="CX113" s="54">
        <f t="shared" si="185"/>
        <v>0</v>
      </c>
      <c r="CY113" s="353">
        <f t="shared" si="186"/>
        <v>0</v>
      </c>
      <c r="CZ113" s="54">
        <f t="shared" si="187"/>
        <v>0</v>
      </c>
      <c r="DA113" s="468" t="str">
        <f t="shared" si="188"/>
        <v/>
      </c>
      <c r="DB113" s="468" t="str">
        <f t="shared" si="189"/>
        <v/>
      </c>
    </row>
    <row r="114" spans="2:106" s="103" customFormat="1" ht="13.15" customHeight="1" outlineLevel="2">
      <c r="B114" s="61" t="str">
        <f>+Расходы!A64</f>
        <v>День рождения Беллини</v>
      </c>
      <c r="C114" s="238"/>
      <c r="D114" s="54" t="str">
        <f t="shared" si="190"/>
        <v/>
      </c>
      <c r="E114" s="238"/>
      <c r="F114" s="54" t="str">
        <f t="shared" si="191"/>
        <v/>
      </c>
      <c r="G114" s="353">
        <f>+Расходы!B64/1000</f>
        <v>0</v>
      </c>
      <c r="H114" s="54" t="str">
        <f t="shared" si="192"/>
        <v/>
      </c>
      <c r="I114" s="468" t="str">
        <f t="shared" si="160"/>
        <v/>
      </c>
      <c r="J114" s="468" t="str">
        <f t="shared" si="161"/>
        <v/>
      </c>
      <c r="K114" s="238"/>
      <c r="L114" s="54" t="str">
        <f t="shared" si="193"/>
        <v/>
      </c>
      <c r="M114" s="238"/>
      <c r="N114" s="54" t="str">
        <f t="shared" si="194"/>
        <v/>
      </c>
      <c r="O114" s="353">
        <f>+Расходы!C64/1000</f>
        <v>0</v>
      </c>
      <c r="P114" s="54" t="str">
        <f t="shared" si="195"/>
        <v/>
      </c>
      <c r="Q114" s="468" t="str">
        <f t="shared" si="162"/>
        <v/>
      </c>
      <c r="R114" s="468" t="str">
        <f t="shared" si="163"/>
        <v/>
      </c>
      <c r="S114" s="238"/>
      <c r="T114" s="54" t="str">
        <f t="shared" si="196"/>
        <v/>
      </c>
      <c r="U114" s="238">
        <v>0</v>
      </c>
      <c r="V114" s="54" t="str">
        <f t="shared" si="197"/>
        <v/>
      </c>
      <c r="W114" s="353">
        <f>+Расходы!D64/1000</f>
        <v>0</v>
      </c>
      <c r="X114" s="54" t="str">
        <f t="shared" si="198"/>
        <v/>
      </c>
      <c r="Y114" s="468" t="str">
        <f t="shared" si="164"/>
        <v/>
      </c>
      <c r="Z114" s="468" t="str">
        <f t="shared" si="165"/>
        <v/>
      </c>
      <c r="AA114" s="238"/>
      <c r="AB114" s="54" t="str">
        <f t="shared" si="199"/>
        <v/>
      </c>
      <c r="AC114" s="238">
        <v>0</v>
      </c>
      <c r="AD114" s="54" t="str">
        <f t="shared" si="200"/>
        <v/>
      </c>
      <c r="AE114" s="353">
        <f>+Расходы!E64/1000</f>
        <v>0</v>
      </c>
      <c r="AF114" s="54" t="str">
        <f t="shared" si="201"/>
        <v/>
      </c>
      <c r="AG114" s="468" t="str">
        <f t="shared" si="166"/>
        <v/>
      </c>
      <c r="AH114" s="468" t="str">
        <f t="shared" si="167"/>
        <v/>
      </c>
      <c r="AI114" s="238"/>
      <c r="AJ114" s="54" t="str">
        <f t="shared" si="202"/>
        <v/>
      </c>
      <c r="AK114" s="238">
        <v>0</v>
      </c>
      <c r="AL114" s="54" t="str">
        <f t="shared" si="203"/>
        <v/>
      </c>
      <c r="AM114" s="353">
        <f>+Расходы!F64/1000</f>
        <v>0</v>
      </c>
      <c r="AN114" s="54" t="str">
        <f t="shared" si="204"/>
        <v/>
      </c>
      <c r="AO114" s="468" t="str">
        <f t="shared" si="168"/>
        <v/>
      </c>
      <c r="AP114" s="468" t="str">
        <f t="shared" si="169"/>
        <v/>
      </c>
      <c r="AQ114" s="344"/>
      <c r="AR114" s="54" t="str">
        <f t="shared" si="205"/>
        <v/>
      </c>
      <c r="AS114" s="238">
        <v>0</v>
      </c>
      <c r="AT114" s="54" t="str">
        <f t="shared" si="206"/>
        <v/>
      </c>
      <c r="AU114" s="353">
        <f>+Расходы!G64/1000</f>
        <v>0</v>
      </c>
      <c r="AV114" s="54" t="str">
        <f t="shared" si="207"/>
        <v/>
      </c>
      <c r="AW114" s="468" t="str">
        <f t="shared" si="170"/>
        <v/>
      </c>
      <c r="AX114" s="468" t="str">
        <f t="shared" si="171"/>
        <v/>
      </c>
      <c r="AY114" s="344"/>
      <c r="AZ114" s="54" t="str">
        <f t="shared" si="208"/>
        <v/>
      </c>
      <c r="BA114" s="238">
        <v>0</v>
      </c>
      <c r="BB114" s="54" t="str">
        <f t="shared" si="209"/>
        <v/>
      </c>
      <c r="BC114" s="353">
        <f>+Расходы!H64/1000</f>
        <v>0</v>
      </c>
      <c r="BD114" s="54" t="str">
        <f t="shared" si="210"/>
        <v/>
      </c>
      <c r="BE114" s="468" t="str">
        <f t="shared" si="172"/>
        <v/>
      </c>
      <c r="BF114" s="468" t="str">
        <f t="shared" si="173"/>
        <v/>
      </c>
      <c r="BG114" s="344"/>
      <c r="BH114" s="54" t="str">
        <f t="shared" si="211"/>
        <v/>
      </c>
      <c r="BI114" s="238">
        <v>0</v>
      </c>
      <c r="BJ114" s="54" t="str">
        <f t="shared" si="212"/>
        <v/>
      </c>
      <c r="BK114" s="353">
        <f>+Расходы!I64/1000</f>
        <v>0</v>
      </c>
      <c r="BL114" s="54" t="str">
        <f t="shared" si="213"/>
        <v/>
      </c>
      <c r="BM114" s="468" t="str">
        <f t="shared" si="174"/>
        <v/>
      </c>
      <c r="BN114" s="468" t="str">
        <f t="shared" si="175"/>
        <v/>
      </c>
      <c r="BO114" s="344"/>
      <c r="BP114" s="54" t="str">
        <f t="shared" si="214"/>
        <v/>
      </c>
      <c r="BQ114" s="238">
        <v>0</v>
      </c>
      <c r="BR114" s="54" t="str">
        <f t="shared" si="215"/>
        <v/>
      </c>
      <c r="BS114" s="353">
        <f>+Расходы!J64/1000</f>
        <v>0</v>
      </c>
      <c r="BT114" s="54" t="str">
        <f t="shared" si="216"/>
        <v/>
      </c>
      <c r="BU114" s="468" t="str">
        <f t="shared" si="176"/>
        <v/>
      </c>
      <c r="BV114" s="468" t="str">
        <f t="shared" si="177"/>
        <v/>
      </c>
      <c r="BW114" s="344"/>
      <c r="BX114" s="54" t="str">
        <f t="shared" si="217"/>
        <v/>
      </c>
      <c r="BY114" s="238">
        <v>0</v>
      </c>
      <c r="BZ114" s="54" t="str">
        <f t="shared" si="218"/>
        <v/>
      </c>
      <c r="CA114" s="353">
        <f>+Расходы!K64/1000</f>
        <v>0</v>
      </c>
      <c r="CB114" s="54" t="str">
        <f t="shared" si="219"/>
        <v/>
      </c>
      <c r="CC114" s="468" t="str">
        <f t="shared" si="178"/>
        <v/>
      </c>
      <c r="CD114" s="468" t="str">
        <f t="shared" si="179"/>
        <v/>
      </c>
      <c r="CE114" s="344"/>
      <c r="CF114" s="54" t="str">
        <f t="shared" si="220"/>
        <v/>
      </c>
      <c r="CG114" s="238">
        <v>0</v>
      </c>
      <c r="CH114" s="54" t="str">
        <f t="shared" si="221"/>
        <v/>
      </c>
      <c r="CI114" s="353">
        <f>+Расходы!L64/1000</f>
        <v>0</v>
      </c>
      <c r="CJ114" s="54" t="str">
        <f t="shared" si="222"/>
        <v/>
      </c>
      <c r="CK114" s="468" t="str">
        <f t="shared" si="180"/>
        <v/>
      </c>
      <c r="CL114" s="468" t="str">
        <f t="shared" si="181"/>
        <v/>
      </c>
      <c r="CM114" s="344"/>
      <c r="CN114" s="54" t="str">
        <f t="shared" si="223"/>
        <v/>
      </c>
      <c r="CO114" s="238">
        <v>0</v>
      </c>
      <c r="CP114" s="54" t="str">
        <f t="shared" si="224"/>
        <v/>
      </c>
      <c r="CQ114" s="353">
        <f>+Расходы!M64/1000</f>
        <v>0</v>
      </c>
      <c r="CR114" s="54" t="str">
        <f t="shared" si="225"/>
        <v/>
      </c>
      <c r="CS114" s="468" t="str">
        <f t="shared" si="182"/>
        <v/>
      </c>
      <c r="CT114" s="468" t="str">
        <f t="shared" si="183"/>
        <v/>
      </c>
      <c r="CU114" s="344">
        <f t="shared" si="158"/>
        <v>0</v>
      </c>
      <c r="CV114" s="54" t="str">
        <f t="shared" si="184"/>
        <v/>
      </c>
      <c r="CW114" s="238">
        <f t="shared" si="159"/>
        <v>0</v>
      </c>
      <c r="CX114" s="54">
        <f t="shared" si="185"/>
        <v>0</v>
      </c>
      <c r="CY114" s="353">
        <f t="shared" si="186"/>
        <v>0</v>
      </c>
      <c r="CZ114" s="54">
        <f t="shared" si="187"/>
        <v>0</v>
      </c>
      <c r="DA114" s="468" t="str">
        <f t="shared" si="188"/>
        <v/>
      </c>
      <c r="DB114" s="468" t="str">
        <f t="shared" si="189"/>
        <v/>
      </c>
    </row>
    <row r="115" spans="2:106" s="103" customFormat="1" ht="13.15" customHeight="1" outlineLevel="2">
      <c r="B115" s="61" t="str">
        <f>+Расходы!A65</f>
        <v>Елка БГ</v>
      </c>
      <c r="C115" s="238"/>
      <c r="D115" s="54" t="str">
        <f t="shared" si="190"/>
        <v/>
      </c>
      <c r="E115" s="238"/>
      <c r="F115" s="54" t="str">
        <f t="shared" si="191"/>
        <v/>
      </c>
      <c r="G115" s="353">
        <f>+Расходы!B65/1000</f>
        <v>0</v>
      </c>
      <c r="H115" s="54" t="str">
        <f t="shared" si="192"/>
        <v/>
      </c>
      <c r="I115" s="468" t="str">
        <f t="shared" ref="I115:I146" si="226">IF(IFERROR(G115/E115-1,"")=0,"",IFERROR(+G115/E115-1,""))</f>
        <v/>
      </c>
      <c r="J115" s="468" t="str">
        <f t="shared" ref="J115:J146" si="227">IF(IFERROR(G115/C115-1,"")=0,"",IFERROR(+G115/C115-1,""))</f>
        <v/>
      </c>
      <c r="K115" s="238"/>
      <c r="L115" s="54" t="str">
        <f t="shared" si="193"/>
        <v/>
      </c>
      <c r="M115" s="238"/>
      <c r="N115" s="54" t="str">
        <f t="shared" si="194"/>
        <v/>
      </c>
      <c r="O115" s="353">
        <f>+Расходы!C65/1000</f>
        <v>0</v>
      </c>
      <c r="P115" s="54" t="str">
        <f t="shared" si="195"/>
        <v/>
      </c>
      <c r="Q115" s="468" t="str">
        <f t="shared" ref="Q115:Q146" si="228">IF(IFERROR(O115/M115-1,"")=0,"",IFERROR(+O115/M115-1,""))</f>
        <v/>
      </c>
      <c r="R115" s="468" t="str">
        <f t="shared" ref="R115:R146" si="229">IF(IFERROR(O115/K115-1,"")=0,"",IFERROR(+O115/K115-1,""))</f>
        <v/>
      </c>
      <c r="S115" s="238"/>
      <c r="T115" s="54" t="str">
        <f t="shared" si="196"/>
        <v/>
      </c>
      <c r="U115" s="238">
        <v>0</v>
      </c>
      <c r="V115" s="54" t="str">
        <f t="shared" si="197"/>
        <v/>
      </c>
      <c r="W115" s="353">
        <f>+Расходы!D65/1000</f>
        <v>0</v>
      </c>
      <c r="X115" s="54" t="str">
        <f t="shared" si="198"/>
        <v/>
      </c>
      <c r="Y115" s="468" t="str">
        <f t="shared" ref="Y115:Y146" si="230">IF(IFERROR(W115/U115-1,"")=0,"",IFERROR(+W115/U115-1,""))</f>
        <v/>
      </c>
      <c r="Z115" s="468" t="str">
        <f t="shared" ref="Z115:Z146" si="231">IF(IFERROR(W115/S115-1,"")=0,"",IFERROR(+W115/S115-1,""))</f>
        <v/>
      </c>
      <c r="AA115" s="238"/>
      <c r="AB115" s="54" t="str">
        <f t="shared" si="199"/>
        <v/>
      </c>
      <c r="AC115" s="238">
        <v>0</v>
      </c>
      <c r="AD115" s="54" t="str">
        <f t="shared" si="200"/>
        <v/>
      </c>
      <c r="AE115" s="353">
        <f>+Расходы!E65/1000</f>
        <v>0</v>
      </c>
      <c r="AF115" s="54" t="str">
        <f t="shared" si="201"/>
        <v/>
      </c>
      <c r="AG115" s="468" t="str">
        <f t="shared" ref="AG115:AG146" si="232">IF(IFERROR(AE115/AC115-1,"")=0,"",IFERROR(+AE115/AC115-1,""))</f>
        <v/>
      </c>
      <c r="AH115" s="468" t="str">
        <f t="shared" ref="AH115:AH146" si="233">IF(IFERROR(AE115/AA115-1,"")=0,"",IFERROR(+AE115/AA115-1,""))</f>
        <v/>
      </c>
      <c r="AI115" s="238"/>
      <c r="AJ115" s="54" t="str">
        <f t="shared" si="202"/>
        <v/>
      </c>
      <c r="AK115" s="238">
        <v>0</v>
      </c>
      <c r="AL115" s="54" t="str">
        <f t="shared" si="203"/>
        <v/>
      </c>
      <c r="AM115" s="353">
        <f>+Расходы!F65/1000</f>
        <v>0</v>
      </c>
      <c r="AN115" s="54" t="str">
        <f t="shared" si="204"/>
        <v/>
      </c>
      <c r="AO115" s="468" t="str">
        <f t="shared" ref="AO115:AO146" si="234">IF(IFERROR(AM115/AK115-1,"")=0,"",IFERROR(+AM115/AK115-1,""))</f>
        <v/>
      </c>
      <c r="AP115" s="468" t="str">
        <f t="shared" ref="AP115:AP146" si="235">IF(IFERROR(AM115/AI115-1,"")=0,"",IFERROR(+AM115/AI115-1,""))</f>
        <v/>
      </c>
      <c r="AQ115" s="344"/>
      <c r="AR115" s="54" t="str">
        <f t="shared" si="205"/>
        <v/>
      </c>
      <c r="AS115" s="238">
        <v>0</v>
      </c>
      <c r="AT115" s="54" t="str">
        <f t="shared" si="206"/>
        <v/>
      </c>
      <c r="AU115" s="353">
        <f>+Расходы!G65/1000</f>
        <v>0</v>
      </c>
      <c r="AV115" s="54" t="str">
        <f t="shared" si="207"/>
        <v/>
      </c>
      <c r="AW115" s="468" t="str">
        <f t="shared" ref="AW115:AW146" si="236">IF(IFERROR(AU115/AS115-1,"")=0,"",IFERROR(+AU115/AS115-1,""))</f>
        <v/>
      </c>
      <c r="AX115" s="468" t="str">
        <f t="shared" ref="AX115:AX146" si="237">IF(IFERROR(AU115/AQ115-1,"")=0,"",IFERROR(+AU115/AQ115-1,""))</f>
        <v/>
      </c>
      <c r="AY115" s="344"/>
      <c r="AZ115" s="54" t="str">
        <f t="shared" si="208"/>
        <v/>
      </c>
      <c r="BA115" s="238">
        <v>0</v>
      </c>
      <c r="BB115" s="54" t="str">
        <f t="shared" si="209"/>
        <v/>
      </c>
      <c r="BC115" s="353">
        <f>+Расходы!H65/1000</f>
        <v>0</v>
      </c>
      <c r="BD115" s="54" t="str">
        <f t="shared" si="210"/>
        <v/>
      </c>
      <c r="BE115" s="468" t="str">
        <f t="shared" ref="BE115:BE146" si="238">IF(IFERROR(BC115/BA115-1,"")=0,"",IFERROR(+BC115/BA115-1,""))</f>
        <v/>
      </c>
      <c r="BF115" s="468" t="str">
        <f t="shared" ref="BF115:BF146" si="239">IF(IFERROR(BC115/AY115-1,"")=0,"",IFERROR(+BC115/AY115-1,""))</f>
        <v/>
      </c>
      <c r="BG115" s="344"/>
      <c r="BH115" s="54" t="str">
        <f t="shared" si="211"/>
        <v/>
      </c>
      <c r="BI115" s="238">
        <v>0</v>
      </c>
      <c r="BJ115" s="54" t="str">
        <f t="shared" si="212"/>
        <v/>
      </c>
      <c r="BK115" s="353">
        <f>+Расходы!I65/1000</f>
        <v>0</v>
      </c>
      <c r="BL115" s="54" t="str">
        <f t="shared" si="213"/>
        <v/>
      </c>
      <c r="BM115" s="468" t="str">
        <f t="shared" ref="BM115:BM146" si="240">IF(IFERROR(BK115/BI115-1,"")=0,"",IFERROR(+BK115/BI115-1,""))</f>
        <v/>
      </c>
      <c r="BN115" s="468" t="str">
        <f t="shared" ref="BN115:BN146" si="241">IF(IFERROR(BK115/BG115-1,"")=0,"",IFERROR(+BK115/BG115-1,""))</f>
        <v/>
      </c>
      <c r="BO115" s="344"/>
      <c r="BP115" s="54" t="str">
        <f t="shared" si="214"/>
        <v/>
      </c>
      <c r="BQ115" s="238">
        <v>0</v>
      </c>
      <c r="BR115" s="54" t="str">
        <f t="shared" si="215"/>
        <v/>
      </c>
      <c r="BS115" s="353">
        <f>+Расходы!J65/1000</f>
        <v>0</v>
      </c>
      <c r="BT115" s="54" t="str">
        <f t="shared" si="216"/>
        <v/>
      </c>
      <c r="BU115" s="468" t="str">
        <f t="shared" ref="BU115:BU146" si="242">IF(IFERROR(BS115/BQ115-1,"")=0,"",IFERROR(+BS115/BQ115-1,""))</f>
        <v/>
      </c>
      <c r="BV115" s="468" t="str">
        <f t="shared" ref="BV115:BV146" si="243">IF(IFERROR(BS115/BO115-1,"")=0,"",IFERROR(+BS115/BO115-1,""))</f>
        <v/>
      </c>
      <c r="BW115" s="344"/>
      <c r="BX115" s="54" t="str">
        <f t="shared" si="217"/>
        <v/>
      </c>
      <c r="BY115" s="238">
        <v>0</v>
      </c>
      <c r="BZ115" s="54" t="str">
        <f t="shared" si="218"/>
        <v/>
      </c>
      <c r="CA115" s="353">
        <f>+Расходы!K65/1000</f>
        <v>0</v>
      </c>
      <c r="CB115" s="54" t="str">
        <f t="shared" si="219"/>
        <v/>
      </c>
      <c r="CC115" s="468" t="str">
        <f t="shared" ref="CC115:CC146" si="244">IF(IFERROR(CA115/BY115-1,"")=0,"",IFERROR(+CA115/BY115-1,""))</f>
        <v/>
      </c>
      <c r="CD115" s="468" t="str">
        <f t="shared" ref="CD115:CD146" si="245">IF(IFERROR(CA115/BW115-1,"")=0,"",IFERROR(+CA115/BW115-1,""))</f>
        <v/>
      </c>
      <c r="CE115" s="344"/>
      <c r="CF115" s="54" t="str">
        <f t="shared" si="220"/>
        <v/>
      </c>
      <c r="CG115" s="238">
        <v>0</v>
      </c>
      <c r="CH115" s="54" t="str">
        <f t="shared" si="221"/>
        <v/>
      </c>
      <c r="CI115" s="353">
        <f>+Расходы!L65/1000</f>
        <v>0</v>
      </c>
      <c r="CJ115" s="54" t="str">
        <f t="shared" si="222"/>
        <v/>
      </c>
      <c r="CK115" s="468" t="str">
        <f t="shared" ref="CK115:CK146" si="246">IF(IFERROR(CI115/CG115-1,"")=0,"",IFERROR(+CI115/CG115-1,""))</f>
        <v/>
      </c>
      <c r="CL115" s="468" t="str">
        <f t="shared" ref="CL115:CL146" si="247">IF(IFERROR(CI115/CE115-1,"")=0,"",IFERROR(+CI115/CE115-1,""))</f>
        <v/>
      </c>
      <c r="CM115" s="344"/>
      <c r="CN115" s="54" t="str">
        <f t="shared" si="223"/>
        <v/>
      </c>
      <c r="CO115" s="238">
        <v>0</v>
      </c>
      <c r="CP115" s="54" t="str">
        <f t="shared" si="224"/>
        <v/>
      </c>
      <c r="CQ115" s="353">
        <f>+Расходы!M65/1000</f>
        <v>0</v>
      </c>
      <c r="CR115" s="54" t="str">
        <f t="shared" si="225"/>
        <v/>
      </c>
      <c r="CS115" s="468" t="str">
        <f t="shared" ref="CS115:CS146" si="248">IF(IFERROR(CQ115/CO115-1,"")=0,"",IFERROR(+CQ115/CO115-1,""))</f>
        <v/>
      </c>
      <c r="CT115" s="468" t="str">
        <f t="shared" ref="CT115:CT146" si="249">IF(IFERROR(CQ115/CM115-1,"")=0,"",IFERROR(+CQ115/CM115-1,""))</f>
        <v/>
      </c>
      <c r="CU115" s="344">
        <f t="shared" si="158"/>
        <v>0</v>
      </c>
      <c r="CV115" s="54" t="str">
        <f t="shared" ref="CV115:CV146" si="250">IFERROR(CU115/CU$4,"")</f>
        <v/>
      </c>
      <c r="CW115" s="238">
        <f t="shared" si="159"/>
        <v>0</v>
      </c>
      <c r="CX115" s="54">
        <f t="shared" ref="CX115:CX146" si="251">IFERROR(CW115/CW$4,"")</f>
        <v>0</v>
      </c>
      <c r="CY115" s="353">
        <f t="shared" ref="CY115:CY146" si="252">SUM(G115,O115,W115,AE115,AM115,AU115,BC115,BK115,BS115,CA115,CI115,CQ115)</f>
        <v>0</v>
      </c>
      <c r="CZ115" s="54">
        <f t="shared" ref="CZ115:CZ146" si="253">IFERROR(CY115/CY$4,"")</f>
        <v>0</v>
      </c>
      <c r="DA115" s="468" t="str">
        <f t="shared" ref="DA115:DA146" si="254">IF(IFERROR(CY115/CW115-1,"")=0,"",IFERROR(+CY115/CW115-1,""))</f>
        <v/>
      </c>
      <c r="DB115" s="468" t="str">
        <f t="shared" ref="DB115:DB146" si="255">IF(IFERROR(CY115/CU115-1,"")=0,"",IFERROR(+CY115/CU115-1,""))</f>
        <v/>
      </c>
    </row>
    <row r="116" spans="2:106" s="103" customFormat="1" ht="13.15" customHeight="1" outlineLevel="2">
      <c r="B116" s="61" t="str">
        <f>+Расходы!A66</f>
        <v>Новый Год</v>
      </c>
      <c r="C116" s="238"/>
      <c r="D116" s="54" t="str">
        <f t="shared" si="190"/>
        <v/>
      </c>
      <c r="E116" s="238"/>
      <c r="F116" s="54" t="str">
        <f t="shared" si="191"/>
        <v/>
      </c>
      <c r="G116" s="353">
        <f>+Расходы!B66/1000</f>
        <v>0</v>
      </c>
      <c r="H116" s="54" t="str">
        <f t="shared" si="192"/>
        <v/>
      </c>
      <c r="I116" s="468" t="str">
        <f t="shared" si="226"/>
        <v/>
      </c>
      <c r="J116" s="468" t="str">
        <f t="shared" si="227"/>
        <v/>
      </c>
      <c r="K116" s="238"/>
      <c r="L116" s="54" t="str">
        <f t="shared" si="193"/>
        <v/>
      </c>
      <c r="M116" s="238"/>
      <c r="N116" s="54" t="str">
        <f t="shared" si="194"/>
        <v/>
      </c>
      <c r="O116" s="353">
        <f>+Расходы!C66/1000</f>
        <v>0</v>
      </c>
      <c r="P116" s="54" t="str">
        <f t="shared" si="195"/>
        <v/>
      </c>
      <c r="Q116" s="468" t="str">
        <f t="shared" si="228"/>
        <v/>
      </c>
      <c r="R116" s="468" t="str">
        <f t="shared" si="229"/>
        <v/>
      </c>
      <c r="S116" s="238"/>
      <c r="T116" s="54" t="str">
        <f t="shared" si="196"/>
        <v/>
      </c>
      <c r="U116" s="238">
        <v>0</v>
      </c>
      <c r="V116" s="54" t="str">
        <f t="shared" si="197"/>
        <v/>
      </c>
      <c r="W116" s="353">
        <f>+Расходы!D66/1000</f>
        <v>0</v>
      </c>
      <c r="X116" s="54" t="str">
        <f t="shared" si="198"/>
        <v/>
      </c>
      <c r="Y116" s="468" t="str">
        <f t="shared" si="230"/>
        <v/>
      </c>
      <c r="Z116" s="468" t="str">
        <f t="shared" si="231"/>
        <v/>
      </c>
      <c r="AA116" s="238"/>
      <c r="AB116" s="54" t="str">
        <f t="shared" si="199"/>
        <v/>
      </c>
      <c r="AC116" s="238">
        <v>0</v>
      </c>
      <c r="AD116" s="54" t="str">
        <f t="shared" si="200"/>
        <v/>
      </c>
      <c r="AE116" s="353">
        <f>+Расходы!E66/1000</f>
        <v>0</v>
      </c>
      <c r="AF116" s="54" t="str">
        <f t="shared" si="201"/>
        <v/>
      </c>
      <c r="AG116" s="468" t="str">
        <f t="shared" si="232"/>
        <v/>
      </c>
      <c r="AH116" s="468" t="str">
        <f t="shared" si="233"/>
        <v/>
      </c>
      <c r="AI116" s="238"/>
      <c r="AJ116" s="54" t="str">
        <f t="shared" si="202"/>
        <v/>
      </c>
      <c r="AK116" s="238">
        <v>0</v>
      </c>
      <c r="AL116" s="54" t="str">
        <f t="shared" si="203"/>
        <v/>
      </c>
      <c r="AM116" s="353">
        <f>+Расходы!F66/1000</f>
        <v>0</v>
      </c>
      <c r="AN116" s="54" t="str">
        <f t="shared" si="204"/>
        <v/>
      </c>
      <c r="AO116" s="468" t="str">
        <f t="shared" si="234"/>
        <v/>
      </c>
      <c r="AP116" s="468" t="str">
        <f t="shared" si="235"/>
        <v/>
      </c>
      <c r="AQ116" s="344"/>
      <c r="AR116" s="54" t="str">
        <f t="shared" si="205"/>
        <v/>
      </c>
      <c r="AS116" s="238">
        <v>0</v>
      </c>
      <c r="AT116" s="54" t="str">
        <f t="shared" si="206"/>
        <v/>
      </c>
      <c r="AU116" s="353">
        <f>+Расходы!G66/1000</f>
        <v>0</v>
      </c>
      <c r="AV116" s="54" t="str">
        <f t="shared" si="207"/>
        <v/>
      </c>
      <c r="AW116" s="468" t="str">
        <f t="shared" si="236"/>
        <v/>
      </c>
      <c r="AX116" s="468" t="str">
        <f t="shared" si="237"/>
        <v/>
      </c>
      <c r="AY116" s="344"/>
      <c r="AZ116" s="54" t="str">
        <f t="shared" si="208"/>
        <v/>
      </c>
      <c r="BA116" s="238">
        <v>0</v>
      </c>
      <c r="BB116" s="54" t="str">
        <f t="shared" si="209"/>
        <v/>
      </c>
      <c r="BC116" s="353">
        <f>+Расходы!H66/1000</f>
        <v>0</v>
      </c>
      <c r="BD116" s="54" t="str">
        <f t="shared" si="210"/>
        <v/>
      </c>
      <c r="BE116" s="468" t="str">
        <f t="shared" si="238"/>
        <v/>
      </c>
      <c r="BF116" s="468" t="str">
        <f t="shared" si="239"/>
        <v/>
      </c>
      <c r="BG116" s="344"/>
      <c r="BH116" s="54" t="str">
        <f t="shared" si="211"/>
        <v/>
      </c>
      <c r="BI116" s="238">
        <v>0</v>
      </c>
      <c r="BJ116" s="54" t="str">
        <f t="shared" si="212"/>
        <v/>
      </c>
      <c r="BK116" s="353">
        <f>+Расходы!I66/1000</f>
        <v>0</v>
      </c>
      <c r="BL116" s="54" t="str">
        <f t="shared" si="213"/>
        <v/>
      </c>
      <c r="BM116" s="468" t="str">
        <f t="shared" si="240"/>
        <v/>
      </c>
      <c r="BN116" s="468" t="str">
        <f t="shared" si="241"/>
        <v/>
      </c>
      <c r="BO116" s="344"/>
      <c r="BP116" s="54" t="str">
        <f t="shared" si="214"/>
        <v/>
      </c>
      <c r="BQ116" s="238">
        <v>0</v>
      </c>
      <c r="BR116" s="54" t="str">
        <f t="shared" si="215"/>
        <v/>
      </c>
      <c r="BS116" s="353">
        <f>+Расходы!J66/1000</f>
        <v>0</v>
      </c>
      <c r="BT116" s="54" t="str">
        <f t="shared" si="216"/>
        <v/>
      </c>
      <c r="BU116" s="468" t="str">
        <f t="shared" si="242"/>
        <v/>
      </c>
      <c r="BV116" s="468" t="str">
        <f t="shared" si="243"/>
        <v/>
      </c>
      <c r="BW116" s="344"/>
      <c r="BX116" s="54" t="str">
        <f t="shared" si="217"/>
        <v/>
      </c>
      <c r="BY116" s="238">
        <v>0</v>
      </c>
      <c r="BZ116" s="54" t="str">
        <f t="shared" si="218"/>
        <v/>
      </c>
      <c r="CA116" s="353">
        <f>+Расходы!K66/1000</f>
        <v>0</v>
      </c>
      <c r="CB116" s="54" t="str">
        <f t="shared" si="219"/>
        <v/>
      </c>
      <c r="CC116" s="468" t="str">
        <f t="shared" si="244"/>
        <v/>
      </c>
      <c r="CD116" s="468" t="str">
        <f t="shared" si="245"/>
        <v/>
      </c>
      <c r="CE116" s="344"/>
      <c r="CF116" s="54" t="str">
        <f t="shared" si="220"/>
        <v/>
      </c>
      <c r="CG116" s="238">
        <v>0</v>
      </c>
      <c r="CH116" s="54" t="str">
        <f t="shared" si="221"/>
        <v/>
      </c>
      <c r="CI116" s="353">
        <f>+Расходы!L66/1000</f>
        <v>0</v>
      </c>
      <c r="CJ116" s="54" t="str">
        <f t="shared" si="222"/>
        <v/>
      </c>
      <c r="CK116" s="468" t="str">
        <f t="shared" si="246"/>
        <v/>
      </c>
      <c r="CL116" s="468" t="str">
        <f t="shared" si="247"/>
        <v/>
      </c>
      <c r="CM116" s="344"/>
      <c r="CN116" s="54" t="str">
        <f t="shared" si="223"/>
        <v/>
      </c>
      <c r="CO116" s="238">
        <v>0</v>
      </c>
      <c r="CP116" s="54" t="str">
        <f t="shared" si="224"/>
        <v/>
      </c>
      <c r="CQ116" s="353">
        <f>+Расходы!M66/1000</f>
        <v>0</v>
      </c>
      <c r="CR116" s="54" t="str">
        <f t="shared" si="225"/>
        <v/>
      </c>
      <c r="CS116" s="468" t="str">
        <f t="shared" si="248"/>
        <v/>
      </c>
      <c r="CT116" s="468" t="str">
        <f t="shared" si="249"/>
        <v/>
      </c>
      <c r="CU116" s="344">
        <f t="shared" si="158"/>
        <v>0</v>
      </c>
      <c r="CV116" s="54" t="str">
        <f t="shared" si="250"/>
        <v/>
      </c>
      <c r="CW116" s="238">
        <f t="shared" si="159"/>
        <v>0</v>
      </c>
      <c r="CX116" s="54">
        <f t="shared" si="251"/>
        <v>0</v>
      </c>
      <c r="CY116" s="353">
        <f t="shared" si="252"/>
        <v>0</v>
      </c>
      <c r="CZ116" s="54">
        <f t="shared" si="253"/>
        <v>0</v>
      </c>
      <c r="DA116" s="468" t="str">
        <f t="shared" si="254"/>
        <v/>
      </c>
      <c r="DB116" s="468" t="str">
        <f t="shared" si="255"/>
        <v/>
      </c>
    </row>
    <row r="117" spans="2:106" s="103" customFormat="1" ht="13.9" customHeight="1" outlineLevel="1">
      <c r="B117" s="58" t="str">
        <f>+Расходы!A67</f>
        <v>Транспортные расходы</v>
      </c>
      <c r="C117" s="480">
        <f>SUM(C118:C121)</f>
        <v>0</v>
      </c>
      <c r="D117" s="51" t="str">
        <f t="shared" ref="D117:D148" si="256">IF(IFERROR(C117/C$4,"")=0,"",IFERROR(C117/C$4,""))</f>
        <v/>
      </c>
      <c r="E117" s="480">
        <f>SUM(E118:E121)</f>
        <v>0</v>
      </c>
      <c r="F117" s="51" t="str">
        <f t="shared" ref="F117:F148" si="257">IF(IFERROR(E117/E$4,"")=0,"",IFERROR(E117/E$4,""))</f>
        <v/>
      </c>
      <c r="G117" s="354">
        <f>+Расходы!B67/1000</f>
        <v>0</v>
      </c>
      <c r="H117" s="51" t="str">
        <f t="shared" ref="H117:H148" si="258">IF(IFERROR(G117/G$4,"")=0,"",IFERROR(G117/G$4,""))</f>
        <v/>
      </c>
      <c r="I117" s="478" t="str">
        <f t="shared" si="226"/>
        <v/>
      </c>
      <c r="J117" s="478" t="str">
        <f t="shared" si="227"/>
        <v/>
      </c>
      <c r="K117" s="480">
        <f>SUM(K118:K121)</f>
        <v>0</v>
      </c>
      <c r="L117" s="51" t="str">
        <f t="shared" ref="L117:L148" si="259">IF(IFERROR(K117/K$4,"")=0,"",IFERROR(K117/K$4,""))</f>
        <v/>
      </c>
      <c r="M117" s="480">
        <f>SUM(M118:M121)</f>
        <v>0</v>
      </c>
      <c r="N117" s="51" t="str">
        <f t="shared" ref="N117:N148" si="260">IF(IFERROR(M117/M$4,"")=0,"",IFERROR(M117/M$4,""))</f>
        <v/>
      </c>
      <c r="O117" s="354">
        <f>+Расходы!C67/1000</f>
        <v>0</v>
      </c>
      <c r="P117" s="51" t="str">
        <f t="shared" ref="P117:P148" si="261">IF(IFERROR(O117/O$4,"")=0,"",IFERROR(O117/O$4,""))</f>
        <v/>
      </c>
      <c r="Q117" s="478" t="str">
        <f t="shared" si="228"/>
        <v/>
      </c>
      <c r="R117" s="478" t="str">
        <f t="shared" si="229"/>
        <v/>
      </c>
      <c r="S117" s="480">
        <f>SUM(S118:S121)</f>
        <v>0</v>
      </c>
      <c r="T117" s="51" t="str">
        <f t="shared" ref="T117:T148" si="262">IF(IFERROR(S117/S$4,"")=0,"",IFERROR(S117/S$4,""))</f>
        <v/>
      </c>
      <c r="U117" s="480">
        <f>SUM(U118:U121)</f>
        <v>0</v>
      </c>
      <c r="V117" s="51" t="str">
        <f t="shared" ref="V117:V148" si="263">IF(IFERROR(U117/U$4,"")=0,"",IFERROR(U117/U$4,""))</f>
        <v/>
      </c>
      <c r="W117" s="354">
        <f>+Расходы!D67/1000</f>
        <v>29.71734</v>
      </c>
      <c r="X117" s="51">
        <f t="shared" ref="X117:X148" si="264">IF(IFERROR(W117/W$4,"")=0,"",IFERROR(W117/W$4,""))</f>
        <v>5.0114403278301491E-3</v>
      </c>
      <c r="Y117" s="478" t="str">
        <f t="shared" si="230"/>
        <v/>
      </c>
      <c r="Z117" s="478" t="str">
        <f t="shared" si="231"/>
        <v/>
      </c>
      <c r="AA117" s="480">
        <f>SUM(AA118:AA121)</f>
        <v>0</v>
      </c>
      <c r="AB117" s="51" t="str">
        <f t="shared" ref="AB117:AB148" si="265">IF(IFERROR(AA117/AA$4,"")=0,"",IFERROR(AA117/AA$4,""))</f>
        <v/>
      </c>
      <c r="AC117" s="480">
        <f>SUM(AC118:AC121)</f>
        <v>40</v>
      </c>
      <c r="AD117" s="51">
        <f t="shared" ref="AD117:AD148" si="266">IF(IFERROR(AC117/AC$4,"")=0,"",IFERROR(AC117/AC$4,""))</f>
        <v>2.9257217755620313E-3</v>
      </c>
      <c r="AE117" s="354">
        <f>+Расходы!E67/1000</f>
        <v>61.797479999999993</v>
      </c>
      <c r="AF117" s="51">
        <f t="shared" ref="AF117:AF148" si="267">IF(IFERROR(AE117/AE$4,"")=0,"",IFERROR(AE117/AE$4,""))</f>
        <v>4.506423008488171E-3</v>
      </c>
      <c r="AG117" s="478">
        <f t="shared" si="232"/>
        <v>0.54493699999999978</v>
      </c>
      <c r="AH117" s="478" t="str">
        <f t="shared" si="233"/>
        <v/>
      </c>
      <c r="AI117" s="480">
        <f>SUM(AI118:AI121)</f>
        <v>0</v>
      </c>
      <c r="AJ117" s="51" t="str">
        <f t="shared" ref="AJ117:AJ148" si="268">IF(IFERROR(AI117/AI$4,"")=0,"",IFERROR(AI117/AI$4,""))</f>
        <v/>
      </c>
      <c r="AK117" s="480">
        <f>SUM(AK118:AK121)</f>
        <v>40</v>
      </c>
      <c r="AL117" s="51">
        <f t="shared" ref="AL117:AL148" si="269">IF(IFERROR(AK117/AK$4,"")=0,"",IFERROR(AK117/AK$4,""))</f>
        <v>2.8628685943315204E-3</v>
      </c>
      <c r="AM117" s="354">
        <f>+Расходы!F67/1000</f>
        <v>83.380350000000007</v>
      </c>
      <c r="AN117" s="51">
        <f t="shared" ref="AN117:AN148" si="270">IF(IFERROR(AM117/AM$4,"")=0,"",IFERROR(AM117/AM$4,""))</f>
        <v>5.3065949025590314E-3</v>
      </c>
      <c r="AO117" s="478">
        <f t="shared" si="234"/>
        <v>1.0845087500000004</v>
      </c>
      <c r="AP117" s="478" t="str">
        <f t="shared" si="235"/>
        <v/>
      </c>
      <c r="AQ117" s="481">
        <f>SUM(AQ118:AQ121)</f>
        <v>0</v>
      </c>
      <c r="AR117" s="51" t="str">
        <f t="shared" ref="AR117:AR148" si="271">IF(IFERROR(AQ117/AQ$4,"")=0,"",IFERROR(AQ117/AQ$4,""))</f>
        <v/>
      </c>
      <c r="AS117" s="480">
        <f>SUM(AS118:AS121)</f>
        <v>55</v>
      </c>
      <c r="AT117" s="51">
        <f t="shared" ref="AT117:AT148" si="272">IF(IFERROR(AS117/AS$4,"")=0,"",IFERROR(AS117/AS$4,""))</f>
        <v>3.6472148541114059E-3</v>
      </c>
      <c r="AU117" s="354">
        <f>+Расходы!G67/1000</f>
        <v>48.159699999999994</v>
      </c>
      <c r="AV117" s="51">
        <f t="shared" ref="AV117:AV148" si="273">IF(IFERROR(AU117/AU$4,"")=0,"",IFERROR(AU117/AU$4,""))</f>
        <v>3.378833510800372E-3</v>
      </c>
      <c r="AW117" s="478">
        <f t="shared" si="236"/>
        <v>-0.12436909090909098</v>
      </c>
      <c r="AX117" s="478" t="str">
        <f t="shared" si="237"/>
        <v/>
      </c>
      <c r="AY117" s="481">
        <f>SUM(AY118:AY121)</f>
        <v>0</v>
      </c>
      <c r="AZ117" s="51" t="str">
        <f t="shared" ref="AZ117:AZ148" si="274">IF(IFERROR(AY117/AY$4,"")=0,"",IFERROR(AY117/AY$4,""))</f>
        <v/>
      </c>
      <c r="BA117" s="480">
        <f>SUM(BA118:BA121)</f>
        <v>55</v>
      </c>
      <c r="BB117" s="51">
        <f t="shared" ref="BB117:BB148" si="275">IF(IFERROR(BA117/BA$4,"")=0,"",IFERROR(BA117/BA$4,""))</f>
        <v>3.5104515717249082E-3</v>
      </c>
      <c r="BC117" s="354">
        <f>+Расходы!H67/1000</f>
        <v>0</v>
      </c>
      <c r="BD117" s="51" t="str">
        <f t="shared" ref="BD117:BD148" si="276">IF(IFERROR(BC117/BC$4,"")=0,"",IFERROR(BC117/BC$4,""))</f>
        <v/>
      </c>
      <c r="BE117" s="478">
        <f t="shared" si="238"/>
        <v>-1</v>
      </c>
      <c r="BF117" s="478" t="str">
        <f t="shared" si="239"/>
        <v/>
      </c>
      <c r="BG117" s="481">
        <f>SUM(BG118:BG121)</f>
        <v>0</v>
      </c>
      <c r="BH117" s="51" t="str">
        <f t="shared" ref="BH117:BH148" si="277">IF(IFERROR(BG117/BG$4,"")=0,"",IFERROR(BG117/BG$4,""))</f>
        <v/>
      </c>
      <c r="BI117" s="480">
        <f>SUM(BI118:BI121)</f>
        <v>55</v>
      </c>
      <c r="BJ117" s="51">
        <f t="shared" ref="BJ117:BJ148" si="278">IF(IFERROR(BI117/BI$4,"")=0,"",IFERROR(BI117/BI$4,""))</f>
        <v>3.5104515717249082E-3</v>
      </c>
      <c r="BK117" s="354">
        <f>+Расходы!I67/1000</f>
        <v>0</v>
      </c>
      <c r="BL117" s="51" t="str">
        <f t="shared" ref="BL117:BL148" si="279">IF(IFERROR(BK117/BK$4,"")=0,"",IFERROR(BK117/BK$4,""))</f>
        <v/>
      </c>
      <c r="BM117" s="478">
        <f t="shared" si="240"/>
        <v>-1</v>
      </c>
      <c r="BN117" s="478" t="str">
        <f t="shared" si="241"/>
        <v/>
      </c>
      <c r="BO117" s="481">
        <f>SUM(BO118:BO121)</f>
        <v>0</v>
      </c>
      <c r="BP117" s="51" t="str">
        <f t="shared" ref="BP117:BP148" si="280">IF(IFERROR(BO117/BO$4,"")=0,"",IFERROR(BO117/BO$4,""))</f>
        <v/>
      </c>
      <c r="BQ117" s="480">
        <f>SUM(BQ118:BQ121)</f>
        <v>55</v>
      </c>
      <c r="BR117" s="51">
        <f t="shared" ref="BR117:BR148" si="281">IF(IFERROR(BQ117/BQ$4,"")=0,"",IFERROR(BQ117/BQ$4,""))</f>
        <v>3.7983425414364639E-3</v>
      </c>
      <c r="BS117" s="354">
        <f>+Расходы!J67/1000</f>
        <v>0</v>
      </c>
      <c r="BT117" s="51" t="str">
        <f t="shared" ref="BT117:BT148" si="282">IF(IFERROR(BS117/BS$4,"")=0,"",IFERROR(BS117/BS$4,""))</f>
        <v/>
      </c>
      <c r="BU117" s="478">
        <f t="shared" si="242"/>
        <v>-1</v>
      </c>
      <c r="BV117" s="478" t="str">
        <f t="shared" si="243"/>
        <v/>
      </c>
      <c r="BW117" s="481">
        <f>SUM(BW118:BW121)</f>
        <v>0</v>
      </c>
      <c r="BX117" s="51" t="str">
        <f t="shared" ref="BX117:BX148" si="283">IF(IFERROR(BW117/BW$4,"")=0,"",IFERROR(BW117/BW$4,""))</f>
        <v/>
      </c>
      <c r="BY117" s="480">
        <f>SUM(BY118:BY121)</f>
        <v>0</v>
      </c>
      <c r="BZ117" s="51" t="str">
        <f t="shared" ref="BZ117:BZ148" si="284">IF(IFERROR(BY117/BY$4,"")=0,"",IFERROR(BY117/BY$4,""))</f>
        <v/>
      </c>
      <c r="CA117" s="354">
        <f>+Расходы!K67/1000</f>
        <v>0</v>
      </c>
      <c r="CB117" s="51" t="str">
        <f t="shared" ref="CB117:CB148" si="285">IF(IFERROR(CA117/CA$4,"")=0,"",IFERROR(CA117/CA$4,""))</f>
        <v/>
      </c>
      <c r="CC117" s="478" t="str">
        <f t="shared" si="244"/>
        <v/>
      </c>
      <c r="CD117" s="478" t="str">
        <f t="shared" si="245"/>
        <v/>
      </c>
      <c r="CE117" s="481">
        <f>SUM(CE118:CE121)</f>
        <v>0</v>
      </c>
      <c r="CF117" s="51" t="str">
        <f t="shared" ref="CF117:CF148" si="286">IF(IFERROR(CE117/CE$4,"")=0,"",IFERROR(CE117/CE$4,""))</f>
        <v/>
      </c>
      <c r="CG117" s="480">
        <f>SUM(CG118:CG121)</f>
        <v>0</v>
      </c>
      <c r="CH117" s="51" t="str">
        <f t="shared" ref="CH117:CH148" si="287">IF(IFERROR(CG117/CG$4,"")=0,"",IFERROR(CG117/CG$4,""))</f>
        <v/>
      </c>
      <c r="CI117" s="354">
        <f>+Расходы!L67/1000</f>
        <v>0</v>
      </c>
      <c r="CJ117" s="51" t="str">
        <f t="shared" ref="CJ117:CJ148" si="288">IF(IFERROR(CI117/CI$4,"")=0,"",IFERROR(CI117/CI$4,""))</f>
        <v/>
      </c>
      <c r="CK117" s="478" t="str">
        <f t="shared" si="246"/>
        <v/>
      </c>
      <c r="CL117" s="478" t="str">
        <f t="shared" si="247"/>
        <v/>
      </c>
      <c r="CM117" s="481">
        <f>SUM(CM118:CM121)</f>
        <v>0</v>
      </c>
      <c r="CN117" s="51" t="str">
        <f t="shared" ref="CN117:CN148" si="289">IF(IFERROR(CM117/CM$4,"")=0,"",IFERROR(CM117/CM$4,""))</f>
        <v/>
      </c>
      <c r="CO117" s="480">
        <f>SUM(CO118:CO121)</f>
        <v>0</v>
      </c>
      <c r="CP117" s="51" t="str">
        <f t="shared" ref="CP117:CP148" si="290">IF(IFERROR(CO117/CO$4,"")=0,"",IFERROR(CO117/CO$4,""))</f>
        <v/>
      </c>
      <c r="CQ117" s="354">
        <f>+Расходы!M67/1000</f>
        <v>0</v>
      </c>
      <c r="CR117" s="51" t="str">
        <f t="shared" ref="CR117:CR148" si="291">IF(IFERROR(CQ117/CQ$4,"")=0,"",IFERROR(CQ117/CQ$4,""))</f>
        <v/>
      </c>
      <c r="CS117" s="478" t="str">
        <f t="shared" si="248"/>
        <v/>
      </c>
      <c r="CT117" s="478" t="str">
        <f t="shared" si="249"/>
        <v/>
      </c>
      <c r="CU117" s="481">
        <f t="shared" si="158"/>
        <v>0</v>
      </c>
      <c r="CV117" s="51" t="str">
        <f t="shared" si="250"/>
        <v/>
      </c>
      <c r="CW117" s="480">
        <f t="shared" si="159"/>
        <v>300</v>
      </c>
      <c r="CX117" s="51">
        <f t="shared" si="251"/>
        <v>2.2622732482434501E-3</v>
      </c>
      <c r="CY117" s="354">
        <f t="shared" si="252"/>
        <v>223.05486999999999</v>
      </c>
      <c r="CZ117" s="51">
        <f t="shared" si="253"/>
        <v>4.4962544226565468E-3</v>
      </c>
      <c r="DA117" s="478">
        <f t="shared" si="254"/>
        <v>-0.25648376666666672</v>
      </c>
      <c r="DB117" s="478" t="str">
        <f t="shared" si="255"/>
        <v/>
      </c>
    </row>
    <row r="118" spans="2:106" s="103" customFormat="1" ht="13.15" customHeight="1" outlineLevel="2">
      <c r="B118" s="61" t="str">
        <f>+Расходы!A68</f>
        <v>Амортизация машины экспедитора</v>
      </c>
      <c r="C118" s="238"/>
      <c r="D118" s="54" t="str">
        <f t="shared" si="256"/>
        <v/>
      </c>
      <c r="E118" s="238"/>
      <c r="F118" s="54" t="str">
        <f t="shared" si="257"/>
        <v/>
      </c>
      <c r="G118" s="353">
        <f>+Расходы!B68/1000</f>
        <v>0</v>
      </c>
      <c r="H118" s="54" t="str">
        <f t="shared" si="258"/>
        <v/>
      </c>
      <c r="I118" s="468" t="str">
        <f t="shared" si="226"/>
        <v/>
      </c>
      <c r="J118" s="468" t="str">
        <f t="shared" si="227"/>
        <v/>
      </c>
      <c r="K118" s="238"/>
      <c r="L118" s="54" t="str">
        <f t="shared" si="259"/>
        <v/>
      </c>
      <c r="M118" s="238"/>
      <c r="N118" s="54" t="str">
        <f t="shared" si="260"/>
        <v/>
      </c>
      <c r="O118" s="353">
        <f>+Расходы!C68/1000</f>
        <v>0</v>
      </c>
      <c r="P118" s="54" t="str">
        <f t="shared" si="261"/>
        <v/>
      </c>
      <c r="Q118" s="468" t="str">
        <f t="shared" si="228"/>
        <v/>
      </c>
      <c r="R118" s="468" t="str">
        <f t="shared" si="229"/>
        <v/>
      </c>
      <c r="S118" s="238"/>
      <c r="T118" s="54" t="str">
        <f t="shared" si="262"/>
        <v/>
      </c>
      <c r="U118" s="238">
        <v>0</v>
      </c>
      <c r="V118" s="54" t="str">
        <f t="shared" si="263"/>
        <v/>
      </c>
      <c r="W118" s="353">
        <f>+Расходы!D68/1000</f>
        <v>0</v>
      </c>
      <c r="X118" s="54" t="str">
        <f t="shared" si="264"/>
        <v/>
      </c>
      <c r="Y118" s="468" t="str">
        <f t="shared" si="230"/>
        <v/>
      </c>
      <c r="Z118" s="468" t="str">
        <f t="shared" si="231"/>
        <v/>
      </c>
      <c r="AA118" s="238"/>
      <c r="AB118" s="54" t="str">
        <f t="shared" si="265"/>
        <v/>
      </c>
      <c r="AC118" s="238">
        <v>0</v>
      </c>
      <c r="AD118" s="54" t="str">
        <f t="shared" si="266"/>
        <v/>
      </c>
      <c r="AE118" s="353">
        <f>+Расходы!E68/1000</f>
        <v>0</v>
      </c>
      <c r="AF118" s="54" t="str">
        <f t="shared" si="267"/>
        <v/>
      </c>
      <c r="AG118" s="468" t="str">
        <f t="shared" si="232"/>
        <v/>
      </c>
      <c r="AH118" s="468" t="str">
        <f t="shared" si="233"/>
        <v/>
      </c>
      <c r="AI118" s="238"/>
      <c r="AJ118" s="54" t="str">
        <f t="shared" si="268"/>
        <v/>
      </c>
      <c r="AK118" s="238">
        <v>0</v>
      </c>
      <c r="AL118" s="54" t="str">
        <f t="shared" si="269"/>
        <v/>
      </c>
      <c r="AM118" s="353">
        <f>+Расходы!F68/1000</f>
        <v>0</v>
      </c>
      <c r="AN118" s="54" t="str">
        <f t="shared" si="270"/>
        <v/>
      </c>
      <c r="AO118" s="468" t="str">
        <f t="shared" si="234"/>
        <v/>
      </c>
      <c r="AP118" s="468" t="str">
        <f t="shared" si="235"/>
        <v/>
      </c>
      <c r="AQ118" s="344"/>
      <c r="AR118" s="54" t="str">
        <f t="shared" si="271"/>
        <v/>
      </c>
      <c r="AS118" s="238">
        <v>0</v>
      </c>
      <c r="AT118" s="54" t="str">
        <f t="shared" si="272"/>
        <v/>
      </c>
      <c r="AU118" s="353">
        <f>+Расходы!G68/1000</f>
        <v>0</v>
      </c>
      <c r="AV118" s="54" t="str">
        <f t="shared" si="273"/>
        <v/>
      </c>
      <c r="AW118" s="468" t="str">
        <f t="shared" si="236"/>
        <v/>
      </c>
      <c r="AX118" s="468" t="str">
        <f t="shared" si="237"/>
        <v/>
      </c>
      <c r="AY118" s="344"/>
      <c r="AZ118" s="54" t="str">
        <f t="shared" si="274"/>
        <v/>
      </c>
      <c r="BA118" s="238">
        <v>0</v>
      </c>
      <c r="BB118" s="54" t="str">
        <f t="shared" si="275"/>
        <v/>
      </c>
      <c r="BC118" s="353">
        <f>+Расходы!H68/1000</f>
        <v>0</v>
      </c>
      <c r="BD118" s="54" t="str">
        <f t="shared" si="276"/>
        <v/>
      </c>
      <c r="BE118" s="468" t="str">
        <f t="shared" si="238"/>
        <v/>
      </c>
      <c r="BF118" s="468" t="str">
        <f t="shared" si="239"/>
        <v/>
      </c>
      <c r="BG118" s="344"/>
      <c r="BH118" s="54" t="str">
        <f t="shared" si="277"/>
        <v/>
      </c>
      <c r="BI118" s="238">
        <v>0</v>
      </c>
      <c r="BJ118" s="54" t="str">
        <f t="shared" si="278"/>
        <v/>
      </c>
      <c r="BK118" s="353">
        <f>+Расходы!I68/1000</f>
        <v>0</v>
      </c>
      <c r="BL118" s="54" t="str">
        <f t="shared" si="279"/>
        <v/>
      </c>
      <c r="BM118" s="468" t="str">
        <f t="shared" si="240"/>
        <v/>
      </c>
      <c r="BN118" s="468" t="str">
        <f t="shared" si="241"/>
        <v/>
      </c>
      <c r="BO118" s="344"/>
      <c r="BP118" s="54" t="str">
        <f t="shared" si="280"/>
        <v/>
      </c>
      <c r="BQ118" s="238">
        <v>0</v>
      </c>
      <c r="BR118" s="54" t="str">
        <f t="shared" si="281"/>
        <v/>
      </c>
      <c r="BS118" s="353">
        <f>+Расходы!J68/1000</f>
        <v>0</v>
      </c>
      <c r="BT118" s="54" t="str">
        <f t="shared" si="282"/>
        <v/>
      </c>
      <c r="BU118" s="468" t="str">
        <f t="shared" si="242"/>
        <v/>
      </c>
      <c r="BV118" s="468" t="str">
        <f t="shared" si="243"/>
        <v/>
      </c>
      <c r="BW118" s="344"/>
      <c r="BX118" s="54" t="str">
        <f t="shared" si="283"/>
        <v/>
      </c>
      <c r="BY118" s="238">
        <v>0</v>
      </c>
      <c r="BZ118" s="54" t="str">
        <f t="shared" si="284"/>
        <v/>
      </c>
      <c r="CA118" s="353">
        <f>+Расходы!K68/1000</f>
        <v>0</v>
      </c>
      <c r="CB118" s="54" t="str">
        <f t="shared" si="285"/>
        <v/>
      </c>
      <c r="CC118" s="468" t="str">
        <f t="shared" si="244"/>
        <v/>
      </c>
      <c r="CD118" s="468" t="str">
        <f t="shared" si="245"/>
        <v/>
      </c>
      <c r="CE118" s="344"/>
      <c r="CF118" s="54" t="str">
        <f t="shared" si="286"/>
        <v/>
      </c>
      <c r="CG118" s="238">
        <v>0</v>
      </c>
      <c r="CH118" s="54" t="str">
        <f t="shared" si="287"/>
        <v/>
      </c>
      <c r="CI118" s="353">
        <f>+Расходы!L68/1000</f>
        <v>0</v>
      </c>
      <c r="CJ118" s="54" t="str">
        <f t="shared" si="288"/>
        <v/>
      </c>
      <c r="CK118" s="468" t="str">
        <f t="shared" si="246"/>
        <v/>
      </c>
      <c r="CL118" s="468" t="str">
        <f t="shared" si="247"/>
        <v/>
      </c>
      <c r="CM118" s="344"/>
      <c r="CN118" s="54" t="str">
        <f t="shared" si="289"/>
        <v/>
      </c>
      <c r="CO118" s="238">
        <v>0</v>
      </c>
      <c r="CP118" s="54" t="str">
        <f t="shared" si="290"/>
        <v/>
      </c>
      <c r="CQ118" s="353">
        <f>+Расходы!M68/1000</f>
        <v>0</v>
      </c>
      <c r="CR118" s="54" t="str">
        <f t="shared" si="291"/>
        <v/>
      </c>
      <c r="CS118" s="468" t="str">
        <f t="shared" si="248"/>
        <v/>
      </c>
      <c r="CT118" s="468" t="str">
        <f t="shared" si="249"/>
        <v/>
      </c>
      <c r="CU118" s="344">
        <f t="shared" si="158"/>
        <v>0</v>
      </c>
      <c r="CV118" s="54" t="str">
        <f t="shared" si="250"/>
        <v/>
      </c>
      <c r="CW118" s="238">
        <f t="shared" si="159"/>
        <v>0</v>
      </c>
      <c r="CX118" s="54">
        <f t="shared" si="251"/>
        <v>0</v>
      </c>
      <c r="CY118" s="353">
        <f t="shared" si="252"/>
        <v>0</v>
      </c>
      <c r="CZ118" s="54">
        <f t="shared" si="253"/>
        <v>0</v>
      </c>
      <c r="DA118" s="468" t="str">
        <f t="shared" si="254"/>
        <v/>
      </c>
      <c r="DB118" s="468" t="str">
        <f t="shared" si="255"/>
        <v/>
      </c>
    </row>
    <row r="119" spans="2:106" s="103" customFormat="1" ht="13.15" customHeight="1" outlineLevel="2">
      <c r="B119" s="61" t="str">
        <f>+Расходы!A69</f>
        <v>Бензин</v>
      </c>
      <c r="C119" s="238"/>
      <c r="D119" s="54" t="str">
        <f t="shared" si="256"/>
        <v/>
      </c>
      <c r="E119" s="238"/>
      <c r="F119" s="54" t="str">
        <f t="shared" si="257"/>
        <v/>
      </c>
      <c r="G119" s="353">
        <f>+Расходы!B69/1000</f>
        <v>0</v>
      </c>
      <c r="H119" s="54" t="str">
        <f t="shared" si="258"/>
        <v/>
      </c>
      <c r="I119" s="468" t="str">
        <f t="shared" si="226"/>
        <v/>
      </c>
      <c r="J119" s="468" t="str">
        <f t="shared" si="227"/>
        <v/>
      </c>
      <c r="K119" s="238"/>
      <c r="L119" s="54" t="str">
        <f t="shared" si="259"/>
        <v/>
      </c>
      <c r="M119" s="238"/>
      <c r="N119" s="54" t="str">
        <f t="shared" si="260"/>
        <v/>
      </c>
      <c r="O119" s="353">
        <f>+Расходы!C69/1000</f>
        <v>0</v>
      </c>
      <c r="P119" s="54" t="str">
        <f t="shared" si="261"/>
        <v/>
      </c>
      <c r="Q119" s="468" t="str">
        <f t="shared" si="228"/>
        <v/>
      </c>
      <c r="R119" s="468" t="str">
        <f t="shared" si="229"/>
        <v/>
      </c>
      <c r="S119" s="238"/>
      <c r="T119" s="54" t="str">
        <f t="shared" si="262"/>
        <v/>
      </c>
      <c r="U119" s="238">
        <v>0</v>
      </c>
      <c r="V119" s="54" t="str">
        <f t="shared" si="263"/>
        <v/>
      </c>
      <c r="W119" s="353">
        <f>+Расходы!D69/1000</f>
        <v>0</v>
      </c>
      <c r="X119" s="54" t="str">
        <f t="shared" si="264"/>
        <v/>
      </c>
      <c r="Y119" s="468" t="str">
        <f t="shared" si="230"/>
        <v/>
      </c>
      <c r="Z119" s="468" t="str">
        <f t="shared" si="231"/>
        <v/>
      </c>
      <c r="AA119" s="238"/>
      <c r="AB119" s="54" t="str">
        <f t="shared" si="265"/>
        <v/>
      </c>
      <c r="AC119" s="238">
        <v>10</v>
      </c>
      <c r="AD119" s="54">
        <f t="shared" si="266"/>
        <v>7.3143044389050783E-4</v>
      </c>
      <c r="AE119" s="353">
        <f>+Расходы!E69/1000</f>
        <v>4.0646199999999997</v>
      </c>
      <c r="AF119" s="54">
        <f t="shared" si="267"/>
        <v>2.9640200682554032E-4</v>
      </c>
      <c r="AG119" s="468">
        <f t="shared" si="232"/>
        <v>-0.59353800000000001</v>
      </c>
      <c r="AH119" s="468" t="str">
        <f t="shared" si="233"/>
        <v/>
      </c>
      <c r="AI119" s="238"/>
      <c r="AJ119" s="54" t="str">
        <f t="shared" si="268"/>
        <v/>
      </c>
      <c r="AK119" s="238">
        <v>10</v>
      </c>
      <c r="AL119" s="54">
        <f t="shared" si="269"/>
        <v>7.1571714858288009E-4</v>
      </c>
      <c r="AM119" s="353">
        <f>+Расходы!F69/1000</f>
        <v>25.473779999999998</v>
      </c>
      <c r="AN119" s="54">
        <f t="shared" si="270"/>
        <v>1.6212336731245452E-3</v>
      </c>
      <c r="AO119" s="468">
        <f t="shared" si="234"/>
        <v>1.5473779999999997</v>
      </c>
      <c r="AP119" s="468" t="str">
        <f t="shared" si="235"/>
        <v/>
      </c>
      <c r="AQ119" s="344">
        <f>SUM(AQ120:AQ121)</f>
        <v>0</v>
      </c>
      <c r="AR119" s="54" t="str">
        <f t="shared" si="271"/>
        <v/>
      </c>
      <c r="AS119" s="238">
        <v>10</v>
      </c>
      <c r="AT119" s="54">
        <f t="shared" si="272"/>
        <v>6.6312997347480103E-4</v>
      </c>
      <c r="AU119" s="353">
        <f>+Расходы!G69/1000</f>
        <v>10.8065</v>
      </c>
      <c r="AV119" s="54">
        <f t="shared" si="273"/>
        <v>7.5817258692359424E-4</v>
      </c>
      <c r="AW119" s="468">
        <f t="shared" si="236"/>
        <v>8.0649999999999888E-2</v>
      </c>
      <c r="AX119" s="468" t="str">
        <f t="shared" si="237"/>
        <v/>
      </c>
      <c r="AY119" s="344">
        <f>SUM(AY120:AY121)</f>
        <v>0</v>
      </c>
      <c r="AZ119" s="54" t="str">
        <f t="shared" si="274"/>
        <v/>
      </c>
      <c r="BA119" s="238">
        <v>10</v>
      </c>
      <c r="BB119" s="54">
        <f t="shared" si="275"/>
        <v>6.382639221318015E-4</v>
      </c>
      <c r="BC119" s="353">
        <f>+Расходы!H69/1000</f>
        <v>0</v>
      </c>
      <c r="BD119" s="54" t="str">
        <f t="shared" si="276"/>
        <v/>
      </c>
      <c r="BE119" s="468">
        <f t="shared" si="238"/>
        <v>-1</v>
      </c>
      <c r="BF119" s="468" t="str">
        <f t="shared" si="239"/>
        <v/>
      </c>
      <c r="BG119" s="344">
        <f>SUM(BG120:BG121)</f>
        <v>0</v>
      </c>
      <c r="BH119" s="54" t="str">
        <f t="shared" si="277"/>
        <v/>
      </c>
      <c r="BI119" s="238">
        <v>10</v>
      </c>
      <c r="BJ119" s="54">
        <f t="shared" si="278"/>
        <v>6.382639221318015E-4</v>
      </c>
      <c r="BK119" s="353">
        <f>+Расходы!I69/1000</f>
        <v>0</v>
      </c>
      <c r="BL119" s="54" t="str">
        <f t="shared" si="279"/>
        <v/>
      </c>
      <c r="BM119" s="468">
        <f t="shared" si="240"/>
        <v>-1</v>
      </c>
      <c r="BN119" s="468" t="str">
        <f t="shared" si="241"/>
        <v/>
      </c>
      <c r="BO119" s="344">
        <f>SUM(BO120:BO121)</f>
        <v>0</v>
      </c>
      <c r="BP119" s="54" t="str">
        <f t="shared" si="280"/>
        <v/>
      </c>
      <c r="BQ119" s="238">
        <v>10</v>
      </c>
      <c r="BR119" s="54">
        <f t="shared" si="281"/>
        <v>6.9060773480662981E-4</v>
      </c>
      <c r="BS119" s="353">
        <f>+Расходы!J69/1000</f>
        <v>0</v>
      </c>
      <c r="BT119" s="54" t="str">
        <f t="shared" si="282"/>
        <v/>
      </c>
      <c r="BU119" s="468">
        <f t="shared" si="242"/>
        <v>-1</v>
      </c>
      <c r="BV119" s="468" t="str">
        <f t="shared" si="243"/>
        <v/>
      </c>
      <c r="BW119" s="344">
        <f>SUM(BW120:BW121)</f>
        <v>0</v>
      </c>
      <c r="BX119" s="54" t="str">
        <f t="shared" si="283"/>
        <v/>
      </c>
      <c r="BY119" s="238">
        <v>0</v>
      </c>
      <c r="BZ119" s="54" t="str">
        <f t="shared" si="284"/>
        <v/>
      </c>
      <c r="CA119" s="353">
        <f>+Расходы!K69/1000</f>
        <v>0</v>
      </c>
      <c r="CB119" s="54" t="str">
        <f t="shared" si="285"/>
        <v/>
      </c>
      <c r="CC119" s="468" t="str">
        <f t="shared" si="244"/>
        <v/>
      </c>
      <c r="CD119" s="468" t="str">
        <f t="shared" si="245"/>
        <v/>
      </c>
      <c r="CE119" s="344">
        <f>SUM(CE120:CE121)</f>
        <v>0</v>
      </c>
      <c r="CF119" s="54" t="str">
        <f t="shared" si="286"/>
        <v/>
      </c>
      <c r="CG119" s="238">
        <v>0</v>
      </c>
      <c r="CH119" s="54" t="str">
        <f t="shared" si="287"/>
        <v/>
      </c>
      <c r="CI119" s="353">
        <f>+Расходы!L69/1000</f>
        <v>0</v>
      </c>
      <c r="CJ119" s="54" t="str">
        <f t="shared" si="288"/>
        <v/>
      </c>
      <c r="CK119" s="468" t="str">
        <f t="shared" si="246"/>
        <v/>
      </c>
      <c r="CL119" s="468" t="str">
        <f t="shared" si="247"/>
        <v/>
      </c>
      <c r="CM119" s="344">
        <f>SUM(CM120:CM121)</f>
        <v>0</v>
      </c>
      <c r="CN119" s="54" t="str">
        <f t="shared" si="289"/>
        <v/>
      </c>
      <c r="CO119" s="238">
        <v>0</v>
      </c>
      <c r="CP119" s="54" t="str">
        <f t="shared" si="290"/>
        <v/>
      </c>
      <c r="CQ119" s="353">
        <f>+Расходы!M69/1000</f>
        <v>0</v>
      </c>
      <c r="CR119" s="54" t="str">
        <f t="shared" si="291"/>
        <v/>
      </c>
      <c r="CS119" s="468" t="str">
        <f t="shared" si="248"/>
        <v/>
      </c>
      <c r="CT119" s="468" t="str">
        <f t="shared" si="249"/>
        <v/>
      </c>
      <c r="CU119" s="344">
        <f t="shared" si="158"/>
        <v>0</v>
      </c>
      <c r="CV119" s="54" t="str">
        <f t="shared" si="250"/>
        <v/>
      </c>
      <c r="CW119" s="238">
        <f t="shared" si="159"/>
        <v>60</v>
      </c>
      <c r="CX119" s="54">
        <f t="shared" si="251"/>
        <v>4.5245464964869002E-4</v>
      </c>
      <c r="CY119" s="353">
        <f t="shared" si="252"/>
        <v>40.344899999999996</v>
      </c>
      <c r="CZ119" s="54">
        <f t="shared" si="253"/>
        <v>8.1325700289187192E-4</v>
      </c>
      <c r="DA119" s="468">
        <f t="shared" si="254"/>
        <v>-0.32758500000000013</v>
      </c>
      <c r="DB119" s="468" t="str">
        <f t="shared" si="255"/>
        <v/>
      </c>
    </row>
    <row r="120" spans="2:106" s="103" customFormat="1" ht="13.15" customHeight="1" outlineLevel="2">
      <c r="B120" s="61" t="str">
        <f>+Расходы!A70</f>
        <v>Содержание а/м</v>
      </c>
      <c r="C120" s="238"/>
      <c r="D120" s="54" t="str">
        <f t="shared" si="256"/>
        <v/>
      </c>
      <c r="E120" s="238"/>
      <c r="F120" s="54" t="str">
        <f t="shared" si="257"/>
        <v/>
      </c>
      <c r="G120" s="353">
        <f>+Расходы!B70/1000</f>
        <v>0</v>
      </c>
      <c r="H120" s="54" t="str">
        <f t="shared" si="258"/>
        <v/>
      </c>
      <c r="I120" s="468" t="str">
        <f t="shared" si="226"/>
        <v/>
      </c>
      <c r="J120" s="468" t="str">
        <f t="shared" si="227"/>
        <v/>
      </c>
      <c r="K120" s="238"/>
      <c r="L120" s="54" t="str">
        <f t="shared" si="259"/>
        <v/>
      </c>
      <c r="M120" s="238"/>
      <c r="N120" s="54" t="str">
        <f t="shared" si="260"/>
        <v/>
      </c>
      <c r="O120" s="353">
        <f>+Расходы!C70/1000</f>
        <v>0</v>
      </c>
      <c r="P120" s="54" t="str">
        <f t="shared" si="261"/>
        <v/>
      </c>
      <c r="Q120" s="468" t="str">
        <f t="shared" si="228"/>
        <v/>
      </c>
      <c r="R120" s="468" t="str">
        <f t="shared" si="229"/>
        <v/>
      </c>
      <c r="S120" s="238"/>
      <c r="T120" s="54" t="str">
        <f t="shared" si="262"/>
        <v/>
      </c>
      <c r="U120" s="238">
        <v>0</v>
      </c>
      <c r="V120" s="54" t="str">
        <f t="shared" si="263"/>
        <v/>
      </c>
      <c r="W120" s="353">
        <f>+Расходы!D70/1000</f>
        <v>0</v>
      </c>
      <c r="X120" s="54" t="str">
        <f t="shared" si="264"/>
        <v/>
      </c>
      <c r="Y120" s="468" t="str">
        <f t="shared" si="230"/>
        <v/>
      </c>
      <c r="Z120" s="468" t="str">
        <f t="shared" si="231"/>
        <v/>
      </c>
      <c r="AA120" s="238"/>
      <c r="AB120" s="54" t="str">
        <f t="shared" si="265"/>
        <v/>
      </c>
      <c r="AC120" s="238">
        <v>0</v>
      </c>
      <c r="AD120" s="54" t="str">
        <f t="shared" si="266"/>
        <v/>
      </c>
      <c r="AE120" s="353">
        <f>+Расходы!E70/1000</f>
        <v>4.3928599999999998</v>
      </c>
      <c r="AF120" s="54">
        <f t="shared" si="267"/>
        <v>3.2033806843041735E-4</v>
      </c>
      <c r="AG120" s="468" t="str">
        <f t="shared" si="232"/>
        <v/>
      </c>
      <c r="AH120" s="468" t="str">
        <f t="shared" si="233"/>
        <v/>
      </c>
      <c r="AI120" s="238"/>
      <c r="AJ120" s="54" t="str">
        <f t="shared" si="268"/>
        <v/>
      </c>
      <c r="AK120" s="238">
        <v>0</v>
      </c>
      <c r="AL120" s="54" t="str">
        <f t="shared" si="269"/>
        <v/>
      </c>
      <c r="AM120" s="353">
        <f>+Расходы!F70/1000</f>
        <v>1.4285699999999999</v>
      </c>
      <c r="AN120" s="54">
        <f t="shared" si="270"/>
        <v>9.0918810966237901E-5</v>
      </c>
      <c r="AO120" s="468" t="str">
        <f t="shared" si="234"/>
        <v/>
      </c>
      <c r="AP120" s="468" t="str">
        <f t="shared" si="235"/>
        <v/>
      </c>
      <c r="AQ120" s="344"/>
      <c r="AR120" s="54" t="str">
        <f t="shared" si="271"/>
        <v/>
      </c>
      <c r="AS120" s="238">
        <v>0</v>
      </c>
      <c r="AT120" s="54" t="str">
        <f t="shared" si="272"/>
        <v/>
      </c>
      <c r="AU120" s="353">
        <f>+Расходы!G70/1000</f>
        <v>0.37569999999999998</v>
      </c>
      <c r="AV120" s="54">
        <f t="shared" si="273"/>
        <v>2.6358713821051622E-5</v>
      </c>
      <c r="AW120" s="468" t="str">
        <f t="shared" si="236"/>
        <v/>
      </c>
      <c r="AX120" s="468" t="str">
        <f t="shared" si="237"/>
        <v/>
      </c>
      <c r="AY120" s="344"/>
      <c r="AZ120" s="54" t="str">
        <f t="shared" si="274"/>
        <v/>
      </c>
      <c r="BA120" s="238">
        <v>0</v>
      </c>
      <c r="BB120" s="54" t="str">
        <f t="shared" si="275"/>
        <v/>
      </c>
      <c r="BC120" s="353">
        <f>+Расходы!H70/1000</f>
        <v>0</v>
      </c>
      <c r="BD120" s="54" t="str">
        <f t="shared" si="276"/>
        <v/>
      </c>
      <c r="BE120" s="468" t="str">
        <f t="shared" si="238"/>
        <v/>
      </c>
      <c r="BF120" s="468" t="str">
        <f t="shared" si="239"/>
        <v/>
      </c>
      <c r="BG120" s="344"/>
      <c r="BH120" s="54" t="str">
        <f t="shared" si="277"/>
        <v/>
      </c>
      <c r="BI120" s="238">
        <v>0</v>
      </c>
      <c r="BJ120" s="54" t="str">
        <f t="shared" si="278"/>
        <v/>
      </c>
      <c r="BK120" s="353">
        <f>+Расходы!I70/1000</f>
        <v>0</v>
      </c>
      <c r="BL120" s="54" t="str">
        <f t="shared" si="279"/>
        <v/>
      </c>
      <c r="BM120" s="468" t="str">
        <f t="shared" si="240"/>
        <v/>
      </c>
      <c r="BN120" s="468" t="str">
        <f t="shared" si="241"/>
        <v/>
      </c>
      <c r="BO120" s="344"/>
      <c r="BP120" s="54" t="str">
        <f t="shared" si="280"/>
        <v/>
      </c>
      <c r="BQ120" s="238">
        <v>0</v>
      </c>
      <c r="BR120" s="54" t="str">
        <f t="shared" si="281"/>
        <v/>
      </c>
      <c r="BS120" s="353">
        <f>+Расходы!J70/1000</f>
        <v>0</v>
      </c>
      <c r="BT120" s="54" t="str">
        <f t="shared" si="282"/>
        <v/>
      </c>
      <c r="BU120" s="468" t="str">
        <f t="shared" si="242"/>
        <v/>
      </c>
      <c r="BV120" s="468" t="str">
        <f t="shared" si="243"/>
        <v/>
      </c>
      <c r="BW120" s="344"/>
      <c r="BX120" s="54" t="str">
        <f t="shared" si="283"/>
        <v/>
      </c>
      <c r="BY120" s="238">
        <v>0</v>
      </c>
      <c r="BZ120" s="54" t="str">
        <f t="shared" si="284"/>
        <v/>
      </c>
      <c r="CA120" s="353">
        <f>+Расходы!K70/1000</f>
        <v>0</v>
      </c>
      <c r="CB120" s="54" t="str">
        <f t="shared" si="285"/>
        <v/>
      </c>
      <c r="CC120" s="468" t="str">
        <f t="shared" si="244"/>
        <v/>
      </c>
      <c r="CD120" s="468" t="str">
        <f t="shared" si="245"/>
        <v/>
      </c>
      <c r="CE120" s="344"/>
      <c r="CF120" s="54" t="str">
        <f t="shared" si="286"/>
        <v/>
      </c>
      <c r="CG120" s="238">
        <v>0</v>
      </c>
      <c r="CH120" s="54" t="str">
        <f t="shared" si="287"/>
        <v/>
      </c>
      <c r="CI120" s="353">
        <f>+Расходы!L70/1000</f>
        <v>0</v>
      </c>
      <c r="CJ120" s="54" t="str">
        <f t="shared" si="288"/>
        <v/>
      </c>
      <c r="CK120" s="468" t="str">
        <f t="shared" si="246"/>
        <v/>
      </c>
      <c r="CL120" s="468" t="str">
        <f t="shared" si="247"/>
        <v/>
      </c>
      <c r="CM120" s="344"/>
      <c r="CN120" s="54" t="str">
        <f t="shared" si="289"/>
        <v/>
      </c>
      <c r="CO120" s="238">
        <v>0</v>
      </c>
      <c r="CP120" s="54" t="str">
        <f t="shared" si="290"/>
        <v/>
      </c>
      <c r="CQ120" s="353">
        <f>+Расходы!M70/1000</f>
        <v>0</v>
      </c>
      <c r="CR120" s="54" t="str">
        <f t="shared" si="291"/>
        <v/>
      </c>
      <c r="CS120" s="468" t="str">
        <f t="shared" si="248"/>
        <v/>
      </c>
      <c r="CT120" s="468" t="str">
        <f t="shared" si="249"/>
        <v/>
      </c>
      <c r="CU120" s="344">
        <f t="shared" si="158"/>
        <v>0</v>
      </c>
      <c r="CV120" s="54" t="str">
        <f t="shared" si="250"/>
        <v/>
      </c>
      <c r="CW120" s="238">
        <f t="shared" si="159"/>
        <v>0</v>
      </c>
      <c r="CX120" s="54">
        <f t="shared" si="251"/>
        <v>0</v>
      </c>
      <c r="CY120" s="353">
        <f t="shared" si="252"/>
        <v>6.1971299999999996</v>
      </c>
      <c r="CZ120" s="54">
        <f t="shared" si="253"/>
        <v>1.2491936701618559E-4</v>
      </c>
      <c r="DA120" s="468" t="str">
        <f t="shared" si="254"/>
        <v/>
      </c>
      <c r="DB120" s="468" t="str">
        <f t="shared" si="255"/>
        <v/>
      </c>
    </row>
    <row r="121" spans="2:106" s="103" customFormat="1" ht="13.15" customHeight="1" outlineLevel="2">
      <c r="B121" s="61" t="str">
        <f>+Расходы!A71</f>
        <v>Транспортные расходы текущие</v>
      </c>
      <c r="C121" s="238"/>
      <c r="D121" s="54" t="str">
        <f t="shared" si="256"/>
        <v/>
      </c>
      <c r="E121" s="238"/>
      <c r="F121" s="54" t="str">
        <f t="shared" si="257"/>
        <v/>
      </c>
      <c r="G121" s="353">
        <f>+Расходы!B71/1000</f>
        <v>0</v>
      </c>
      <c r="H121" s="54" t="str">
        <f t="shared" si="258"/>
        <v/>
      </c>
      <c r="I121" s="468" t="str">
        <f t="shared" si="226"/>
        <v/>
      </c>
      <c r="J121" s="468" t="str">
        <f t="shared" si="227"/>
        <v/>
      </c>
      <c r="K121" s="238"/>
      <c r="L121" s="54" t="str">
        <f t="shared" si="259"/>
        <v/>
      </c>
      <c r="M121" s="238"/>
      <c r="N121" s="54" t="str">
        <f t="shared" si="260"/>
        <v/>
      </c>
      <c r="O121" s="353">
        <f>+Расходы!C71/1000</f>
        <v>0</v>
      </c>
      <c r="P121" s="54" t="str">
        <f t="shared" si="261"/>
        <v/>
      </c>
      <c r="Q121" s="468" t="str">
        <f t="shared" si="228"/>
        <v/>
      </c>
      <c r="R121" s="468" t="str">
        <f t="shared" si="229"/>
        <v/>
      </c>
      <c r="S121" s="238"/>
      <c r="T121" s="54" t="str">
        <f t="shared" si="262"/>
        <v/>
      </c>
      <c r="U121" s="238">
        <v>0</v>
      </c>
      <c r="V121" s="54" t="str">
        <f t="shared" si="263"/>
        <v/>
      </c>
      <c r="W121" s="353">
        <f>+Расходы!D71/1000</f>
        <v>29.71734</v>
      </c>
      <c r="X121" s="54">
        <f t="shared" si="264"/>
        <v>5.0114403278301491E-3</v>
      </c>
      <c r="Y121" s="468" t="str">
        <f t="shared" si="230"/>
        <v/>
      </c>
      <c r="Z121" s="468" t="str">
        <f t="shared" si="231"/>
        <v/>
      </c>
      <c r="AA121" s="238"/>
      <c r="AB121" s="54" t="str">
        <f t="shared" si="265"/>
        <v/>
      </c>
      <c r="AC121" s="238">
        <v>30</v>
      </c>
      <c r="AD121" s="54">
        <f t="shared" si="266"/>
        <v>2.1942913316715233E-3</v>
      </c>
      <c r="AE121" s="353">
        <f>+Расходы!E71/1000</f>
        <v>53.34</v>
      </c>
      <c r="AF121" s="54">
        <f t="shared" si="267"/>
        <v>3.8896829332322144E-3</v>
      </c>
      <c r="AG121" s="468">
        <f t="shared" si="232"/>
        <v>0.77800000000000002</v>
      </c>
      <c r="AH121" s="468" t="str">
        <f t="shared" si="233"/>
        <v/>
      </c>
      <c r="AI121" s="238"/>
      <c r="AJ121" s="54" t="str">
        <f t="shared" si="268"/>
        <v/>
      </c>
      <c r="AK121" s="238">
        <v>30</v>
      </c>
      <c r="AL121" s="54">
        <f t="shared" si="269"/>
        <v>2.1471514457486402E-3</v>
      </c>
      <c r="AM121" s="353">
        <f>+Расходы!F71/1000</f>
        <v>56.478000000000002</v>
      </c>
      <c r="AN121" s="54">
        <f t="shared" si="270"/>
        <v>3.5944424184682477E-3</v>
      </c>
      <c r="AO121" s="468">
        <f t="shared" si="234"/>
        <v>0.88260000000000005</v>
      </c>
      <c r="AP121" s="468" t="str">
        <f t="shared" si="235"/>
        <v/>
      </c>
      <c r="AQ121" s="344"/>
      <c r="AR121" s="54" t="str">
        <f t="shared" si="271"/>
        <v/>
      </c>
      <c r="AS121" s="238">
        <v>45</v>
      </c>
      <c r="AT121" s="54">
        <f t="shared" si="272"/>
        <v>2.9840848806366046E-3</v>
      </c>
      <c r="AU121" s="353">
        <f>+Расходы!G71/1000</f>
        <v>36.977499999999999</v>
      </c>
      <c r="AV121" s="54">
        <f t="shared" si="273"/>
        <v>2.5943022100557264E-3</v>
      </c>
      <c r="AW121" s="468">
        <f t="shared" si="236"/>
        <v>-0.17827777777777776</v>
      </c>
      <c r="AX121" s="468" t="str">
        <f t="shared" si="237"/>
        <v/>
      </c>
      <c r="AY121" s="344"/>
      <c r="AZ121" s="54" t="str">
        <f t="shared" si="274"/>
        <v/>
      </c>
      <c r="BA121" s="238">
        <v>45</v>
      </c>
      <c r="BB121" s="54">
        <f t="shared" si="275"/>
        <v>2.8721876495931067E-3</v>
      </c>
      <c r="BC121" s="353">
        <f>+Расходы!H71/1000</f>
        <v>0</v>
      </c>
      <c r="BD121" s="54" t="str">
        <f t="shared" si="276"/>
        <v/>
      </c>
      <c r="BE121" s="468">
        <f t="shared" si="238"/>
        <v>-1</v>
      </c>
      <c r="BF121" s="468" t="str">
        <f t="shared" si="239"/>
        <v/>
      </c>
      <c r="BG121" s="344"/>
      <c r="BH121" s="54" t="str">
        <f t="shared" si="277"/>
        <v/>
      </c>
      <c r="BI121" s="238">
        <v>45</v>
      </c>
      <c r="BJ121" s="54">
        <f t="shared" si="278"/>
        <v>2.8721876495931067E-3</v>
      </c>
      <c r="BK121" s="353">
        <f>+Расходы!I71/1000</f>
        <v>0</v>
      </c>
      <c r="BL121" s="54" t="str">
        <f t="shared" si="279"/>
        <v/>
      </c>
      <c r="BM121" s="468">
        <f t="shared" si="240"/>
        <v>-1</v>
      </c>
      <c r="BN121" s="468" t="str">
        <f t="shared" si="241"/>
        <v/>
      </c>
      <c r="BO121" s="344"/>
      <c r="BP121" s="54" t="str">
        <f t="shared" si="280"/>
        <v/>
      </c>
      <c r="BQ121" s="238">
        <v>45</v>
      </c>
      <c r="BR121" s="54">
        <f t="shared" si="281"/>
        <v>3.1077348066298341E-3</v>
      </c>
      <c r="BS121" s="353">
        <f>+Расходы!J71/1000</f>
        <v>0</v>
      </c>
      <c r="BT121" s="54" t="str">
        <f t="shared" si="282"/>
        <v/>
      </c>
      <c r="BU121" s="468">
        <f t="shared" si="242"/>
        <v>-1</v>
      </c>
      <c r="BV121" s="468" t="str">
        <f t="shared" si="243"/>
        <v/>
      </c>
      <c r="BW121" s="344"/>
      <c r="BX121" s="54" t="str">
        <f t="shared" si="283"/>
        <v/>
      </c>
      <c r="BY121" s="238">
        <v>0</v>
      </c>
      <c r="BZ121" s="54" t="str">
        <f t="shared" si="284"/>
        <v/>
      </c>
      <c r="CA121" s="353">
        <f>+Расходы!K71/1000</f>
        <v>0</v>
      </c>
      <c r="CB121" s="54" t="str">
        <f t="shared" si="285"/>
        <v/>
      </c>
      <c r="CC121" s="468" t="str">
        <f t="shared" si="244"/>
        <v/>
      </c>
      <c r="CD121" s="468" t="str">
        <f t="shared" si="245"/>
        <v/>
      </c>
      <c r="CE121" s="344"/>
      <c r="CF121" s="54" t="str">
        <f t="shared" si="286"/>
        <v/>
      </c>
      <c r="CG121" s="238">
        <v>0</v>
      </c>
      <c r="CH121" s="54" t="str">
        <f t="shared" si="287"/>
        <v/>
      </c>
      <c r="CI121" s="353">
        <f>+Расходы!L71/1000</f>
        <v>0</v>
      </c>
      <c r="CJ121" s="54" t="str">
        <f t="shared" si="288"/>
        <v/>
      </c>
      <c r="CK121" s="468" t="str">
        <f t="shared" si="246"/>
        <v/>
      </c>
      <c r="CL121" s="468" t="str">
        <f t="shared" si="247"/>
        <v/>
      </c>
      <c r="CM121" s="344"/>
      <c r="CN121" s="54" t="str">
        <f t="shared" si="289"/>
        <v/>
      </c>
      <c r="CO121" s="238">
        <v>0</v>
      </c>
      <c r="CP121" s="54" t="str">
        <f t="shared" si="290"/>
        <v/>
      </c>
      <c r="CQ121" s="353">
        <f>+Расходы!M71/1000</f>
        <v>0</v>
      </c>
      <c r="CR121" s="54" t="str">
        <f t="shared" si="291"/>
        <v/>
      </c>
      <c r="CS121" s="468" t="str">
        <f t="shared" si="248"/>
        <v/>
      </c>
      <c r="CT121" s="468" t="str">
        <f t="shared" si="249"/>
        <v/>
      </c>
      <c r="CU121" s="344">
        <f t="shared" si="158"/>
        <v>0</v>
      </c>
      <c r="CV121" s="54" t="str">
        <f t="shared" si="250"/>
        <v/>
      </c>
      <c r="CW121" s="238">
        <f t="shared" si="159"/>
        <v>240</v>
      </c>
      <c r="CX121" s="54">
        <f t="shared" si="251"/>
        <v>1.8098185985947601E-3</v>
      </c>
      <c r="CY121" s="353">
        <f t="shared" si="252"/>
        <v>176.51284000000001</v>
      </c>
      <c r="CZ121" s="54">
        <f t="shared" si="253"/>
        <v>3.5580780527484897E-3</v>
      </c>
      <c r="DA121" s="468">
        <f t="shared" si="254"/>
        <v>-0.26452983333333324</v>
      </c>
      <c r="DB121" s="468" t="str">
        <f t="shared" si="255"/>
        <v/>
      </c>
    </row>
    <row r="122" spans="2:106" s="103" customFormat="1" ht="13.9" customHeight="1" outlineLevel="1">
      <c r="B122" s="58" t="str">
        <f>+Расходы!A72</f>
        <v>Услуги</v>
      </c>
      <c r="C122" s="480">
        <f>SUM(C123:C170)</f>
        <v>0</v>
      </c>
      <c r="D122" s="51" t="str">
        <f t="shared" si="256"/>
        <v/>
      </c>
      <c r="E122" s="480">
        <f>SUM(E123:E170)</f>
        <v>0</v>
      </c>
      <c r="F122" s="51" t="str">
        <f t="shared" si="257"/>
        <v/>
      </c>
      <c r="G122" s="354">
        <f>+Расходы!B72/1000</f>
        <v>0</v>
      </c>
      <c r="H122" s="51" t="str">
        <f t="shared" si="258"/>
        <v/>
      </c>
      <c r="I122" s="478" t="str">
        <f t="shared" si="226"/>
        <v/>
      </c>
      <c r="J122" s="478" t="str">
        <f t="shared" si="227"/>
        <v/>
      </c>
      <c r="K122" s="480">
        <f>SUM(K123:K170)</f>
        <v>0</v>
      </c>
      <c r="L122" s="51" t="str">
        <f t="shared" si="259"/>
        <v/>
      </c>
      <c r="M122" s="480">
        <f>SUM(M123:M170)</f>
        <v>0</v>
      </c>
      <c r="N122" s="51" t="str">
        <f t="shared" si="260"/>
        <v/>
      </c>
      <c r="O122" s="354">
        <f>+Расходы!C72/1000</f>
        <v>0</v>
      </c>
      <c r="P122" s="51" t="str">
        <f t="shared" si="261"/>
        <v/>
      </c>
      <c r="Q122" s="478" t="str">
        <f t="shared" si="228"/>
        <v/>
      </c>
      <c r="R122" s="478" t="str">
        <f t="shared" si="229"/>
        <v/>
      </c>
      <c r="S122" s="480">
        <f>SUM(S123:S170)</f>
        <v>0</v>
      </c>
      <c r="T122" s="51" t="str">
        <f t="shared" si="262"/>
        <v/>
      </c>
      <c r="U122" s="480">
        <f>SUM(U123:U170)</f>
        <v>0</v>
      </c>
      <c r="V122" s="51" t="str">
        <f t="shared" si="263"/>
        <v/>
      </c>
      <c r="W122" s="354">
        <f>+Расходы!D72/1000</f>
        <v>92.270700000000005</v>
      </c>
      <c r="X122" s="51">
        <f t="shared" si="264"/>
        <v>1.5560245535337866E-2</v>
      </c>
      <c r="Y122" s="478" t="str">
        <f t="shared" si="230"/>
        <v/>
      </c>
      <c r="Z122" s="478" t="str">
        <f t="shared" si="231"/>
        <v/>
      </c>
      <c r="AA122" s="480">
        <f>SUM(AA123:AA170)</f>
        <v>0</v>
      </c>
      <c r="AB122" s="51" t="str">
        <f t="shared" si="265"/>
        <v/>
      </c>
      <c r="AC122" s="480">
        <f>SUM(AC123:AC170)</f>
        <v>296.05</v>
      </c>
      <c r="AD122" s="51">
        <f t="shared" si="266"/>
        <v>2.1653998291378485E-2</v>
      </c>
      <c r="AE122" s="354">
        <f>+Расходы!E72/1000</f>
        <v>351.12606</v>
      </c>
      <c r="AF122" s="51">
        <f t="shared" si="267"/>
        <v>2.5604968935040689E-2</v>
      </c>
      <c r="AG122" s="478">
        <f t="shared" si="232"/>
        <v>0.18603634521195733</v>
      </c>
      <c r="AH122" s="478" t="str">
        <f t="shared" si="233"/>
        <v/>
      </c>
      <c r="AI122" s="480">
        <f>SUM(AI123:AI170)</f>
        <v>0</v>
      </c>
      <c r="AJ122" s="51" t="str">
        <f t="shared" si="268"/>
        <v/>
      </c>
      <c r="AK122" s="480">
        <f>SUM(AK123:AK170)</f>
        <v>375.05</v>
      </c>
      <c r="AL122" s="51">
        <f t="shared" si="269"/>
        <v>2.6842971657600918E-2</v>
      </c>
      <c r="AM122" s="354">
        <f>+Расходы!F72/1000</f>
        <v>434.44233000000003</v>
      </c>
      <c r="AN122" s="51">
        <f t="shared" si="270"/>
        <v>2.7649313703215068E-2</v>
      </c>
      <c r="AO122" s="478">
        <f t="shared" si="234"/>
        <v>0.15835843220903878</v>
      </c>
      <c r="AP122" s="478" t="str">
        <f t="shared" si="235"/>
        <v/>
      </c>
      <c r="AQ122" s="481">
        <f>SUM(AQ123:AQ170)</f>
        <v>0</v>
      </c>
      <c r="AR122" s="51" t="str">
        <f t="shared" si="271"/>
        <v/>
      </c>
      <c r="AS122" s="480">
        <f>SUM(AS123:AS170)</f>
        <v>519</v>
      </c>
      <c r="AT122" s="51">
        <f t="shared" si="272"/>
        <v>3.4416445623342173E-2</v>
      </c>
      <c r="AU122" s="354">
        <f>+Расходы!G72/1000</f>
        <v>389.18196999999998</v>
      </c>
      <c r="AV122" s="51">
        <f t="shared" si="273"/>
        <v>2.7304594547626026E-2</v>
      </c>
      <c r="AW122" s="478">
        <f t="shared" si="236"/>
        <v>-0.2501310789980733</v>
      </c>
      <c r="AX122" s="478" t="str">
        <f t="shared" si="237"/>
        <v/>
      </c>
      <c r="AY122" s="481">
        <f>SUM(AY123:AY170)</f>
        <v>0</v>
      </c>
      <c r="AZ122" s="51" t="str">
        <f t="shared" si="274"/>
        <v/>
      </c>
      <c r="BA122" s="480">
        <f>SUM(BA123:BA170)</f>
        <v>504</v>
      </c>
      <c r="BB122" s="51">
        <f t="shared" si="275"/>
        <v>3.2168501675442794E-2</v>
      </c>
      <c r="BC122" s="354">
        <f>+Расходы!H72/1000</f>
        <v>0</v>
      </c>
      <c r="BD122" s="51" t="str">
        <f t="shared" si="276"/>
        <v/>
      </c>
      <c r="BE122" s="478">
        <f t="shared" si="238"/>
        <v>-1</v>
      </c>
      <c r="BF122" s="478" t="str">
        <f t="shared" si="239"/>
        <v/>
      </c>
      <c r="BG122" s="481">
        <f>SUM(BG123:BG170)</f>
        <v>0</v>
      </c>
      <c r="BH122" s="51" t="str">
        <f t="shared" si="277"/>
        <v/>
      </c>
      <c r="BI122" s="480">
        <f>SUM(BI123:BI170)</f>
        <v>504</v>
      </c>
      <c r="BJ122" s="51">
        <f t="shared" si="278"/>
        <v>3.2168501675442794E-2</v>
      </c>
      <c r="BK122" s="354">
        <f>+Расходы!I72/1000</f>
        <v>0</v>
      </c>
      <c r="BL122" s="51" t="str">
        <f t="shared" si="279"/>
        <v/>
      </c>
      <c r="BM122" s="478">
        <f t="shared" si="240"/>
        <v>-1</v>
      </c>
      <c r="BN122" s="478" t="str">
        <f t="shared" si="241"/>
        <v/>
      </c>
      <c r="BO122" s="481">
        <f>SUM(BO123:BO170)</f>
        <v>0</v>
      </c>
      <c r="BP122" s="51" t="str">
        <f t="shared" si="280"/>
        <v/>
      </c>
      <c r="BQ122" s="480">
        <f>SUM(BQ123:BQ170)</f>
        <v>519</v>
      </c>
      <c r="BR122" s="51">
        <f t="shared" si="281"/>
        <v>3.5842541436464086E-2</v>
      </c>
      <c r="BS122" s="354">
        <f>+Расходы!J72/1000</f>
        <v>0</v>
      </c>
      <c r="BT122" s="51" t="str">
        <f t="shared" si="282"/>
        <v/>
      </c>
      <c r="BU122" s="478">
        <f t="shared" si="242"/>
        <v>-1</v>
      </c>
      <c r="BV122" s="478" t="str">
        <f t="shared" si="243"/>
        <v/>
      </c>
      <c r="BW122" s="481">
        <f>SUM(BW123:BW170)</f>
        <v>0</v>
      </c>
      <c r="BX122" s="51" t="str">
        <f t="shared" si="283"/>
        <v/>
      </c>
      <c r="BY122" s="480">
        <f>SUM(BY123:BY170)</f>
        <v>0</v>
      </c>
      <c r="BZ122" s="51" t="str">
        <f t="shared" si="284"/>
        <v/>
      </c>
      <c r="CA122" s="354">
        <f>+Расходы!K72/1000</f>
        <v>0</v>
      </c>
      <c r="CB122" s="51" t="str">
        <f t="shared" si="285"/>
        <v/>
      </c>
      <c r="CC122" s="478" t="str">
        <f t="shared" si="244"/>
        <v/>
      </c>
      <c r="CD122" s="478" t="str">
        <f t="shared" si="245"/>
        <v/>
      </c>
      <c r="CE122" s="481">
        <f>SUM(CE123:CE170)</f>
        <v>0</v>
      </c>
      <c r="CF122" s="51" t="str">
        <f t="shared" si="286"/>
        <v/>
      </c>
      <c r="CG122" s="480">
        <f>SUM(CG123:CG170)</f>
        <v>0</v>
      </c>
      <c r="CH122" s="51" t="str">
        <f t="shared" si="287"/>
        <v/>
      </c>
      <c r="CI122" s="354">
        <f>+Расходы!L72/1000</f>
        <v>0</v>
      </c>
      <c r="CJ122" s="51" t="str">
        <f t="shared" si="288"/>
        <v/>
      </c>
      <c r="CK122" s="478" t="str">
        <f t="shared" si="246"/>
        <v/>
      </c>
      <c r="CL122" s="478" t="str">
        <f t="shared" si="247"/>
        <v/>
      </c>
      <c r="CM122" s="481">
        <f>SUM(CM123:CM170)</f>
        <v>0</v>
      </c>
      <c r="CN122" s="51" t="str">
        <f t="shared" si="289"/>
        <v/>
      </c>
      <c r="CO122" s="480">
        <f>SUM(CO123:CO170)</f>
        <v>0</v>
      </c>
      <c r="CP122" s="51" t="str">
        <f t="shared" si="290"/>
        <v/>
      </c>
      <c r="CQ122" s="354">
        <f>+Расходы!M72/1000</f>
        <v>0</v>
      </c>
      <c r="CR122" s="51" t="str">
        <f t="shared" si="291"/>
        <v/>
      </c>
      <c r="CS122" s="478" t="str">
        <f t="shared" si="248"/>
        <v/>
      </c>
      <c r="CT122" s="478" t="str">
        <f t="shared" si="249"/>
        <v/>
      </c>
      <c r="CU122" s="481">
        <f t="shared" si="158"/>
        <v>0</v>
      </c>
      <c r="CV122" s="51" t="str">
        <f t="shared" si="250"/>
        <v/>
      </c>
      <c r="CW122" s="480">
        <f t="shared" si="159"/>
        <v>2717.1</v>
      </c>
      <c r="CX122" s="51">
        <f t="shared" si="251"/>
        <v>2.0489408809340928E-2</v>
      </c>
      <c r="CY122" s="354">
        <f t="shared" si="252"/>
        <v>1267.02106</v>
      </c>
      <c r="CZ122" s="51">
        <f t="shared" si="253"/>
        <v>2.5540124026989353E-2</v>
      </c>
      <c r="DA122" s="478">
        <f t="shared" si="254"/>
        <v>-0.53368626108718853</v>
      </c>
      <c r="DB122" s="478" t="str">
        <f t="shared" si="255"/>
        <v/>
      </c>
    </row>
    <row r="123" spans="2:106" s="103" customFormat="1" ht="13.15" customHeight="1" outlineLevel="2">
      <c r="B123" s="61" t="str">
        <f>+Расходы!A73</f>
        <v>Авторское вознаграждение</v>
      </c>
      <c r="C123" s="238"/>
      <c r="D123" s="54" t="str">
        <f t="shared" si="256"/>
        <v/>
      </c>
      <c r="E123" s="238"/>
      <c r="F123" s="54" t="str">
        <f t="shared" si="257"/>
        <v/>
      </c>
      <c r="G123" s="353">
        <f>+Расходы!B73/1000</f>
        <v>0</v>
      </c>
      <c r="H123" s="54" t="str">
        <f t="shared" si="258"/>
        <v/>
      </c>
      <c r="I123" s="468" t="str">
        <f t="shared" si="226"/>
        <v/>
      </c>
      <c r="J123" s="468" t="str">
        <f t="shared" si="227"/>
        <v/>
      </c>
      <c r="K123" s="238"/>
      <c r="L123" s="54" t="str">
        <f t="shared" si="259"/>
        <v/>
      </c>
      <c r="M123" s="238"/>
      <c r="N123" s="54" t="str">
        <f t="shared" si="260"/>
        <v/>
      </c>
      <c r="O123" s="353">
        <f>+Расходы!C73/1000</f>
        <v>0</v>
      </c>
      <c r="P123" s="54" t="str">
        <f t="shared" si="261"/>
        <v/>
      </c>
      <c r="Q123" s="468" t="str">
        <f t="shared" si="228"/>
        <v/>
      </c>
      <c r="R123" s="468" t="str">
        <f t="shared" si="229"/>
        <v/>
      </c>
      <c r="S123" s="238"/>
      <c r="T123" s="54" t="str">
        <f t="shared" si="262"/>
        <v/>
      </c>
      <c r="U123" s="238">
        <v>0</v>
      </c>
      <c r="V123" s="54" t="str">
        <f t="shared" si="263"/>
        <v/>
      </c>
      <c r="W123" s="353">
        <f>+Расходы!D73/1000</f>
        <v>0</v>
      </c>
      <c r="X123" s="54" t="str">
        <f t="shared" si="264"/>
        <v/>
      </c>
      <c r="Y123" s="468" t="str">
        <f t="shared" si="230"/>
        <v/>
      </c>
      <c r="Z123" s="468" t="str">
        <f t="shared" si="231"/>
        <v/>
      </c>
      <c r="AA123" s="238"/>
      <c r="AB123" s="54" t="str">
        <f t="shared" si="265"/>
        <v/>
      </c>
      <c r="AC123" s="238">
        <v>13</v>
      </c>
      <c r="AD123" s="54">
        <f t="shared" si="266"/>
        <v>9.5085957705766009E-4</v>
      </c>
      <c r="AE123" s="353">
        <f>+Расходы!E73/1000</f>
        <v>0</v>
      </c>
      <c r="AF123" s="54" t="str">
        <f t="shared" si="267"/>
        <v/>
      </c>
      <c r="AG123" s="468">
        <f t="shared" si="232"/>
        <v>-1</v>
      </c>
      <c r="AH123" s="468" t="str">
        <f t="shared" si="233"/>
        <v/>
      </c>
      <c r="AI123" s="238"/>
      <c r="AJ123" s="54" t="str">
        <f t="shared" si="268"/>
        <v/>
      </c>
      <c r="AK123" s="238">
        <v>13</v>
      </c>
      <c r="AL123" s="54">
        <f t="shared" si="269"/>
        <v>9.3043229315774409E-4</v>
      </c>
      <c r="AM123" s="353">
        <f>+Расходы!F73/1000</f>
        <v>0</v>
      </c>
      <c r="AN123" s="54" t="str">
        <f t="shared" si="270"/>
        <v/>
      </c>
      <c r="AO123" s="468">
        <f t="shared" si="234"/>
        <v>-1</v>
      </c>
      <c r="AP123" s="468" t="str">
        <f t="shared" si="235"/>
        <v/>
      </c>
      <c r="AQ123" s="344"/>
      <c r="AR123" s="54" t="str">
        <f t="shared" si="271"/>
        <v/>
      </c>
      <c r="AS123" s="238">
        <v>13</v>
      </c>
      <c r="AT123" s="54">
        <f t="shared" si="272"/>
        <v>8.6206896551724137E-4</v>
      </c>
      <c r="AU123" s="353">
        <f>+Расходы!G73/1000</f>
        <v>0</v>
      </c>
      <c r="AV123" s="54" t="str">
        <f t="shared" si="273"/>
        <v/>
      </c>
      <c r="AW123" s="468">
        <f t="shared" si="236"/>
        <v>-1</v>
      </c>
      <c r="AX123" s="468" t="str">
        <f t="shared" si="237"/>
        <v/>
      </c>
      <c r="AY123" s="344"/>
      <c r="AZ123" s="54" t="str">
        <f t="shared" si="274"/>
        <v/>
      </c>
      <c r="BA123" s="238">
        <v>13</v>
      </c>
      <c r="BB123" s="54">
        <f t="shared" si="275"/>
        <v>8.2974309877134199E-4</v>
      </c>
      <c r="BC123" s="353">
        <f>+Расходы!H73/1000</f>
        <v>0</v>
      </c>
      <c r="BD123" s="54" t="str">
        <f t="shared" si="276"/>
        <v/>
      </c>
      <c r="BE123" s="468">
        <f t="shared" si="238"/>
        <v>-1</v>
      </c>
      <c r="BF123" s="468" t="str">
        <f t="shared" si="239"/>
        <v/>
      </c>
      <c r="BG123" s="344"/>
      <c r="BH123" s="54" t="str">
        <f t="shared" si="277"/>
        <v/>
      </c>
      <c r="BI123" s="238">
        <v>13</v>
      </c>
      <c r="BJ123" s="54">
        <f t="shared" si="278"/>
        <v>8.2974309877134199E-4</v>
      </c>
      <c r="BK123" s="353">
        <f>+Расходы!I73/1000</f>
        <v>0</v>
      </c>
      <c r="BL123" s="54" t="str">
        <f t="shared" si="279"/>
        <v/>
      </c>
      <c r="BM123" s="468">
        <f t="shared" si="240"/>
        <v>-1</v>
      </c>
      <c r="BN123" s="468" t="str">
        <f t="shared" si="241"/>
        <v/>
      </c>
      <c r="BO123" s="344"/>
      <c r="BP123" s="54" t="str">
        <f t="shared" si="280"/>
        <v/>
      </c>
      <c r="BQ123" s="238">
        <v>13</v>
      </c>
      <c r="BR123" s="54">
        <f t="shared" si="281"/>
        <v>8.9779005524861881E-4</v>
      </c>
      <c r="BS123" s="353">
        <f>+Расходы!J73/1000</f>
        <v>0</v>
      </c>
      <c r="BT123" s="54" t="str">
        <f t="shared" si="282"/>
        <v/>
      </c>
      <c r="BU123" s="468">
        <f t="shared" si="242"/>
        <v>-1</v>
      </c>
      <c r="BV123" s="468" t="str">
        <f t="shared" si="243"/>
        <v/>
      </c>
      <c r="BW123" s="344"/>
      <c r="BX123" s="54" t="str">
        <f t="shared" si="283"/>
        <v/>
      </c>
      <c r="BY123" s="238">
        <v>0</v>
      </c>
      <c r="BZ123" s="54" t="str">
        <f t="shared" si="284"/>
        <v/>
      </c>
      <c r="CA123" s="353">
        <f>+Расходы!K73/1000</f>
        <v>0</v>
      </c>
      <c r="CB123" s="54" t="str">
        <f t="shared" si="285"/>
        <v/>
      </c>
      <c r="CC123" s="468" t="str">
        <f t="shared" si="244"/>
        <v/>
      </c>
      <c r="CD123" s="468" t="str">
        <f t="shared" si="245"/>
        <v/>
      </c>
      <c r="CE123" s="344"/>
      <c r="CF123" s="54" t="str">
        <f t="shared" si="286"/>
        <v/>
      </c>
      <c r="CG123" s="238">
        <v>0</v>
      </c>
      <c r="CH123" s="54" t="str">
        <f t="shared" si="287"/>
        <v/>
      </c>
      <c r="CI123" s="353">
        <f>+Расходы!L73/1000</f>
        <v>0</v>
      </c>
      <c r="CJ123" s="54" t="str">
        <f t="shared" si="288"/>
        <v/>
      </c>
      <c r="CK123" s="468" t="str">
        <f t="shared" si="246"/>
        <v/>
      </c>
      <c r="CL123" s="468" t="str">
        <f t="shared" si="247"/>
        <v/>
      </c>
      <c r="CM123" s="344"/>
      <c r="CN123" s="54" t="str">
        <f t="shared" si="289"/>
        <v/>
      </c>
      <c r="CO123" s="238">
        <v>0</v>
      </c>
      <c r="CP123" s="54" t="str">
        <f t="shared" si="290"/>
        <v/>
      </c>
      <c r="CQ123" s="353">
        <f>+Расходы!M73/1000</f>
        <v>0</v>
      </c>
      <c r="CR123" s="54" t="str">
        <f t="shared" si="291"/>
        <v/>
      </c>
      <c r="CS123" s="468" t="str">
        <f t="shared" si="248"/>
        <v/>
      </c>
      <c r="CT123" s="468" t="str">
        <f t="shared" si="249"/>
        <v/>
      </c>
      <c r="CU123" s="344">
        <f t="shared" si="158"/>
        <v>0</v>
      </c>
      <c r="CV123" s="54" t="str">
        <f t="shared" si="250"/>
        <v/>
      </c>
      <c r="CW123" s="238">
        <f t="shared" si="159"/>
        <v>78</v>
      </c>
      <c r="CX123" s="54">
        <f t="shared" si="251"/>
        <v>5.8819104454329706E-4</v>
      </c>
      <c r="CY123" s="353">
        <f t="shared" si="252"/>
        <v>0</v>
      </c>
      <c r="CZ123" s="54">
        <f t="shared" si="253"/>
        <v>0</v>
      </c>
      <c r="DA123" s="468">
        <f t="shared" si="254"/>
        <v>-1</v>
      </c>
      <c r="DB123" s="468" t="str">
        <f t="shared" si="255"/>
        <v/>
      </c>
    </row>
    <row r="124" spans="2:106" s="103" customFormat="1" ht="13.15" customHeight="1" outlineLevel="2">
      <c r="B124" s="61" t="str">
        <f>+Расходы!A74</f>
        <v>Агентское вознаграждение</v>
      </c>
      <c r="C124" s="238"/>
      <c r="D124" s="54" t="str">
        <f t="shared" si="256"/>
        <v/>
      </c>
      <c r="E124" s="238"/>
      <c r="F124" s="54" t="str">
        <f t="shared" si="257"/>
        <v/>
      </c>
      <c r="G124" s="353">
        <f>+Расходы!B74/1000</f>
        <v>0</v>
      </c>
      <c r="H124" s="54" t="str">
        <f t="shared" si="258"/>
        <v/>
      </c>
      <c r="I124" s="468" t="str">
        <f t="shared" si="226"/>
        <v/>
      </c>
      <c r="J124" s="468" t="str">
        <f t="shared" si="227"/>
        <v/>
      </c>
      <c r="K124" s="238"/>
      <c r="L124" s="54" t="str">
        <f t="shared" si="259"/>
        <v/>
      </c>
      <c r="M124" s="238"/>
      <c r="N124" s="54" t="str">
        <f t="shared" si="260"/>
        <v/>
      </c>
      <c r="O124" s="353">
        <f>+Расходы!C74/1000</f>
        <v>0</v>
      </c>
      <c r="P124" s="54" t="str">
        <f t="shared" si="261"/>
        <v/>
      </c>
      <c r="Q124" s="468" t="str">
        <f t="shared" si="228"/>
        <v/>
      </c>
      <c r="R124" s="468" t="str">
        <f t="shared" si="229"/>
        <v/>
      </c>
      <c r="S124" s="238"/>
      <c r="T124" s="54" t="str">
        <f t="shared" si="262"/>
        <v/>
      </c>
      <c r="U124" s="238">
        <v>0</v>
      </c>
      <c r="V124" s="54" t="str">
        <f t="shared" si="263"/>
        <v/>
      </c>
      <c r="W124" s="353">
        <f>+Расходы!D74/1000</f>
        <v>1.905</v>
      </c>
      <c r="X124" s="54">
        <f t="shared" si="264"/>
        <v>3.2125330949931704E-4</v>
      </c>
      <c r="Y124" s="468" t="str">
        <f t="shared" si="230"/>
        <v/>
      </c>
      <c r="Z124" s="468" t="str">
        <f t="shared" si="231"/>
        <v/>
      </c>
      <c r="AA124" s="238"/>
      <c r="AB124" s="54" t="str">
        <f t="shared" si="265"/>
        <v/>
      </c>
      <c r="AC124" s="238">
        <v>0</v>
      </c>
      <c r="AD124" s="54" t="str">
        <f t="shared" si="266"/>
        <v/>
      </c>
      <c r="AE124" s="353">
        <f>+Расходы!E74/1000</f>
        <v>1.1321099999999999</v>
      </c>
      <c r="AF124" s="54">
        <f t="shared" si="267"/>
        <v>8.2556223201003402E-5</v>
      </c>
      <c r="AG124" s="468" t="str">
        <f t="shared" si="232"/>
        <v/>
      </c>
      <c r="AH124" s="468" t="str">
        <f t="shared" si="233"/>
        <v/>
      </c>
      <c r="AI124" s="238"/>
      <c r="AJ124" s="54" t="str">
        <f t="shared" si="268"/>
        <v/>
      </c>
      <c r="AK124" s="238">
        <v>0</v>
      </c>
      <c r="AL124" s="54" t="str">
        <f t="shared" si="269"/>
        <v/>
      </c>
      <c r="AM124" s="353">
        <f>+Расходы!F74/1000</f>
        <v>0.214</v>
      </c>
      <c r="AN124" s="54">
        <f t="shared" si="270"/>
        <v>1.361965150239394E-5</v>
      </c>
      <c r="AO124" s="468" t="str">
        <f t="shared" si="234"/>
        <v/>
      </c>
      <c r="AP124" s="468" t="str">
        <f t="shared" si="235"/>
        <v/>
      </c>
      <c r="AQ124" s="344"/>
      <c r="AR124" s="54" t="str">
        <f t="shared" si="271"/>
        <v/>
      </c>
      <c r="AS124" s="238">
        <v>0</v>
      </c>
      <c r="AT124" s="54" t="str">
        <f t="shared" si="272"/>
        <v/>
      </c>
      <c r="AU124" s="353">
        <f>+Расходы!G74/1000</f>
        <v>0</v>
      </c>
      <c r="AV124" s="54" t="str">
        <f t="shared" si="273"/>
        <v/>
      </c>
      <c r="AW124" s="468" t="str">
        <f t="shared" si="236"/>
        <v/>
      </c>
      <c r="AX124" s="468" t="str">
        <f t="shared" si="237"/>
        <v/>
      </c>
      <c r="AY124" s="344"/>
      <c r="AZ124" s="54" t="str">
        <f t="shared" si="274"/>
        <v/>
      </c>
      <c r="BA124" s="238">
        <v>0</v>
      </c>
      <c r="BB124" s="54" t="str">
        <f t="shared" si="275"/>
        <v/>
      </c>
      <c r="BC124" s="353">
        <f>+Расходы!H74/1000</f>
        <v>0</v>
      </c>
      <c r="BD124" s="54" t="str">
        <f t="shared" si="276"/>
        <v/>
      </c>
      <c r="BE124" s="468" t="str">
        <f t="shared" si="238"/>
        <v/>
      </c>
      <c r="BF124" s="468" t="str">
        <f t="shared" si="239"/>
        <v/>
      </c>
      <c r="BG124" s="344"/>
      <c r="BH124" s="54" t="str">
        <f t="shared" si="277"/>
        <v/>
      </c>
      <c r="BI124" s="238">
        <v>0</v>
      </c>
      <c r="BJ124" s="54" t="str">
        <f t="shared" si="278"/>
        <v/>
      </c>
      <c r="BK124" s="353">
        <f>+Расходы!I74/1000</f>
        <v>0</v>
      </c>
      <c r="BL124" s="54" t="str">
        <f t="shared" si="279"/>
        <v/>
      </c>
      <c r="BM124" s="468" t="str">
        <f t="shared" si="240"/>
        <v/>
      </c>
      <c r="BN124" s="468" t="str">
        <f t="shared" si="241"/>
        <v/>
      </c>
      <c r="BO124" s="344"/>
      <c r="BP124" s="54" t="str">
        <f t="shared" si="280"/>
        <v/>
      </c>
      <c r="BQ124" s="238">
        <v>0</v>
      </c>
      <c r="BR124" s="54" t="str">
        <f t="shared" si="281"/>
        <v/>
      </c>
      <c r="BS124" s="353">
        <f>+Расходы!J74/1000</f>
        <v>0</v>
      </c>
      <c r="BT124" s="54" t="str">
        <f t="shared" si="282"/>
        <v/>
      </c>
      <c r="BU124" s="468" t="str">
        <f t="shared" si="242"/>
        <v/>
      </c>
      <c r="BV124" s="468" t="str">
        <f t="shared" si="243"/>
        <v/>
      </c>
      <c r="BW124" s="344"/>
      <c r="BX124" s="54" t="str">
        <f t="shared" si="283"/>
        <v/>
      </c>
      <c r="BY124" s="238">
        <v>0</v>
      </c>
      <c r="BZ124" s="54" t="str">
        <f t="shared" si="284"/>
        <v/>
      </c>
      <c r="CA124" s="353">
        <f>+Расходы!K74/1000</f>
        <v>0</v>
      </c>
      <c r="CB124" s="54" t="str">
        <f t="shared" si="285"/>
        <v/>
      </c>
      <c r="CC124" s="468" t="str">
        <f t="shared" si="244"/>
        <v/>
      </c>
      <c r="CD124" s="468" t="str">
        <f t="shared" si="245"/>
        <v/>
      </c>
      <c r="CE124" s="344"/>
      <c r="CF124" s="54" t="str">
        <f t="shared" si="286"/>
        <v/>
      </c>
      <c r="CG124" s="238">
        <v>0</v>
      </c>
      <c r="CH124" s="54" t="str">
        <f t="shared" si="287"/>
        <v/>
      </c>
      <c r="CI124" s="353">
        <f>+Расходы!L74/1000</f>
        <v>0</v>
      </c>
      <c r="CJ124" s="54" t="str">
        <f t="shared" si="288"/>
        <v/>
      </c>
      <c r="CK124" s="468" t="str">
        <f t="shared" si="246"/>
        <v/>
      </c>
      <c r="CL124" s="468" t="str">
        <f t="shared" si="247"/>
        <v/>
      </c>
      <c r="CM124" s="344"/>
      <c r="CN124" s="54" t="str">
        <f t="shared" si="289"/>
        <v/>
      </c>
      <c r="CO124" s="238">
        <v>0</v>
      </c>
      <c r="CP124" s="54" t="str">
        <f t="shared" si="290"/>
        <v/>
      </c>
      <c r="CQ124" s="353">
        <f>+Расходы!M74/1000</f>
        <v>0</v>
      </c>
      <c r="CR124" s="54" t="str">
        <f t="shared" si="291"/>
        <v/>
      </c>
      <c r="CS124" s="468" t="str">
        <f t="shared" si="248"/>
        <v/>
      </c>
      <c r="CT124" s="468" t="str">
        <f t="shared" si="249"/>
        <v/>
      </c>
      <c r="CU124" s="344">
        <f t="shared" si="158"/>
        <v>0</v>
      </c>
      <c r="CV124" s="54" t="str">
        <f t="shared" si="250"/>
        <v/>
      </c>
      <c r="CW124" s="238">
        <f t="shared" si="159"/>
        <v>0</v>
      </c>
      <c r="CX124" s="54">
        <f t="shared" si="251"/>
        <v>0</v>
      </c>
      <c r="CY124" s="353">
        <f t="shared" si="252"/>
        <v>3.2511100000000002</v>
      </c>
      <c r="CZ124" s="54">
        <f t="shared" si="253"/>
        <v>6.5534627045098489E-5</v>
      </c>
      <c r="DA124" s="468" t="str">
        <f t="shared" si="254"/>
        <v/>
      </c>
      <c r="DB124" s="468" t="str">
        <f t="shared" si="255"/>
        <v/>
      </c>
    </row>
    <row r="125" spans="2:106" s="103" customFormat="1" ht="13.15" customHeight="1" outlineLevel="2">
      <c r="B125" s="61" t="str">
        <f>+Расходы!A75</f>
        <v>Аренда оборудования</v>
      </c>
      <c r="C125" s="238"/>
      <c r="D125" s="54" t="str">
        <f t="shared" si="256"/>
        <v/>
      </c>
      <c r="E125" s="238"/>
      <c r="F125" s="54" t="str">
        <f t="shared" si="257"/>
        <v/>
      </c>
      <c r="G125" s="353">
        <f>+Расходы!B75/1000</f>
        <v>0</v>
      </c>
      <c r="H125" s="54" t="str">
        <f t="shared" si="258"/>
        <v/>
      </c>
      <c r="I125" s="468" t="str">
        <f t="shared" si="226"/>
        <v/>
      </c>
      <c r="J125" s="468" t="str">
        <f t="shared" si="227"/>
        <v/>
      </c>
      <c r="K125" s="238"/>
      <c r="L125" s="54" t="str">
        <f t="shared" si="259"/>
        <v/>
      </c>
      <c r="M125" s="238"/>
      <c r="N125" s="54" t="str">
        <f t="shared" si="260"/>
        <v/>
      </c>
      <c r="O125" s="353">
        <f>+Расходы!C75/1000</f>
        <v>0</v>
      </c>
      <c r="P125" s="54" t="str">
        <f t="shared" si="261"/>
        <v/>
      </c>
      <c r="Q125" s="468" t="str">
        <f t="shared" si="228"/>
        <v/>
      </c>
      <c r="R125" s="468" t="str">
        <f t="shared" si="229"/>
        <v/>
      </c>
      <c r="S125" s="238"/>
      <c r="T125" s="54" t="str">
        <f t="shared" si="262"/>
        <v/>
      </c>
      <c r="U125" s="238">
        <v>0</v>
      </c>
      <c r="V125" s="54" t="str">
        <f t="shared" si="263"/>
        <v/>
      </c>
      <c r="W125" s="353">
        <f>+Расходы!D75/1000</f>
        <v>0</v>
      </c>
      <c r="X125" s="54" t="str">
        <f t="shared" si="264"/>
        <v/>
      </c>
      <c r="Y125" s="468" t="str">
        <f t="shared" si="230"/>
        <v/>
      </c>
      <c r="Z125" s="468" t="str">
        <f t="shared" si="231"/>
        <v/>
      </c>
      <c r="AA125" s="238"/>
      <c r="AB125" s="54" t="str">
        <f t="shared" si="265"/>
        <v/>
      </c>
      <c r="AC125" s="238">
        <v>0</v>
      </c>
      <c r="AD125" s="54" t="str">
        <f t="shared" si="266"/>
        <v/>
      </c>
      <c r="AE125" s="353">
        <f>+Расходы!E75/1000</f>
        <v>0</v>
      </c>
      <c r="AF125" s="54" t="str">
        <f t="shared" si="267"/>
        <v/>
      </c>
      <c r="AG125" s="468" t="str">
        <f t="shared" si="232"/>
        <v/>
      </c>
      <c r="AH125" s="468" t="str">
        <f t="shared" si="233"/>
        <v/>
      </c>
      <c r="AI125" s="238"/>
      <c r="AJ125" s="54" t="str">
        <f t="shared" si="268"/>
        <v/>
      </c>
      <c r="AK125" s="238">
        <v>0</v>
      </c>
      <c r="AL125" s="54" t="str">
        <f t="shared" si="269"/>
        <v/>
      </c>
      <c r="AM125" s="353">
        <f>+Расходы!F75/1000</f>
        <v>0</v>
      </c>
      <c r="AN125" s="54" t="str">
        <f t="shared" si="270"/>
        <v/>
      </c>
      <c r="AO125" s="468" t="str">
        <f t="shared" si="234"/>
        <v/>
      </c>
      <c r="AP125" s="468" t="str">
        <f t="shared" si="235"/>
        <v/>
      </c>
      <c r="AQ125" s="344"/>
      <c r="AR125" s="54" t="str">
        <f t="shared" si="271"/>
        <v/>
      </c>
      <c r="AS125" s="238">
        <v>0</v>
      </c>
      <c r="AT125" s="54" t="str">
        <f t="shared" si="272"/>
        <v/>
      </c>
      <c r="AU125" s="353">
        <f>+Расходы!G75/1000</f>
        <v>0</v>
      </c>
      <c r="AV125" s="54" t="str">
        <f t="shared" si="273"/>
        <v/>
      </c>
      <c r="AW125" s="468" t="str">
        <f t="shared" si="236"/>
        <v/>
      </c>
      <c r="AX125" s="468" t="str">
        <f t="shared" si="237"/>
        <v/>
      </c>
      <c r="AY125" s="344"/>
      <c r="AZ125" s="54" t="str">
        <f t="shared" si="274"/>
        <v/>
      </c>
      <c r="BA125" s="238">
        <v>0</v>
      </c>
      <c r="BB125" s="54" t="str">
        <f t="shared" si="275"/>
        <v/>
      </c>
      <c r="BC125" s="353">
        <f>+Расходы!H75/1000</f>
        <v>0</v>
      </c>
      <c r="BD125" s="54" t="str">
        <f t="shared" si="276"/>
        <v/>
      </c>
      <c r="BE125" s="468" t="str">
        <f t="shared" si="238"/>
        <v/>
      </c>
      <c r="BF125" s="468" t="str">
        <f t="shared" si="239"/>
        <v/>
      </c>
      <c r="BG125" s="344"/>
      <c r="BH125" s="54" t="str">
        <f t="shared" si="277"/>
        <v/>
      </c>
      <c r="BI125" s="238">
        <v>0</v>
      </c>
      <c r="BJ125" s="54" t="str">
        <f t="shared" si="278"/>
        <v/>
      </c>
      <c r="BK125" s="353">
        <f>+Расходы!I75/1000</f>
        <v>0</v>
      </c>
      <c r="BL125" s="54" t="str">
        <f t="shared" si="279"/>
        <v/>
      </c>
      <c r="BM125" s="468" t="str">
        <f t="shared" si="240"/>
        <v/>
      </c>
      <c r="BN125" s="468" t="str">
        <f t="shared" si="241"/>
        <v/>
      </c>
      <c r="BO125" s="344"/>
      <c r="BP125" s="54" t="str">
        <f t="shared" si="280"/>
        <v/>
      </c>
      <c r="BQ125" s="238">
        <v>0</v>
      </c>
      <c r="BR125" s="54" t="str">
        <f t="shared" si="281"/>
        <v/>
      </c>
      <c r="BS125" s="353">
        <f>+Расходы!J75/1000</f>
        <v>0</v>
      </c>
      <c r="BT125" s="54" t="str">
        <f t="shared" si="282"/>
        <v/>
      </c>
      <c r="BU125" s="468" t="str">
        <f t="shared" si="242"/>
        <v/>
      </c>
      <c r="BV125" s="468" t="str">
        <f t="shared" si="243"/>
        <v/>
      </c>
      <c r="BW125" s="344"/>
      <c r="BX125" s="54" t="str">
        <f t="shared" si="283"/>
        <v/>
      </c>
      <c r="BY125" s="238">
        <v>0</v>
      </c>
      <c r="BZ125" s="54" t="str">
        <f t="shared" si="284"/>
        <v/>
      </c>
      <c r="CA125" s="353">
        <f>+Расходы!K75/1000</f>
        <v>0</v>
      </c>
      <c r="CB125" s="54" t="str">
        <f t="shared" si="285"/>
        <v/>
      </c>
      <c r="CC125" s="468" t="str">
        <f t="shared" si="244"/>
        <v/>
      </c>
      <c r="CD125" s="468" t="str">
        <f t="shared" si="245"/>
        <v/>
      </c>
      <c r="CE125" s="344"/>
      <c r="CF125" s="54" t="str">
        <f t="shared" si="286"/>
        <v/>
      </c>
      <c r="CG125" s="238">
        <v>0</v>
      </c>
      <c r="CH125" s="54" t="str">
        <f t="shared" si="287"/>
        <v/>
      </c>
      <c r="CI125" s="353">
        <f>+Расходы!L75/1000</f>
        <v>0</v>
      </c>
      <c r="CJ125" s="54" t="str">
        <f t="shared" si="288"/>
        <v/>
      </c>
      <c r="CK125" s="468" t="str">
        <f t="shared" si="246"/>
        <v/>
      </c>
      <c r="CL125" s="468" t="str">
        <f t="shared" si="247"/>
        <v/>
      </c>
      <c r="CM125" s="344"/>
      <c r="CN125" s="54" t="str">
        <f t="shared" si="289"/>
        <v/>
      </c>
      <c r="CO125" s="238">
        <v>0</v>
      </c>
      <c r="CP125" s="54" t="str">
        <f t="shared" si="290"/>
        <v/>
      </c>
      <c r="CQ125" s="353">
        <f>+Расходы!M75/1000</f>
        <v>0</v>
      </c>
      <c r="CR125" s="54" t="str">
        <f t="shared" si="291"/>
        <v/>
      </c>
      <c r="CS125" s="468" t="str">
        <f t="shared" si="248"/>
        <v/>
      </c>
      <c r="CT125" s="468" t="str">
        <f t="shared" si="249"/>
        <v/>
      </c>
      <c r="CU125" s="344">
        <f t="shared" si="158"/>
        <v>0</v>
      </c>
      <c r="CV125" s="54" t="str">
        <f t="shared" si="250"/>
        <v/>
      </c>
      <c r="CW125" s="238">
        <f t="shared" si="159"/>
        <v>0</v>
      </c>
      <c r="CX125" s="54">
        <f t="shared" si="251"/>
        <v>0</v>
      </c>
      <c r="CY125" s="353">
        <f t="shared" si="252"/>
        <v>0</v>
      </c>
      <c r="CZ125" s="54">
        <f t="shared" si="253"/>
        <v>0</v>
      </c>
      <c r="DA125" s="468" t="str">
        <f t="shared" si="254"/>
        <v/>
      </c>
      <c r="DB125" s="468" t="str">
        <f t="shared" si="255"/>
        <v/>
      </c>
    </row>
    <row r="126" spans="2:106" s="103" customFormat="1" ht="13.15" customHeight="1" outlineLevel="2">
      <c r="B126" s="61" t="str">
        <f>+Расходы!A76</f>
        <v>Банковские расходы текущие</v>
      </c>
      <c r="C126" s="238"/>
      <c r="D126" s="54" t="str">
        <f t="shared" si="256"/>
        <v/>
      </c>
      <c r="E126" s="238"/>
      <c r="F126" s="54" t="str">
        <f t="shared" si="257"/>
        <v/>
      </c>
      <c r="G126" s="353">
        <f>+Расходы!B76/1000</f>
        <v>0</v>
      </c>
      <c r="H126" s="54" t="str">
        <f t="shared" si="258"/>
        <v/>
      </c>
      <c r="I126" s="468" t="str">
        <f t="shared" si="226"/>
        <v/>
      </c>
      <c r="J126" s="468" t="str">
        <f t="shared" si="227"/>
        <v/>
      </c>
      <c r="K126" s="238"/>
      <c r="L126" s="54" t="str">
        <f t="shared" si="259"/>
        <v/>
      </c>
      <c r="M126" s="238"/>
      <c r="N126" s="54" t="str">
        <f t="shared" si="260"/>
        <v/>
      </c>
      <c r="O126" s="353">
        <f>+Расходы!C76/1000</f>
        <v>0</v>
      </c>
      <c r="P126" s="54" t="str">
        <f t="shared" si="261"/>
        <v/>
      </c>
      <c r="Q126" s="468" t="str">
        <f t="shared" si="228"/>
        <v/>
      </c>
      <c r="R126" s="468" t="str">
        <f t="shared" si="229"/>
        <v/>
      </c>
      <c r="S126" s="238"/>
      <c r="T126" s="54" t="str">
        <f t="shared" si="262"/>
        <v/>
      </c>
      <c r="U126" s="238">
        <v>0</v>
      </c>
      <c r="V126" s="54" t="str">
        <f t="shared" si="263"/>
        <v/>
      </c>
      <c r="W126" s="353">
        <f>+Расходы!D76/1000</f>
        <v>74.87463000000001</v>
      </c>
      <c r="X126" s="54">
        <f t="shared" si="264"/>
        <v>1.2626626081384174E-2</v>
      </c>
      <c r="Y126" s="468" t="str">
        <f t="shared" si="230"/>
        <v/>
      </c>
      <c r="Z126" s="468" t="str">
        <f t="shared" si="231"/>
        <v/>
      </c>
      <c r="AA126" s="238"/>
      <c r="AB126" s="54" t="str">
        <f t="shared" si="265"/>
        <v/>
      </c>
      <c r="AC126" s="238">
        <v>178</v>
      </c>
      <c r="AD126" s="54">
        <f t="shared" si="266"/>
        <v>1.3019461901251039E-2</v>
      </c>
      <c r="AE126" s="353">
        <f>+Расходы!E76/1000</f>
        <v>168.93828999999999</v>
      </c>
      <c r="AF126" s="54">
        <f t="shared" si="267"/>
        <v>1.2319392264387597E-2</v>
      </c>
      <c r="AG126" s="468">
        <f t="shared" si="232"/>
        <v>-5.090848314606744E-2</v>
      </c>
      <c r="AH126" s="468" t="str">
        <f t="shared" si="233"/>
        <v/>
      </c>
      <c r="AI126" s="238"/>
      <c r="AJ126" s="54" t="str">
        <f t="shared" si="268"/>
        <v/>
      </c>
      <c r="AK126" s="238">
        <v>200</v>
      </c>
      <c r="AL126" s="54">
        <f t="shared" si="269"/>
        <v>1.4314342971657601E-2</v>
      </c>
      <c r="AM126" s="353">
        <f>+Расходы!F76/1000</f>
        <v>192.15505999999999</v>
      </c>
      <c r="AN126" s="54">
        <f t="shared" si="270"/>
        <v>1.2229368932811204E-2</v>
      </c>
      <c r="AO126" s="468">
        <f t="shared" si="234"/>
        <v>-3.9224700000000001E-2</v>
      </c>
      <c r="AP126" s="468" t="str">
        <f t="shared" si="235"/>
        <v/>
      </c>
      <c r="AQ126" s="344"/>
      <c r="AR126" s="54" t="str">
        <f t="shared" si="271"/>
        <v/>
      </c>
      <c r="AS126" s="238">
        <v>200</v>
      </c>
      <c r="AT126" s="54">
        <f t="shared" si="272"/>
        <v>1.3262599469496022E-2</v>
      </c>
      <c r="AU126" s="353">
        <f>+Расходы!G76/1000</f>
        <v>178.96054999999998</v>
      </c>
      <c r="AV126" s="54">
        <f t="shared" si="273"/>
        <v>1.2555682519850944E-2</v>
      </c>
      <c r="AW126" s="468">
        <f t="shared" si="236"/>
        <v>-0.10519725000000013</v>
      </c>
      <c r="AX126" s="468" t="str">
        <f t="shared" si="237"/>
        <v/>
      </c>
      <c r="AY126" s="344"/>
      <c r="AZ126" s="54" t="str">
        <f t="shared" si="274"/>
        <v/>
      </c>
      <c r="BA126" s="238">
        <v>200</v>
      </c>
      <c r="BB126" s="54">
        <f t="shared" si="275"/>
        <v>1.276527844263603E-2</v>
      </c>
      <c r="BC126" s="353">
        <f>+Расходы!H76/1000</f>
        <v>0</v>
      </c>
      <c r="BD126" s="54" t="str">
        <f t="shared" si="276"/>
        <v/>
      </c>
      <c r="BE126" s="468">
        <f t="shared" si="238"/>
        <v>-1</v>
      </c>
      <c r="BF126" s="468" t="str">
        <f t="shared" si="239"/>
        <v/>
      </c>
      <c r="BG126" s="344"/>
      <c r="BH126" s="54" t="str">
        <f t="shared" si="277"/>
        <v/>
      </c>
      <c r="BI126" s="238">
        <v>200</v>
      </c>
      <c r="BJ126" s="54">
        <f t="shared" si="278"/>
        <v>1.276527844263603E-2</v>
      </c>
      <c r="BK126" s="353">
        <f>+Расходы!I76/1000</f>
        <v>0</v>
      </c>
      <c r="BL126" s="54" t="str">
        <f t="shared" si="279"/>
        <v/>
      </c>
      <c r="BM126" s="468">
        <f t="shared" si="240"/>
        <v>-1</v>
      </c>
      <c r="BN126" s="468" t="str">
        <f t="shared" si="241"/>
        <v/>
      </c>
      <c r="BO126" s="344"/>
      <c r="BP126" s="54" t="str">
        <f t="shared" si="280"/>
        <v/>
      </c>
      <c r="BQ126" s="238">
        <v>200</v>
      </c>
      <c r="BR126" s="54">
        <f t="shared" si="281"/>
        <v>1.3812154696132596E-2</v>
      </c>
      <c r="BS126" s="353">
        <f>+Расходы!J76/1000</f>
        <v>0</v>
      </c>
      <c r="BT126" s="54" t="str">
        <f t="shared" si="282"/>
        <v/>
      </c>
      <c r="BU126" s="468">
        <f t="shared" si="242"/>
        <v>-1</v>
      </c>
      <c r="BV126" s="468" t="str">
        <f t="shared" si="243"/>
        <v/>
      </c>
      <c r="BW126" s="344"/>
      <c r="BX126" s="54" t="str">
        <f t="shared" si="283"/>
        <v/>
      </c>
      <c r="BY126" s="238">
        <v>0</v>
      </c>
      <c r="BZ126" s="54" t="str">
        <f t="shared" si="284"/>
        <v/>
      </c>
      <c r="CA126" s="353">
        <f>+Расходы!K76/1000</f>
        <v>0</v>
      </c>
      <c r="CB126" s="54" t="str">
        <f t="shared" si="285"/>
        <v/>
      </c>
      <c r="CC126" s="468" t="str">
        <f t="shared" si="244"/>
        <v/>
      </c>
      <c r="CD126" s="468" t="str">
        <f t="shared" si="245"/>
        <v/>
      </c>
      <c r="CE126" s="344"/>
      <c r="CF126" s="54" t="str">
        <f t="shared" si="286"/>
        <v/>
      </c>
      <c r="CG126" s="238">
        <v>0</v>
      </c>
      <c r="CH126" s="54" t="str">
        <f t="shared" si="287"/>
        <v/>
      </c>
      <c r="CI126" s="353">
        <f>+Расходы!L76/1000</f>
        <v>0</v>
      </c>
      <c r="CJ126" s="54" t="str">
        <f t="shared" si="288"/>
        <v/>
      </c>
      <c r="CK126" s="468" t="str">
        <f t="shared" si="246"/>
        <v/>
      </c>
      <c r="CL126" s="468" t="str">
        <f t="shared" si="247"/>
        <v/>
      </c>
      <c r="CM126" s="344"/>
      <c r="CN126" s="54" t="str">
        <f t="shared" si="289"/>
        <v/>
      </c>
      <c r="CO126" s="238">
        <v>0</v>
      </c>
      <c r="CP126" s="54" t="str">
        <f t="shared" si="290"/>
        <v/>
      </c>
      <c r="CQ126" s="353">
        <f>+Расходы!M76/1000</f>
        <v>0</v>
      </c>
      <c r="CR126" s="54" t="str">
        <f t="shared" si="291"/>
        <v/>
      </c>
      <c r="CS126" s="468" t="str">
        <f t="shared" si="248"/>
        <v/>
      </c>
      <c r="CT126" s="468" t="str">
        <f t="shared" si="249"/>
        <v/>
      </c>
      <c r="CU126" s="344">
        <f t="shared" si="158"/>
        <v>0</v>
      </c>
      <c r="CV126" s="54" t="str">
        <f t="shared" si="250"/>
        <v/>
      </c>
      <c r="CW126" s="238">
        <f t="shared" si="159"/>
        <v>1178</v>
      </c>
      <c r="CX126" s="54">
        <f t="shared" si="251"/>
        <v>8.8831929547692808E-3</v>
      </c>
      <c r="CY126" s="353">
        <f t="shared" si="252"/>
        <v>614.92853000000002</v>
      </c>
      <c r="CZ126" s="54">
        <f t="shared" si="253"/>
        <v>1.2395493192460624E-2</v>
      </c>
      <c r="DA126" s="468">
        <f t="shared" si="254"/>
        <v>-0.47798936332767405</v>
      </c>
      <c r="DB126" s="468" t="str">
        <f t="shared" si="255"/>
        <v/>
      </c>
    </row>
    <row r="127" spans="2:106" s="103" customFormat="1" ht="13.15" customHeight="1" outlineLevel="2">
      <c r="B127" s="61" t="str">
        <f>+Расходы!A77</f>
        <v>Благоустройство</v>
      </c>
      <c r="C127" s="238"/>
      <c r="D127" s="54" t="str">
        <f t="shared" si="256"/>
        <v/>
      </c>
      <c r="E127" s="238"/>
      <c r="F127" s="54" t="str">
        <f t="shared" si="257"/>
        <v/>
      </c>
      <c r="G127" s="353">
        <f>+Расходы!B77/1000</f>
        <v>0</v>
      </c>
      <c r="H127" s="54" t="str">
        <f t="shared" si="258"/>
        <v/>
      </c>
      <c r="I127" s="468" t="str">
        <f t="shared" si="226"/>
        <v/>
      </c>
      <c r="J127" s="468" t="str">
        <f t="shared" si="227"/>
        <v/>
      </c>
      <c r="K127" s="238"/>
      <c r="L127" s="54" t="str">
        <f t="shared" si="259"/>
        <v/>
      </c>
      <c r="M127" s="238"/>
      <c r="N127" s="54" t="str">
        <f t="shared" si="260"/>
        <v/>
      </c>
      <c r="O127" s="353">
        <f>+Расходы!C77/1000</f>
        <v>0</v>
      </c>
      <c r="P127" s="54" t="str">
        <f t="shared" si="261"/>
        <v/>
      </c>
      <c r="Q127" s="468" t="str">
        <f t="shared" si="228"/>
        <v/>
      </c>
      <c r="R127" s="468" t="str">
        <f t="shared" si="229"/>
        <v/>
      </c>
      <c r="S127" s="238"/>
      <c r="T127" s="54" t="str">
        <f t="shared" si="262"/>
        <v/>
      </c>
      <c r="U127" s="238">
        <v>0</v>
      </c>
      <c r="V127" s="54" t="str">
        <f t="shared" si="263"/>
        <v/>
      </c>
      <c r="W127" s="353">
        <f>+Расходы!D77/1000</f>
        <v>0</v>
      </c>
      <c r="X127" s="54" t="str">
        <f t="shared" si="264"/>
        <v/>
      </c>
      <c r="Y127" s="468" t="str">
        <f t="shared" si="230"/>
        <v/>
      </c>
      <c r="Z127" s="468" t="str">
        <f t="shared" si="231"/>
        <v/>
      </c>
      <c r="AA127" s="238"/>
      <c r="AB127" s="54" t="str">
        <f t="shared" si="265"/>
        <v/>
      </c>
      <c r="AC127" s="238">
        <v>0</v>
      </c>
      <c r="AD127" s="54" t="str">
        <f t="shared" si="266"/>
        <v/>
      </c>
      <c r="AE127" s="353">
        <f>+Расходы!E77/1000</f>
        <v>0</v>
      </c>
      <c r="AF127" s="54" t="str">
        <f t="shared" si="267"/>
        <v/>
      </c>
      <c r="AG127" s="468" t="str">
        <f t="shared" si="232"/>
        <v/>
      </c>
      <c r="AH127" s="468" t="str">
        <f t="shared" si="233"/>
        <v/>
      </c>
      <c r="AI127" s="238"/>
      <c r="AJ127" s="54" t="str">
        <f t="shared" si="268"/>
        <v/>
      </c>
      <c r="AK127" s="238">
        <v>0</v>
      </c>
      <c r="AL127" s="54" t="str">
        <f t="shared" si="269"/>
        <v/>
      </c>
      <c r="AM127" s="353">
        <f>+Расходы!F77/1000</f>
        <v>0</v>
      </c>
      <c r="AN127" s="54" t="str">
        <f t="shared" si="270"/>
        <v/>
      </c>
      <c r="AO127" s="468" t="str">
        <f t="shared" si="234"/>
        <v/>
      </c>
      <c r="AP127" s="468" t="str">
        <f t="shared" si="235"/>
        <v/>
      </c>
      <c r="AQ127" s="344"/>
      <c r="AR127" s="54" t="str">
        <f t="shared" si="271"/>
        <v/>
      </c>
      <c r="AS127" s="238">
        <v>0</v>
      </c>
      <c r="AT127" s="54" t="str">
        <f t="shared" si="272"/>
        <v/>
      </c>
      <c r="AU127" s="353">
        <f>+Расходы!G77/1000</f>
        <v>0</v>
      </c>
      <c r="AV127" s="54" t="str">
        <f t="shared" si="273"/>
        <v/>
      </c>
      <c r="AW127" s="468" t="str">
        <f t="shared" si="236"/>
        <v/>
      </c>
      <c r="AX127" s="468" t="str">
        <f t="shared" si="237"/>
        <v/>
      </c>
      <c r="AY127" s="344"/>
      <c r="AZ127" s="54" t="str">
        <f t="shared" si="274"/>
        <v/>
      </c>
      <c r="BA127" s="238">
        <v>0</v>
      </c>
      <c r="BB127" s="54" t="str">
        <f t="shared" si="275"/>
        <v/>
      </c>
      <c r="BC127" s="353">
        <f>+Расходы!H77/1000</f>
        <v>0</v>
      </c>
      <c r="BD127" s="54" t="str">
        <f t="shared" si="276"/>
        <v/>
      </c>
      <c r="BE127" s="468" t="str">
        <f t="shared" si="238"/>
        <v/>
      </c>
      <c r="BF127" s="468" t="str">
        <f t="shared" si="239"/>
        <v/>
      </c>
      <c r="BG127" s="344"/>
      <c r="BH127" s="54" t="str">
        <f t="shared" si="277"/>
        <v/>
      </c>
      <c r="BI127" s="238">
        <v>0</v>
      </c>
      <c r="BJ127" s="54" t="str">
        <f t="shared" si="278"/>
        <v/>
      </c>
      <c r="BK127" s="353">
        <f>+Расходы!I77/1000</f>
        <v>0</v>
      </c>
      <c r="BL127" s="54" t="str">
        <f t="shared" si="279"/>
        <v/>
      </c>
      <c r="BM127" s="468" t="str">
        <f t="shared" si="240"/>
        <v/>
      </c>
      <c r="BN127" s="468" t="str">
        <f t="shared" si="241"/>
        <v/>
      </c>
      <c r="BO127" s="344"/>
      <c r="BP127" s="54" t="str">
        <f t="shared" si="280"/>
        <v/>
      </c>
      <c r="BQ127" s="238">
        <v>0</v>
      </c>
      <c r="BR127" s="54" t="str">
        <f t="shared" si="281"/>
        <v/>
      </c>
      <c r="BS127" s="353">
        <f>+Расходы!J77/1000</f>
        <v>0</v>
      </c>
      <c r="BT127" s="54" t="str">
        <f t="shared" si="282"/>
        <v/>
      </c>
      <c r="BU127" s="468" t="str">
        <f t="shared" si="242"/>
        <v/>
      </c>
      <c r="BV127" s="468" t="str">
        <f t="shared" si="243"/>
        <v/>
      </c>
      <c r="BW127" s="344"/>
      <c r="BX127" s="54" t="str">
        <f t="shared" si="283"/>
        <v/>
      </c>
      <c r="BY127" s="238">
        <v>0</v>
      </c>
      <c r="BZ127" s="54" t="str">
        <f t="shared" si="284"/>
        <v/>
      </c>
      <c r="CA127" s="353">
        <f>+Расходы!K77/1000</f>
        <v>0</v>
      </c>
      <c r="CB127" s="54" t="str">
        <f t="shared" si="285"/>
        <v/>
      </c>
      <c r="CC127" s="468" t="str">
        <f t="shared" si="244"/>
        <v/>
      </c>
      <c r="CD127" s="468" t="str">
        <f t="shared" si="245"/>
        <v/>
      </c>
      <c r="CE127" s="344"/>
      <c r="CF127" s="54" t="str">
        <f t="shared" si="286"/>
        <v/>
      </c>
      <c r="CG127" s="238">
        <v>0</v>
      </c>
      <c r="CH127" s="54" t="str">
        <f t="shared" si="287"/>
        <v/>
      </c>
      <c r="CI127" s="353">
        <f>+Расходы!L77/1000</f>
        <v>0</v>
      </c>
      <c r="CJ127" s="54" t="str">
        <f t="shared" si="288"/>
        <v/>
      </c>
      <c r="CK127" s="468" t="str">
        <f t="shared" si="246"/>
        <v/>
      </c>
      <c r="CL127" s="468" t="str">
        <f t="shared" si="247"/>
        <v/>
      </c>
      <c r="CM127" s="344"/>
      <c r="CN127" s="54" t="str">
        <f t="shared" si="289"/>
        <v/>
      </c>
      <c r="CO127" s="238">
        <v>0</v>
      </c>
      <c r="CP127" s="54" t="str">
        <f t="shared" si="290"/>
        <v/>
      </c>
      <c r="CQ127" s="353">
        <f>+Расходы!M77/1000</f>
        <v>0</v>
      </c>
      <c r="CR127" s="54" t="str">
        <f t="shared" si="291"/>
        <v/>
      </c>
      <c r="CS127" s="468" t="str">
        <f t="shared" si="248"/>
        <v/>
      </c>
      <c r="CT127" s="468" t="str">
        <f t="shared" si="249"/>
        <v/>
      </c>
      <c r="CU127" s="344">
        <f t="shared" si="158"/>
        <v>0</v>
      </c>
      <c r="CV127" s="54" t="str">
        <f t="shared" si="250"/>
        <v/>
      </c>
      <c r="CW127" s="238">
        <f t="shared" si="159"/>
        <v>0</v>
      </c>
      <c r="CX127" s="54">
        <f t="shared" si="251"/>
        <v>0</v>
      </c>
      <c r="CY127" s="353">
        <f t="shared" si="252"/>
        <v>0</v>
      </c>
      <c r="CZ127" s="54">
        <f t="shared" si="253"/>
        <v>0</v>
      </c>
      <c r="DA127" s="468" t="str">
        <f t="shared" si="254"/>
        <v/>
      </c>
      <c r="DB127" s="468" t="str">
        <f t="shared" si="255"/>
        <v/>
      </c>
    </row>
    <row r="128" spans="2:106" s="103" customFormat="1" ht="13.15" customHeight="1" outlineLevel="2">
      <c r="B128" s="61" t="str">
        <f>+Расходы!A78</f>
        <v>Вентиляция</v>
      </c>
      <c r="C128" s="238"/>
      <c r="D128" s="54" t="str">
        <f t="shared" si="256"/>
        <v/>
      </c>
      <c r="E128" s="238"/>
      <c r="F128" s="54" t="str">
        <f t="shared" si="257"/>
        <v/>
      </c>
      <c r="G128" s="353">
        <f>+Расходы!B78/1000</f>
        <v>0</v>
      </c>
      <c r="H128" s="54" t="str">
        <f t="shared" si="258"/>
        <v/>
      </c>
      <c r="I128" s="468" t="str">
        <f t="shared" si="226"/>
        <v/>
      </c>
      <c r="J128" s="468" t="str">
        <f t="shared" si="227"/>
        <v/>
      </c>
      <c r="K128" s="238"/>
      <c r="L128" s="54" t="str">
        <f t="shared" si="259"/>
        <v/>
      </c>
      <c r="M128" s="238"/>
      <c r="N128" s="54" t="str">
        <f t="shared" si="260"/>
        <v/>
      </c>
      <c r="O128" s="353">
        <f>+Расходы!C78/1000</f>
        <v>0</v>
      </c>
      <c r="P128" s="54" t="str">
        <f t="shared" si="261"/>
        <v/>
      </c>
      <c r="Q128" s="468" t="str">
        <f t="shared" si="228"/>
        <v/>
      </c>
      <c r="R128" s="468" t="str">
        <f t="shared" si="229"/>
        <v/>
      </c>
      <c r="S128" s="238"/>
      <c r="T128" s="54" t="str">
        <f t="shared" si="262"/>
        <v/>
      </c>
      <c r="U128" s="238">
        <v>0</v>
      </c>
      <c r="V128" s="54" t="str">
        <f t="shared" si="263"/>
        <v/>
      </c>
      <c r="W128" s="353">
        <f>+Расходы!D78/1000</f>
        <v>0</v>
      </c>
      <c r="X128" s="54" t="str">
        <f t="shared" si="264"/>
        <v/>
      </c>
      <c r="Y128" s="468" t="str">
        <f t="shared" si="230"/>
        <v/>
      </c>
      <c r="Z128" s="468" t="str">
        <f t="shared" si="231"/>
        <v/>
      </c>
      <c r="AA128" s="238"/>
      <c r="AB128" s="54" t="str">
        <f t="shared" si="265"/>
        <v/>
      </c>
      <c r="AC128" s="238">
        <v>0</v>
      </c>
      <c r="AD128" s="54" t="str">
        <f t="shared" si="266"/>
        <v/>
      </c>
      <c r="AE128" s="353">
        <f>+Расходы!E78/1000</f>
        <v>0</v>
      </c>
      <c r="AF128" s="54" t="str">
        <f t="shared" si="267"/>
        <v/>
      </c>
      <c r="AG128" s="468" t="str">
        <f t="shared" si="232"/>
        <v/>
      </c>
      <c r="AH128" s="468" t="str">
        <f t="shared" si="233"/>
        <v/>
      </c>
      <c r="AI128" s="238"/>
      <c r="AJ128" s="54" t="str">
        <f t="shared" si="268"/>
        <v/>
      </c>
      <c r="AK128" s="238">
        <v>0</v>
      </c>
      <c r="AL128" s="54" t="str">
        <f t="shared" si="269"/>
        <v/>
      </c>
      <c r="AM128" s="353">
        <f>+Расходы!F78/1000</f>
        <v>0</v>
      </c>
      <c r="AN128" s="54" t="str">
        <f t="shared" si="270"/>
        <v/>
      </c>
      <c r="AO128" s="468" t="str">
        <f t="shared" si="234"/>
        <v/>
      </c>
      <c r="AP128" s="468" t="str">
        <f t="shared" si="235"/>
        <v/>
      </c>
      <c r="AQ128" s="344"/>
      <c r="AR128" s="54" t="str">
        <f t="shared" si="271"/>
        <v/>
      </c>
      <c r="AS128" s="238">
        <v>0</v>
      </c>
      <c r="AT128" s="54" t="str">
        <f t="shared" si="272"/>
        <v/>
      </c>
      <c r="AU128" s="353">
        <f>+Расходы!G78/1000</f>
        <v>0</v>
      </c>
      <c r="AV128" s="54" t="str">
        <f t="shared" si="273"/>
        <v/>
      </c>
      <c r="AW128" s="468" t="str">
        <f t="shared" si="236"/>
        <v/>
      </c>
      <c r="AX128" s="468" t="str">
        <f t="shared" si="237"/>
        <v/>
      </c>
      <c r="AY128" s="344"/>
      <c r="AZ128" s="54" t="str">
        <f t="shared" si="274"/>
        <v/>
      </c>
      <c r="BA128" s="238">
        <v>0</v>
      </c>
      <c r="BB128" s="54" t="str">
        <f t="shared" si="275"/>
        <v/>
      </c>
      <c r="BC128" s="353">
        <f>+Расходы!H78/1000</f>
        <v>0</v>
      </c>
      <c r="BD128" s="54" t="str">
        <f t="shared" si="276"/>
        <v/>
      </c>
      <c r="BE128" s="468" t="str">
        <f t="shared" si="238"/>
        <v/>
      </c>
      <c r="BF128" s="468" t="str">
        <f t="shared" si="239"/>
        <v/>
      </c>
      <c r="BG128" s="344"/>
      <c r="BH128" s="54" t="str">
        <f t="shared" si="277"/>
        <v/>
      </c>
      <c r="BI128" s="238">
        <v>0</v>
      </c>
      <c r="BJ128" s="54" t="str">
        <f t="shared" si="278"/>
        <v/>
      </c>
      <c r="BK128" s="353">
        <f>+Расходы!I78/1000</f>
        <v>0</v>
      </c>
      <c r="BL128" s="54" t="str">
        <f t="shared" si="279"/>
        <v/>
      </c>
      <c r="BM128" s="468" t="str">
        <f t="shared" si="240"/>
        <v/>
      </c>
      <c r="BN128" s="468" t="str">
        <f t="shared" si="241"/>
        <v/>
      </c>
      <c r="BO128" s="344"/>
      <c r="BP128" s="54" t="str">
        <f t="shared" si="280"/>
        <v/>
      </c>
      <c r="BQ128" s="238">
        <v>0</v>
      </c>
      <c r="BR128" s="54" t="str">
        <f t="shared" si="281"/>
        <v/>
      </c>
      <c r="BS128" s="353">
        <f>+Расходы!J78/1000</f>
        <v>0</v>
      </c>
      <c r="BT128" s="54" t="str">
        <f t="shared" si="282"/>
        <v/>
      </c>
      <c r="BU128" s="468" t="str">
        <f t="shared" si="242"/>
        <v/>
      </c>
      <c r="BV128" s="468" t="str">
        <f t="shared" si="243"/>
        <v/>
      </c>
      <c r="BW128" s="344"/>
      <c r="BX128" s="54" t="str">
        <f t="shared" si="283"/>
        <v/>
      </c>
      <c r="BY128" s="238">
        <v>0</v>
      </c>
      <c r="BZ128" s="54" t="str">
        <f t="shared" si="284"/>
        <v/>
      </c>
      <c r="CA128" s="353">
        <f>+Расходы!K78/1000</f>
        <v>0</v>
      </c>
      <c r="CB128" s="54" t="str">
        <f t="shared" si="285"/>
        <v/>
      </c>
      <c r="CC128" s="468" t="str">
        <f t="shared" si="244"/>
        <v/>
      </c>
      <c r="CD128" s="468" t="str">
        <f t="shared" si="245"/>
        <v/>
      </c>
      <c r="CE128" s="344"/>
      <c r="CF128" s="54" t="str">
        <f t="shared" si="286"/>
        <v/>
      </c>
      <c r="CG128" s="238">
        <v>0</v>
      </c>
      <c r="CH128" s="54" t="str">
        <f t="shared" si="287"/>
        <v/>
      </c>
      <c r="CI128" s="353">
        <f>+Расходы!L78/1000</f>
        <v>0</v>
      </c>
      <c r="CJ128" s="54" t="str">
        <f t="shared" si="288"/>
        <v/>
      </c>
      <c r="CK128" s="468" t="str">
        <f t="shared" si="246"/>
        <v/>
      </c>
      <c r="CL128" s="468" t="str">
        <f t="shared" si="247"/>
        <v/>
      </c>
      <c r="CM128" s="344"/>
      <c r="CN128" s="54" t="str">
        <f t="shared" si="289"/>
        <v/>
      </c>
      <c r="CO128" s="238">
        <v>0</v>
      </c>
      <c r="CP128" s="54" t="str">
        <f t="shared" si="290"/>
        <v/>
      </c>
      <c r="CQ128" s="353">
        <f>+Расходы!M78/1000</f>
        <v>0</v>
      </c>
      <c r="CR128" s="54" t="str">
        <f t="shared" si="291"/>
        <v/>
      </c>
      <c r="CS128" s="468" t="str">
        <f t="shared" si="248"/>
        <v/>
      </c>
      <c r="CT128" s="468" t="str">
        <f t="shared" si="249"/>
        <v/>
      </c>
      <c r="CU128" s="344">
        <f t="shared" si="158"/>
        <v>0</v>
      </c>
      <c r="CV128" s="54" t="str">
        <f t="shared" si="250"/>
        <v/>
      </c>
      <c r="CW128" s="238">
        <f t="shared" si="159"/>
        <v>0</v>
      </c>
      <c r="CX128" s="54">
        <f t="shared" si="251"/>
        <v>0</v>
      </c>
      <c r="CY128" s="353">
        <f t="shared" si="252"/>
        <v>0</v>
      </c>
      <c r="CZ128" s="54">
        <f t="shared" si="253"/>
        <v>0</v>
      </c>
      <c r="DA128" s="468" t="str">
        <f t="shared" si="254"/>
        <v/>
      </c>
      <c r="DB128" s="468" t="str">
        <f t="shared" si="255"/>
        <v/>
      </c>
    </row>
    <row r="129" spans="2:106" s="103" customFormat="1" ht="13.15" customHeight="1" outlineLevel="2">
      <c r="B129" s="61" t="str">
        <f>+Расходы!A79</f>
        <v>Ветеринарные исследования</v>
      </c>
      <c r="C129" s="238"/>
      <c r="D129" s="54" t="str">
        <f t="shared" si="256"/>
        <v/>
      </c>
      <c r="E129" s="238"/>
      <c r="F129" s="54" t="str">
        <f t="shared" si="257"/>
        <v/>
      </c>
      <c r="G129" s="353">
        <f>+Расходы!B79/1000</f>
        <v>0</v>
      </c>
      <c r="H129" s="54" t="str">
        <f t="shared" si="258"/>
        <v/>
      </c>
      <c r="I129" s="468" t="str">
        <f t="shared" si="226"/>
        <v/>
      </c>
      <c r="J129" s="468" t="str">
        <f t="shared" si="227"/>
        <v/>
      </c>
      <c r="K129" s="238"/>
      <c r="L129" s="54" t="str">
        <f t="shared" si="259"/>
        <v/>
      </c>
      <c r="M129" s="238"/>
      <c r="N129" s="54" t="str">
        <f t="shared" si="260"/>
        <v/>
      </c>
      <c r="O129" s="353">
        <f>+Расходы!C79/1000</f>
        <v>0</v>
      </c>
      <c r="P129" s="54" t="str">
        <f t="shared" si="261"/>
        <v/>
      </c>
      <c r="Q129" s="468" t="str">
        <f t="shared" si="228"/>
        <v/>
      </c>
      <c r="R129" s="468" t="str">
        <f t="shared" si="229"/>
        <v/>
      </c>
      <c r="S129" s="238"/>
      <c r="T129" s="54" t="str">
        <f t="shared" si="262"/>
        <v/>
      </c>
      <c r="U129" s="238">
        <v>0</v>
      </c>
      <c r="V129" s="54" t="str">
        <f t="shared" si="263"/>
        <v/>
      </c>
      <c r="W129" s="353">
        <f>+Расходы!D79/1000</f>
        <v>0</v>
      </c>
      <c r="X129" s="54" t="str">
        <f t="shared" si="264"/>
        <v/>
      </c>
      <c r="Y129" s="468" t="str">
        <f t="shared" si="230"/>
        <v/>
      </c>
      <c r="Z129" s="468" t="str">
        <f t="shared" si="231"/>
        <v/>
      </c>
      <c r="AA129" s="238"/>
      <c r="AB129" s="54" t="str">
        <f t="shared" si="265"/>
        <v/>
      </c>
      <c r="AC129" s="238">
        <v>0</v>
      </c>
      <c r="AD129" s="54" t="str">
        <f t="shared" si="266"/>
        <v/>
      </c>
      <c r="AE129" s="353">
        <f>+Расходы!E79/1000</f>
        <v>0</v>
      </c>
      <c r="AF129" s="54" t="str">
        <f t="shared" si="267"/>
        <v/>
      </c>
      <c r="AG129" s="468" t="str">
        <f t="shared" si="232"/>
        <v/>
      </c>
      <c r="AH129" s="468" t="str">
        <f t="shared" si="233"/>
        <v/>
      </c>
      <c r="AI129" s="238"/>
      <c r="AJ129" s="54" t="str">
        <f t="shared" si="268"/>
        <v/>
      </c>
      <c r="AK129" s="238">
        <v>0</v>
      </c>
      <c r="AL129" s="54" t="str">
        <f t="shared" si="269"/>
        <v/>
      </c>
      <c r="AM129" s="353">
        <f>+Расходы!F79/1000</f>
        <v>0</v>
      </c>
      <c r="AN129" s="54" t="str">
        <f t="shared" si="270"/>
        <v/>
      </c>
      <c r="AO129" s="468" t="str">
        <f t="shared" si="234"/>
        <v/>
      </c>
      <c r="AP129" s="468" t="str">
        <f t="shared" si="235"/>
        <v/>
      </c>
      <c r="AQ129" s="344"/>
      <c r="AR129" s="54" t="str">
        <f t="shared" si="271"/>
        <v/>
      </c>
      <c r="AS129" s="238">
        <v>0</v>
      </c>
      <c r="AT129" s="54" t="str">
        <f t="shared" si="272"/>
        <v/>
      </c>
      <c r="AU129" s="353">
        <f>+Расходы!G79/1000</f>
        <v>0</v>
      </c>
      <c r="AV129" s="54" t="str">
        <f t="shared" si="273"/>
        <v/>
      </c>
      <c r="AW129" s="468" t="str">
        <f t="shared" si="236"/>
        <v/>
      </c>
      <c r="AX129" s="468" t="str">
        <f t="shared" si="237"/>
        <v/>
      </c>
      <c r="AY129" s="344"/>
      <c r="AZ129" s="54" t="str">
        <f t="shared" si="274"/>
        <v/>
      </c>
      <c r="BA129" s="238">
        <v>0</v>
      </c>
      <c r="BB129" s="54" t="str">
        <f t="shared" si="275"/>
        <v/>
      </c>
      <c r="BC129" s="353">
        <f>+Расходы!H79/1000</f>
        <v>0</v>
      </c>
      <c r="BD129" s="54" t="str">
        <f t="shared" si="276"/>
        <v/>
      </c>
      <c r="BE129" s="468" t="str">
        <f t="shared" si="238"/>
        <v/>
      </c>
      <c r="BF129" s="468" t="str">
        <f t="shared" si="239"/>
        <v/>
      </c>
      <c r="BG129" s="344"/>
      <c r="BH129" s="54" t="str">
        <f t="shared" si="277"/>
        <v/>
      </c>
      <c r="BI129" s="238">
        <v>0</v>
      </c>
      <c r="BJ129" s="54" t="str">
        <f t="shared" si="278"/>
        <v/>
      </c>
      <c r="BK129" s="353">
        <f>+Расходы!I79/1000</f>
        <v>0</v>
      </c>
      <c r="BL129" s="54" t="str">
        <f t="shared" si="279"/>
        <v/>
      </c>
      <c r="BM129" s="468" t="str">
        <f t="shared" si="240"/>
        <v/>
      </c>
      <c r="BN129" s="468" t="str">
        <f t="shared" si="241"/>
        <v/>
      </c>
      <c r="BO129" s="344"/>
      <c r="BP129" s="54" t="str">
        <f t="shared" si="280"/>
        <v/>
      </c>
      <c r="BQ129" s="238">
        <v>0</v>
      </c>
      <c r="BR129" s="54" t="str">
        <f t="shared" si="281"/>
        <v/>
      </c>
      <c r="BS129" s="353">
        <f>+Расходы!J79/1000</f>
        <v>0</v>
      </c>
      <c r="BT129" s="54" t="str">
        <f t="shared" si="282"/>
        <v/>
      </c>
      <c r="BU129" s="468" t="str">
        <f t="shared" si="242"/>
        <v/>
      </c>
      <c r="BV129" s="468" t="str">
        <f t="shared" si="243"/>
        <v/>
      </c>
      <c r="BW129" s="344"/>
      <c r="BX129" s="54" t="str">
        <f t="shared" si="283"/>
        <v/>
      </c>
      <c r="BY129" s="238">
        <v>0</v>
      </c>
      <c r="BZ129" s="54" t="str">
        <f t="shared" si="284"/>
        <v/>
      </c>
      <c r="CA129" s="353">
        <f>+Расходы!K79/1000</f>
        <v>0</v>
      </c>
      <c r="CB129" s="54" t="str">
        <f t="shared" si="285"/>
        <v/>
      </c>
      <c r="CC129" s="468" t="str">
        <f t="shared" si="244"/>
        <v/>
      </c>
      <c r="CD129" s="468" t="str">
        <f t="shared" si="245"/>
        <v/>
      </c>
      <c r="CE129" s="344"/>
      <c r="CF129" s="54" t="str">
        <f t="shared" si="286"/>
        <v/>
      </c>
      <c r="CG129" s="238">
        <v>0</v>
      </c>
      <c r="CH129" s="54" t="str">
        <f t="shared" si="287"/>
        <v/>
      </c>
      <c r="CI129" s="353">
        <f>+Расходы!L79/1000</f>
        <v>0</v>
      </c>
      <c r="CJ129" s="54" t="str">
        <f t="shared" si="288"/>
        <v/>
      </c>
      <c r="CK129" s="468" t="str">
        <f t="shared" si="246"/>
        <v/>
      </c>
      <c r="CL129" s="468" t="str">
        <f t="shared" si="247"/>
        <v/>
      </c>
      <c r="CM129" s="344"/>
      <c r="CN129" s="54" t="str">
        <f t="shared" si="289"/>
        <v/>
      </c>
      <c r="CO129" s="238">
        <v>0</v>
      </c>
      <c r="CP129" s="54" t="str">
        <f t="shared" si="290"/>
        <v/>
      </c>
      <c r="CQ129" s="353">
        <f>+Расходы!M79/1000</f>
        <v>0</v>
      </c>
      <c r="CR129" s="54" t="str">
        <f t="shared" si="291"/>
        <v/>
      </c>
      <c r="CS129" s="468" t="str">
        <f t="shared" si="248"/>
        <v/>
      </c>
      <c r="CT129" s="468" t="str">
        <f t="shared" si="249"/>
        <v/>
      </c>
      <c r="CU129" s="344">
        <f t="shared" si="158"/>
        <v>0</v>
      </c>
      <c r="CV129" s="54" t="str">
        <f t="shared" si="250"/>
        <v/>
      </c>
      <c r="CW129" s="238">
        <f t="shared" si="159"/>
        <v>0</v>
      </c>
      <c r="CX129" s="54">
        <f t="shared" si="251"/>
        <v>0</v>
      </c>
      <c r="CY129" s="353">
        <f t="shared" si="252"/>
        <v>0</v>
      </c>
      <c r="CZ129" s="54">
        <f t="shared" si="253"/>
        <v>0</v>
      </c>
      <c r="DA129" s="468" t="str">
        <f t="shared" si="254"/>
        <v/>
      </c>
      <c r="DB129" s="468" t="str">
        <f t="shared" si="255"/>
        <v/>
      </c>
    </row>
    <row r="130" spans="2:106" s="103" customFormat="1" ht="13.15" customHeight="1" outlineLevel="2">
      <c r="B130" s="61" t="str">
        <f>+Расходы!A80</f>
        <v>Вознаграждение</v>
      </c>
      <c r="C130" s="238"/>
      <c r="D130" s="54" t="str">
        <f t="shared" si="256"/>
        <v/>
      </c>
      <c r="E130" s="238"/>
      <c r="F130" s="54" t="str">
        <f t="shared" si="257"/>
        <v/>
      </c>
      <c r="G130" s="353">
        <f>+Расходы!B80/1000</f>
        <v>0</v>
      </c>
      <c r="H130" s="54" t="str">
        <f t="shared" si="258"/>
        <v/>
      </c>
      <c r="I130" s="468" t="str">
        <f t="shared" si="226"/>
        <v/>
      </c>
      <c r="J130" s="468" t="str">
        <f t="shared" si="227"/>
        <v/>
      </c>
      <c r="K130" s="238"/>
      <c r="L130" s="54" t="str">
        <f t="shared" si="259"/>
        <v/>
      </c>
      <c r="M130" s="238"/>
      <c r="N130" s="54" t="str">
        <f t="shared" si="260"/>
        <v/>
      </c>
      <c r="O130" s="353">
        <f>+Расходы!C80/1000</f>
        <v>0</v>
      </c>
      <c r="P130" s="54" t="str">
        <f t="shared" si="261"/>
        <v/>
      </c>
      <c r="Q130" s="468" t="str">
        <f t="shared" si="228"/>
        <v/>
      </c>
      <c r="R130" s="468" t="str">
        <f t="shared" si="229"/>
        <v/>
      </c>
      <c r="S130" s="238"/>
      <c r="T130" s="54" t="str">
        <f t="shared" si="262"/>
        <v/>
      </c>
      <c r="U130" s="238">
        <v>0</v>
      </c>
      <c r="V130" s="54" t="str">
        <f t="shared" si="263"/>
        <v/>
      </c>
      <c r="W130" s="353">
        <f>+Расходы!D80/1000</f>
        <v>0</v>
      </c>
      <c r="X130" s="54" t="str">
        <f t="shared" si="264"/>
        <v/>
      </c>
      <c r="Y130" s="468" t="str">
        <f t="shared" si="230"/>
        <v/>
      </c>
      <c r="Z130" s="468" t="str">
        <f t="shared" si="231"/>
        <v/>
      </c>
      <c r="AA130" s="238"/>
      <c r="AB130" s="54" t="str">
        <f t="shared" si="265"/>
        <v/>
      </c>
      <c r="AC130" s="238">
        <v>0</v>
      </c>
      <c r="AD130" s="54" t="str">
        <f t="shared" si="266"/>
        <v/>
      </c>
      <c r="AE130" s="353">
        <f>+Расходы!E80/1000</f>
        <v>0</v>
      </c>
      <c r="AF130" s="54" t="str">
        <f t="shared" si="267"/>
        <v/>
      </c>
      <c r="AG130" s="468" t="str">
        <f t="shared" si="232"/>
        <v/>
      </c>
      <c r="AH130" s="468" t="str">
        <f t="shared" si="233"/>
        <v/>
      </c>
      <c r="AI130" s="238"/>
      <c r="AJ130" s="54" t="str">
        <f t="shared" si="268"/>
        <v/>
      </c>
      <c r="AK130" s="238">
        <v>0</v>
      </c>
      <c r="AL130" s="54" t="str">
        <f t="shared" si="269"/>
        <v/>
      </c>
      <c r="AM130" s="353">
        <f>+Расходы!F80/1000</f>
        <v>0</v>
      </c>
      <c r="AN130" s="54" t="str">
        <f t="shared" si="270"/>
        <v/>
      </c>
      <c r="AO130" s="468" t="str">
        <f t="shared" si="234"/>
        <v/>
      </c>
      <c r="AP130" s="468" t="str">
        <f t="shared" si="235"/>
        <v/>
      </c>
      <c r="AQ130" s="344"/>
      <c r="AR130" s="54" t="str">
        <f t="shared" si="271"/>
        <v/>
      </c>
      <c r="AS130" s="238">
        <v>0</v>
      </c>
      <c r="AT130" s="54" t="str">
        <f t="shared" si="272"/>
        <v/>
      </c>
      <c r="AU130" s="353">
        <f>+Расходы!G80/1000</f>
        <v>0</v>
      </c>
      <c r="AV130" s="54" t="str">
        <f t="shared" si="273"/>
        <v/>
      </c>
      <c r="AW130" s="468" t="str">
        <f t="shared" si="236"/>
        <v/>
      </c>
      <c r="AX130" s="468" t="str">
        <f t="shared" si="237"/>
        <v/>
      </c>
      <c r="AY130" s="344"/>
      <c r="AZ130" s="54" t="str">
        <f t="shared" si="274"/>
        <v/>
      </c>
      <c r="BA130" s="238">
        <v>0</v>
      </c>
      <c r="BB130" s="54" t="str">
        <f t="shared" si="275"/>
        <v/>
      </c>
      <c r="BC130" s="353">
        <f>+Расходы!H80/1000</f>
        <v>0</v>
      </c>
      <c r="BD130" s="54" t="str">
        <f t="shared" si="276"/>
        <v/>
      </c>
      <c r="BE130" s="468" t="str">
        <f t="shared" si="238"/>
        <v/>
      </c>
      <c r="BF130" s="468" t="str">
        <f t="shared" si="239"/>
        <v/>
      </c>
      <c r="BG130" s="344"/>
      <c r="BH130" s="54" t="str">
        <f t="shared" si="277"/>
        <v/>
      </c>
      <c r="BI130" s="238">
        <v>0</v>
      </c>
      <c r="BJ130" s="54" t="str">
        <f t="shared" si="278"/>
        <v/>
      </c>
      <c r="BK130" s="353">
        <f>+Расходы!I80/1000</f>
        <v>0</v>
      </c>
      <c r="BL130" s="54" t="str">
        <f t="shared" si="279"/>
        <v/>
      </c>
      <c r="BM130" s="468" t="str">
        <f t="shared" si="240"/>
        <v/>
      </c>
      <c r="BN130" s="468" t="str">
        <f t="shared" si="241"/>
        <v/>
      </c>
      <c r="BO130" s="344"/>
      <c r="BP130" s="54" t="str">
        <f t="shared" si="280"/>
        <v/>
      </c>
      <c r="BQ130" s="238">
        <v>0</v>
      </c>
      <c r="BR130" s="54" t="str">
        <f t="shared" si="281"/>
        <v/>
      </c>
      <c r="BS130" s="353">
        <f>+Расходы!J80/1000</f>
        <v>0</v>
      </c>
      <c r="BT130" s="54" t="str">
        <f t="shared" si="282"/>
        <v/>
      </c>
      <c r="BU130" s="468" t="str">
        <f t="shared" si="242"/>
        <v/>
      </c>
      <c r="BV130" s="468" t="str">
        <f t="shared" si="243"/>
        <v/>
      </c>
      <c r="BW130" s="344"/>
      <c r="BX130" s="54" t="str">
        <f t="shared" si="283"/>
        <v/>
      </c>
      <c r="BY130" s="238">
        <v>0</v>
      </c>
      <c r="BZ130" s="54" t="str">
        <f t="shared" si="284"/>
        <v/>
      </c>
      <c r="CA130" s="353">
        <f>+Расходы!K80/1000</f>
        <v>0</v>
      </c>
      <c r="CB130" s="54" t="str">
        <f t="shared" si="285"/>
        <v/>
      </c>
      <c r="CC130" s="468" t="str">
        <f t="shared" si="244"/>
        <v/>
      </c>
      <c r="CD130" s="468" t="str">
        <f t="shared" si="245"/>
        <v/>
      </c>
      <c r="CE130" s="344"/>
      <c r="CF130" s="54" t="str">
        <f t="shared" si="286"/>
        <v/>
      </c>
      <c r="CG130" s="238">
        <v>0</v>
      </c>
      <c r="CH130" s="54" t="str">
        <f t="shared" si="287"/>
        <v/>
      </c>
      <c r="CI130" s="353">
        <f>+Расходы!L80/1000</f>
        <v>0</v>
      </c>
      <c r="CJ130" s="54" t="str">
        <f t="shared" si="288"/>
        <v/>
      </c>
      <c r="CK130" s="468" t="str">
        <f t="shared" si="246"/>
        <v/>
      </c>
      <c r="CL130" s="468" t="str">
        <f t="shared" si="247"/>
        <v/>
      </c>
      <c r="CM130" s="344"/>
      <c r="CN130" s="54" t="str">
        <f t="shared" si="289"/>
        <v/>
      </c>
      <c r="CO130" s="238">
        <v>0</v>
      </c>
      <c r="CP130" s="54" t="str">
        <f t="shared" si="290"/>
        <v/>
      </c>
      <c r="CQ130" s="353">
        <f>+Расходы!M80/1000</f>
        <v>0</v>
      </c>
      <c r="CR130" s="54" t="str">
        <f t="shared" si="291"/>
        <v/>
      </c>
      <c r="CS130" s="468" t="str">
        <f t="shared" si="248"/>
        <v/>
      </c>
      <c r="CT130" s="468" t="str">
        <f t="shared" si="249"/>
        <v/>
      </c>
      <c r="CU130" s="344">
        <f t="shared" si="158"/>
        <v>0</v>
      </c>
      <c r="CV130" s="54" t="str">
        <f t="shared" si="250"/>
        <v/>
      </c>
      <c r="CW130" s="238">
        <f t="shared" si="159"/>
        <v>0</v>
      </c>
      <c r="CX130" s="54">
        <f t="shared" si="251"/>
        <v>0</v>
      </c>
      <c r="CY130" s="353">
        <f t="shared" si="252"/>
        <v>0</v>
      </c>
      <c r="CZ130" s="54">
        <f t="shared" si="253"/>
        <v>0</v>
      </c>
      <c r="DA130" s="468" t="str">
        <f t="shared" si="254"/>
        <v/>
      </c>
      <c r="DB130" s="468" t="str">
        <f t="shared" si="255"/>
        <v/>
      </c>
    </row>
    <row r="131" spans="2:106" s="103" customFormat="1" ht="13.15" customHeight="1" outlineLevel="2">
      <c r="B131" s="61" t="str">
        <f>+Расходы!A81</f>
        <v>Вывоз масла</v>
      </c>
      <c r="C131" s="238"/>
      <c r="D131" s="54" t="str">
        <f t="shared" si="256"/>
        <v/>
      </c>
      <c r="E131" s="238"/>
      <c r="F131" s="54" t="str">
        <f t="shared" si="257"/>
        <v/>
      </c>
      <c r="G131" s="353">
        <f>+Расходы!B81/1000</f>
        <v>0</v>
      </c>
      <c r="H131" s="54" t="str">
        <f t="shared" si="258"/>
        <v/>
      </c>
      <c r="I131" s="468" t="str">
        <f t="shared" si="226"/>
        <v/>
      </c>
      <c r="J131" s="468" t="str">
        <f t="shared" si="227"/>
        <v/>
      </c>
      <c r="K131" s="238"/>
      <c r="L131" s="54" t="str">
        <f t="shared" si="259"/>
        <v/>
      </c>
      <c r="M131" s="238"/>
      <c r="N131" s="54" t="str">
        <f t="shared" si="260"/>
        <v/>
      </c>
      <c r="O131" s="353">
        <f>+Расходы!C81/1000</f>
        <v>0</v>
      </c>
      <c r="P131" s="54" t="str">
        <f t="shared" si="261"/>
        <v/>
      </c>
      <c r="Q131" s="468" t="str">
        <f t="shared" si="228"/>
        <v/>
      </c>
      <c r="R131" s="468" t="str">
        <f t="shared" si="229"/>
        <v/>
      </c>
      <c r="S131" s="238"/>
      <c r="T131" s="54" t="str">
        <f t="shared" si="262"/>
        <v/>
      </c>
      <c r="U131" s="238">
        <v>0</v>
      </c>
      <c r="V131" s="54" t="str">
        <f t="shared" si="263"/>
        <v/>
      </c>
      <c r="W131" s="353">
        <f>+Расходы!D81/1000</f>
        <v>0</v>
      </c>
      <c r="X131" s="54" t="str">
        <f t="shared" si="264"/>
        <v/>
      </c>
      <c r="Y131" s="468" t="str">
        <f t="shared" si="230"/>
        <v/>
      </c>
      <c r="Z131" s="468" t="str">
        <f t="shared" si="231"/>
        <v/>
      </c>
      <c r="AA131" s="238"/>
      <c r="AB131" s="54" t="str">
        <f t="shared" si="265"/>
        <v/>
      </c>
      <c r="AC131" s="238">
        <v>0</v>
      </c>
      <c r="AD131" s="54" t="str">
        <f t="shared" si="266"/>
        <v/>
      </c>
      <c r="AE131" s="353">
        <f>+Расходы!E81/1000</f>
        <v>0</v>
      </c>
      <c r="AF131" s="54" t="str">
        <f t="shared" si="267"/>
        <v/>
      </c>
      <c r="AG131" s="468" t="str">
        <f t="shared" si="232"/>
        <v/>
      </c>
      <c r="AH131" s="468" t="str">
        <f t="shared" si="233"/>
        <v/>
      </c>
      <c r="AI131" s="238"/>
      <c r="AJ131" s="54" t="str">
        <f t="shared" si="268"/>
        <v/>
      </c>
      <c r="AK131" s="238">
        <v>0</v>
      </c>
      <c r="AL131" s="54" t="str">
        <f t="shared" si="269"/>
        <v/>
      </c>
      <c r="AM131" s="353">
        <f>+Расходы!F81/1000</f>
        <v>0</v>
      </c>
      <c r="AN131" s="54" t="str">
        <f t="shared" si="270"/>
        <v/>
      </c>
      <c r="AO131" s="468" t="str">
        <f t="shared" si="234"/>
        <v/>
      </c>
      <c r="AP131" s="468" t="str">
        <f t="shared" si="235"/>
        <v/>
      </c>
      <c r="AQ131" s="344"/>
      <c r="AR131" s="54" t="str">
        <f t="shared" si="271"/>
        <v/>
      </c>
      <c r="AS131" s="238">
        <v>0</v>
      </c>
      <c r="AT131" s="54" t="str">
        <f t="shared" si="272"/>
        <v/>
      </c>
      <c r="AU131" s="353">
        <f>+Расходы!G81/1000</f>
        <v>0</v>
      </c>
      <c r="AV131" s="54" t="str">
        <f t="shared" si="273"/>
        <v/>
      </c>
      <c r="AW131" s="468" t="str">
        <f t="shared" si="236"/>
        <v/>
      </c>
      <c r="AX131" s="468" t="str">
        <f t="shared" si="237"/>
        <v/>
      </c>
      <c r="AY131" s="344"/>
      <c r="AZ131" s="54" t="str">
        <f t="shared" si="274"/>
        <v/>
      </c>
      <c r="BA131" s="238">
        <v>0</v>
      </c>
      <c r="BB131" s="54" t="str">
        <f t="shared" si="275"/>
        <v/>
      </c>
      <c r="BC131" s="353">
        <f>+Расходы!H81/1000</f>
        <v>0</v>
      </c>
      <c r="BD131" s="54" t="str">
        <f t="shared" si="276"/>
        <v/>
      </c>
      <c r="BE131" s="468" t="str">
        <f t="shared" si="238"/>
        <v/>
      </c>
      <c r="BF131" s="468" t="str">
        <f t="shared" si="239"/>
        <v/>
      </c>
      <c r="BG131" s="344"/>
      <c r="BH131" s="54" t="str">
        <f t="shared" si="277"/>
        <v/>
      </c>
      <c r="BI131" s="238">
        <v>0</v>
      </c>
      <c r="BJ131" s="54" t="str">
        <f t="shared" si="278"/>
        <v/>
      </c>
      <c r="BK131" s="353">
        <f>+Расходы!I81/1000</f>
        <v>0</v>
      </c>
      <c r="BL131" s="54" t="str">
        <f t="shared" si="279"/>
        <v/>
      </c>
      <c r="BM131" s="468" t="str">
        <f t="shared" si="240"/>
        <v/>
      </c>
      <c r="BN131" s="468" t="str">
        <f t="shared" si="241"/>
        <v/>
      </c>
      <c r="BO131" s="344"/>
      <c r="BP131" s="54" t="str">
        <f t="shared" si="280"/>
        <v/>
      </c>
      <c r="BQ131" s="238">
        <v>0</v>
      </c>
      <c r="BR131" s="54" t="str">
        <f t="shared" si="281"/>
        <v/>
      </c>
      <c r="BS131" s="353">
        <f>+Расходы!J81/1000</f>
        <v>0</v>
      </c>
      <c r="BT131" s="54" t="str">
        <f t="shared" si="282"/>
        <v/>
      </c>
      <c r="BU131" s="468" t="str">
        <f t="shared" si="242"/>
        <v/>
      </c>
      <c r="BV131" s="468" t="str">
        <f t="shared" si="243"/>
        <v/>
      </c>
      <c r="BW131" s="344"/>
      <c r="BX131" s="54" t="str">
        <f t="shared" si="283"/>
        <v/>
      </c>
      <c r="BY131" s="238">
        <v>0</v>
      </c>
      <c r="BZ131" s="54" t="str">
        <f t="shared" si="284"/>
        <v/>
      </c>
      <c r="CA131" s="353">
        <f>+Расходы!K81/1000</f>
        <v>0</v>
      </c>
      <c r="CB131" s="54" t="str">
        <f t="shared" si="285"/>
        <v/>
      </c>
      <c r="CC131" s="468" t="str">
        <f t="shared" si="244"/>
        <v/>
      </c>
      <c r="CD131" s="468" t="str">
        <f t="shared" si="245"/>
        <v/>
      </c>
      <c r="CE131" s="344"/>
      <c r="CF131" s="54" t="str">
        <f t="shared" si="286"/>
        <v/>
      </c>
      <c r="CG131" s="238">
        <v>0</v>
      </c>
      <c r="CH131" s="54" t="str">
        <f t="shared" si="287"/>
        <v/>
      </c>
      <c r="CI131" s="353">
        <f>+Расходы!L81/1000</f>
        <v>0</v>
      </c>
      <c r="CJ131" s="54" t="str">
        <f t="shared" si="288"/>
        <v/>
      </c>
      <c r="CK131" s="468" t="str">
        <f t="shared" si="246"/>
        <v/>
      </c>
      <c r="CL131" s="468" t="str">
        <f t="shared" si="247"/>
        <v/>
      </c>
      <c r="CM131" s="344"/>
      <c r="CN131" s="54" t="str">
        <f t="shared" si="289"/>
        <v/>
      </c>
      <c r="CO131" s="238">
        <v>0</v>
      </c>
      <c r="CP131" s="54" t="str">
        <f t="shared" si="290"/>
        <v/>
      </c>
      <c r="CQ131" s="353">
        <f>+Расходы!M81/1000</f>
        <v>0</v>
      </c>
      <c r="CR131" s="54" t="str">
        <f t="shared" si="291"/>
        <v/>
      </c>
      <c r="CS131" s="468" t="str">
        <f t="shared" si="248"/>
        <v/>
      </c>
      <c r="CT131" s="468" t="str">
        <f t="shared" si="249"/>
        <v/>
      </c>
      <c r="CU131" s="344">
        <f t="shared" si="158"/>
        <v>0</v>
      </c>
      <c r="CV131" s="54" t="str">
        <f t="shared" si="250"/>
        <v/>
      </c>
      <c r="CW131" s="238">
        <f t="shared" si="159"/>
        <v>0</v>
      </c>
      <c r="CX131" s="54">
        <f t="shared" si="251"/>
        <v>0</v>
      </c>
      <c r="CY131" s="353">
        <f t="shared" si="252"/>
        <v>0</v>
      </c>
      <c r="CZ131" s="54">
        <f t="shared" si="253"/>
        <v>0</v>
      </c>
      <c r="DA131" s="468" t="str">
        <f t="shared" si="254"/>
        <v/>
      </c>
      <c r="DB131" s="468" t="str">
        <f t="shared" si="255"/>
        <v/>
      </c>
    </row>
    <row r="132" spans="2:106" s="103" customFormat="1" ht="13.15" customHeight="1" outlineLevel="2">
      <c r="B132" s="61" t="str">
        <f>+Расходы!A82</f>
        <v>Госпошлины, разрешительная документация (в т.ч. лицензии), оформление деятельности</v>
      </c>
      <c r="C132" s="238"/>
      <c r="D132" s="54" t="str">
        <f t="shared" si="256"/>
        <v/>
      </c>
      <c r="E132" s="238"/>
      <c r="F132" s="54" t="str">
        <f t="shared" si="257"/>
        <v/>
      </c>
      <c r="G132" s="353">
        <f>+Расходы!B82/1000</f>
        <v>0</v>
      </c>
      <c r="H132" s="54" t="str">
        <f t="shared" si="258"/>
        <v/>
      </c>
      <c r="I132" s="468" t="str">
        <f t="shared" si="226"/>
        <v/>
      </c>
      <c r="J132" s="468" t="str">
        <f t="shared" si="227"/>
        <v/>
      </c>
      <c r="K132" s="238"/>
      <c r="L132" s="54" t="str">
        <f t="shared" si="259"/>
        <v/>
      </c>
      <c r="M132" s="238"/>
      <c r="N132" s="54" t="str">
        <f t="shared" si="260"/>
        <v/>
      </c>
      <c r="O132" s="353">
        <f>+Расходы!C82/1000</f>
        <v>0</v>
      </c>
      <c r="P132" s="54" t="str">
        <f t="shared" si="261"/>
        <v/>
      </c>
      <c r="Q132" s="468" t="str">
        <f t="shared" si="228"/>
        <v/>
      </c>
      <c r="R132" s="468" t="str">
        <f t="shared" si="229"/>
        <v/>
      </c>
      <c r="S132" s="238"/>
      <c r="T132" s="54" t="str">
        <f t="shared" si="262"/>
        <v/>
      </c>
      <c r="U132" s="238">
        <v>0</v>
      </c>
      <c r="V132" s="54" t="str">
        <f t="shared" si="263"/>
        <v/>
      </c>
      <c r="W132" s="353">
        <f>+Расходы!D82/1000</f>
        <v>0</v>
      </c>
      <c r="X132" s="54" t="str">
        <f t="shared" si="264"/>
        <v/>
      </c>
      <c r="Y132" s="468" t="str">
        <f t="shared" si="230"/>
        <v/>
      </c>
      <c r="Z132" s="468" t="str">
        <f t="shared" si="231"/>
        <v/>
      </c>
      <c r="AA132" s="238"/>
      <c r="AB132" s="54" t="str">
        <f t="shared" si="265"/>
        <v/>
      </c>
      <c r="AC132" s="238">
        <v>0</v>
      </c>
      <c r="AD132" s="54" t="str">
        <f t="shared" si="266"/>
        <v/>
      </c>
      <c r="AE132" s="353">
        <f>+Расходы!E82/1000</f>
        <v>0</v>
      </c>
      <c r="AF132" s="54" t="str">
        <f t="shared" si="267"/>
        <v/>
      </c>
      <c r="AG132" s="468" t="str">
        <f t="shared" si="232"/>
        <v/>
      </c>
      <c r="AH132" s="468" t="str">
        <f t="shared" si="233"/>
        <v/>
      </c>
      <c r="AI132" s="238"/>
      <c r="AJ132" s="54" t="str">
        <f t="shared" si="268"/>
        <v/>
      </c>
      <c r="AK132" s="238">
        <v>0</v>
      </c>
      <c r="AL132" s="54" t="str">
        <f t="shared" si="269"/>
        <v/>
      </c>
      <c r="AM132" s="353">
        <f>+Расходы!F82/1000</f>
        <v>0</v>
      </c>
      <c r="AN132" s="54" t="str">
        <f t="shared" si="270"/>
        <v/>
      </c>
      <c r="AO132" s="468" t="str">
        <f t="shared" si="234"/>
        <v/>
      </c>
      <c r="AP132" s="468" t="str">
        <f t="shared" si="235"/>
        <v/>
      </c>
      <c r="AQ132" s="344"/>
      <c r="AR132" s="54" t="str">
        <f t="shared" si="271"/>
        <v/>
      </c>
      <c r="AS132" s="238">
        <v>0</v>
      </c>
      <c r="AT132" s="54" t="str">
        <f t="shared" si="272"/>
        <v/>
      </c>
      <c r="AU132" s="353">
        <f>+Расходы!G82/1000</f>
        <v>0</v>
      </c>
      <c r="AV132" s="54" t="str">
        <f t="shared" si="273"/>
        <v/>
      </c>
      <c r="AW132" s="468" t="str">
        <f t="shared" si="236"/>
        <v/>
      </c>
      <c r="AX132" s="468" t="str">
        <f t="shared" si="237"/>
        <v/>
      </c>
      <c r="AY132" s="344"/>
      <c r="AZ132" s="54" t="str">
        <f t="shared" si="274"/>
        <v/>
      </c>
      <c r="BA132" s="238">
        <v>0</v>
      </c>
      <c r="BB132" s="54" t="str">
        <f t="shared" si="275"/>
        <v/>
      </c>
      <c r="BC132" s="353">
        <f>+Расходы!H82/1000</f>
        <v>0</v>
      </c>
      <c r="BD132" s="54" t="str">
        <f t="shared" si="276"/>
        <v/>
      </c>
      <c r="BE132" s="468" t="str">
        <f t="shared" si="238"/>
        <v/>
      </c>
      <c r="BF132" s="468" t="str">
        <f t="shared" si="239"/>
        <v/>
      </c>
      <c r="BG132" s="344"/>
      <c r="BH132" s="54" t="str">
        <f t="shared" si="277"/>
        <v/>
      </c>
      <c r="BI132" s="238">
        <v>0</v>
      </c>
      <c r="BJ132" s="54" t="str">
        <f t="shared" si="278"/>
        <v/>
      </c>
      <c r="BK132" s="353">
        <f>+Расходы!I82/1000</f>
        <v>0</v>
      </c>
      <c r="BL132" s="54" t="str">
        <f t="shared" si="279"/>
        <v/>
      </c>
      <c r="BM132" s="468" t="str">
        <f t="shared" si="240"/>
        <v/>
      </c>
      <c r="BN132" s="468" t="str">
        <f t="shared" si="241"/>
        <v/>
      </c>
      <c r="BO132" s="344"/>
      <c r="BP132" s="54" t="str">
        <f t="shared" si="280"/>
        <v/>
      </c>
      <c r="BQ132" s="238">
        <v>0</v>
      </c>
      <c r="BR132" s="54" t="str">
        <f t="shared" si="281"/>
        <v/>
      </c>
      <c r="BS132" s="353">
        <f>+Расходы!J82/1000</f>
        <v>0</v>
      </c>
      <c r="BT132" s="54" t="str">
        <f t="shared" si="282"/>
        <v/>
      </c>
      <c r="BU132" s="468" t="str">
        <f t="shared" si="242"/>
        <v/>
      </c>
      <c r="BV132" s="468" t="str">
        <f t="shared" si="243"/>
        <v/>
      </c>
      <c r="BW132" s="344"/>
      <c r="BX132" s="54" t="str">
        <f t="shared" si="283"/>
        <v/>
      </c>
      <c r="BY132" s="238">
        <v>0</v>
      </c>
      <c r="BZ132" s="54" t="str">
        <f t="shared" si="284"/>
        <v/>
      </c>
      <c r="CA132" s="353">
        <f>+Расходы!K82/1000</f>
        <v>0</v>
      </c>
      <c r="CB132" s="54" t="str">
        <f t="shared" si="285"/>
        <v/>
      </c>
      <c r="CC132" s="468" t="str">
        <f t="shared" si="244"/>
        <v/>
      </c>
      <c r="CD132" s="468" t="str">
        <f t="shared" si="245"/>
        <v/>
      </c>
      <c r="CE132" s="344"/>
      <c r="CF132" s="54" t="str">
        <f t="shared" si="286"/>
        <v/>
      </c>
      <c r="CG132" s="238">
        <v>0</v>
      </c>
      <c r="CH132" s="54" t="str">
        <f t="shared" si="287"/>
        <v/>
      </c>
      <c r="CI132" s="353">
        <f>+Расходы!L82/1000</f>
        <v>0</v>
      </c>
      <c r="CJ132" s="54" t="str">
        <f t="shared" si="288"/>
        <v/>
      </c>
      <c r="CK132" s="468" t="str">
        <f t="shared" si="246"/>
        <v/>
      </c>
      <c r="CL132" s="468" t="str">
        <f t="shared" si="247"/>
        <v/>
      </c>
      <c r="CM132" s="344"/>
      <c r="CN132" s="54" t="str">
        <f t="shared" si="289"/>
        <v/>
      </c>
      <c r="CO132" s="238">
        <v>0</v>
      </c>
      <c r="CP132" s="54" t="str">
        <f t="shared" si="290"/>
        <v/>
      </c>
      <c r="CQ132" s="353">
        <f>+Расходы!M82/1000</f>
        <v>0</v>
      </c>
      <c r="CR132" s="54" t="str">
        <f t="shared" si="291"/>
        <v/>
      </c>
      <c r="CS132" s="468" t="str">
        <f t="shared" si="248"/>
        <v/>
      </c>
      <c r="CT132" s="468" t="str">
        <f t="shared" si="249"/>
        <v/>
      </c>
      <c r="CU132" s="344">
        <f t="shared" ref="CU132:CU195" si="292">SUM(C132,K132,S132,AA132,AI132,AQ132,AY132,BG132,BO132,BW132,CE132,CM132)</f>
        <v>0</v>
      </c>
      <c r="CV132" s="54" t="str">
        <f t="shared" si="250"/>
        <v/>
      </c>
      <c r="CW132" s="238">
        <f t="shared" ref="CW132:CW195" si="293">SUM(E132,M132,U132,AC132,AK132,AS132,BA132,BI132,BQ132,BY132,CG132,CO132)</f>
        <v>0</v>
      </c>
      <c r="CX132" s="54">
        <f t="shared" si="251"/>
        <v>0</v>
      </c>
      <c r="CY132" s="353">
        <f t="shared" si="252"/>
        <v>0</v>
      </c>
      <c r="CZ132" s="54">
        <f t="shared" si="253"/>
        <v>0</v>
      </c>
      <c r="DA132" s="468" t="str">
        <f t="shared" si="254"/>
        <v/>
      </c>
      <c r="DB132" s="468" t="str">
        <f t="shared" si="255"/>
        <v/>
      </c>
    </row>
    <row r="133" spans="2:106" s="103" customFormat="1" ht="13.15" customHeight="1" outlineLevel="2">
      <c r="B133" s="61" t="str">
        <f>+Расходы!A83</f>
        <v>Грузчики</v>
      </c>
      <c r="C133" s="238"/>
      <c r="D133" s="54" t="str">
        <f t="shared" si="256"/>
        <v/>
      </c>
      <c r="E133" s="238"/>
      <c r="F133" s="54" t="str">
        <f t="shared" si="257"/>
        <v/>
      </c>
      <c r="G133" s="353">
        <f>+Расходы!B83/1000</f>
        <v>0</v>
      </c>
      <c r="H133" s="54" t="str">
        <f t="shared" si="258"/>
        <v/>
      </c>
      <c r="I133" s="468" t="str">
        <f t="shared" si="226"/>
        <v/>
      </c>
      <c r="J133" s="468" t="str">
        <f t="shared" si="227"/>
        <v/>
      </c>
      <c r="K133" s="238"/>
      <c r="L133" s="54" t="str">
        <f t="shared" si="259"/>
        <v/>
      </c>
      <c r="M133" s="238"/>
      <c r="N133" s="54" t="str">
        <f t="shared" si="260"/>
        <v/>
      </c>
      <c r="O133" s="353">
        <f>+Расходы!C83/1000</f>
        <v>0</v>
      </c>
      <c r="P133" s="54" t="str">
        <f t="shared" si="261"/>
        <v/>
      </c>
      <c r="Q133" s="468" t="str">
        <f t="shared" si="228"/>
        <v/>
      </c>
      <c r="R133" s="468" t="str">
        <f t="shared" si="229"/>
        <v/>
      </c>
      <c r="S133" s="238"/>
      <c r="T133" s="54" t="str">
        <f t="shared" si="262"/>
        <v/>
      </c>
      <c r="U133" s="238">
        <v>0</v>
      </c>
      <c r="V133" s="54" t="str">
        <f t="shared" si="263"/>
        <v/>
      </c>
      <c r="W133" s="353">
        <f>+Расходы!D83/1000</f>
        <v>0</v>
      </c>
      <c r="X133" s="54" t="str">
        <f t="shared" si="264"/>
        <v/>
      </c>
      <c r="Y133" s="468" t="str">
        <f t="shared" si="230"/>
        <v/>
      </c>
      <c r="Z133" s="468" t="str">
        <f t="shared" si="231"/>
        <v/>
      </c>
      <c r="AA133" s="238"/>
      <c r="AB133" s="54" t="str">
        <f t="shared" si="265"/>
        <v/>
      </c>
      <c r="AC133" s="238">
        <v>0</v>
      </c>
      <c r="AD133" s="54" t="str">
        <f t="shared" si="266"/>
        <v/>
      </c>
      <c r="AE133" s="353">
        <f>+Расходы!E83/1000</f>
        <v>0</v>
      </c>
      <c r="AF133" s="54" t="str">
        <f t="shared" si="267"/>
        <v/>
      </c>
      <c r="AG133" s="468" t="str">
        <f t="shared" si="232"/>
        <v/>
      </c>
      <c r="AH133" s="468" t="str">
        <f t="shared" si="233"/>
        <v/>
      </c>
      <c r="AI133" s="238"/>
      <c r="AJ133" s="54" t="str">
        <f t="shared" si="268"/>
        <v/>
      </c>
      <c r="AK133" s="238">
        <v>0</v>
      </c>
      <c r="AL133" s="54" t="str">
        <f t="shared" si="269"/>
        <v/>
      </c>
      <c r="AM133" s="353">
        <f>+Расходы!F83/1000</f>
        <v>0</v>
      </c>
      <c r="AN133" s="54" t="str">
        <f t="shared" si="270"/>
        <v/>
      </c>
      <c r="AO133" s="468" t="str">
        <f t="shared" si="234"/>
        <v/>
      </c>
      <c r="AP133" s="468" t="str">
        <f t="shared" si="235"/>
        <v/>
      </c>
      <c r="AQ133" s="344"/>
      <c r="AR133" s="54" t="str">
        <f t="shared" si="271"/>
        <v/>
      </c>
      <c r="AS133" s="238">
        <v>0</v>
      </c>
      <c r="AT133" s="54" t="str">
        <f t="shared" si="272"/>
        <v/>
      </c>
      <c r="AU133" s="353">
        <f>+Расходы!G83/1000</f>
        <v>0</v>
      </c>
      <c r="AV133" s="54" t="str">
        <f t="shared" si="273"/>
        <v/>
      </c>
      <c r="AW133" s="468" t="str">
        <f t="shared" si="236"/>
        <v/>
      </c>
      <c r="AX133" s="468" t="str">
        <f t="shared" si="237"/>
        <v/>
      </c>
      <c r="AY133" s="344"/>
      <c r="AZ133" s="54" t="str">
        <f t="shared" si="274"/>
        <v/>
      </c>
      <c r="BA133" s="238">
        <v>0</v>
      </c>
      <c r="BB133" s="54" t="str">
        <f t="shared" si="275"/>
        <v/>
      </c>
      <c r="BC133" s="353">
        <f>+Расходы!H83/1000</f>
        <v>0</v>
      </c>
      <c r="BD133" s="54" t="str">
        <f t="shared" si="276"/>
        <v/>
      </c>
      <c r="BE133" s="468" t="str">
        <f t="shared" si="238"/>
        <v/>
      </c>
      <c r="BF133" s="468" t="str">
        <f t="shared" si="239"/>
        <v/>
      </c>
      <c r="BG133" s="344"/>
      <c r="BH133" s="54" t="str">
        <f t="shared" si="277"/>
        <v/>
      </c>
      <c r="BI133" s="238">
        <v>0</v>
      </c>
      <c r="BJ133" s="54" t="str">
        <f t="shared" si="278"/>
        <v/>
      </c>
      <c r="BK133" s="353">
        <f>+Расходы!I83/1000</f>
        <v>0</v>
      </c>
      <c r="BL133" s="54" t="str">
        <f t="shared" si="279"/>
        <v/>
      </c>
      <c r="BM133" s="468" t="str">
        <f t="shared" si="240"/>
        <v/>
      </c>
      <c r="BN133" s="468" t="str">
        <f t="shared" si="241"/>
        <v/>
      </c>
      <c r="BO133" s="344"/>
      <c r="BP133" s="54" t="str">
        <f t="shared" si="280"/>
        <v/>
      </c>
      <c r="BQ133" s="238">
        <v>0</v>
      </c>
      <c r="BR133" s="54" t="str">
        <f t="shared" si="281"/>
        <v/>
      </c>
      <c r="BS133" s="353">
        <f>+Расходы!J83/1000</f>
        <v>0</v>
      </c>
      <c r="BT133" s="54" t="str">
        <f t="shared" si="282"/>
        <v/>
      </c>
      <c r="BU133" s="468" t="str">
        <f t="shared" si="242"/>
        <v/>
      </c>
      <c r="BV133" s="468" t="str">
        <f t="shared" si="243"/>
        <v/>
      </c>
      <c r="BW133" s="344"/>
      <c r="BX133" s="54" t="str">
        <f t="shared" si="283"/>
        <v/>
      </c>
      <c r="BY133" s="238">
        <v>0</v>
      </c>
      <c r="BZ133" s="54" t="str">
        <f t="shared" si="284"/>
        <v/>
      </c>
      <c r="CA133" s="353">
        <f>+Расходы!K83/1000</f>
        <v>0</v>
      </c>
      <c r="CB133" s="54" t="str">
        <f t="shared" si="285"/>
        <v/>
      </c>
      <c r="CC133" s="468" t="str">
        <f t="shared" si="244"/>
        <v/>
      </c>
      <c r="CD133" s="468" t="str">
        <f t="shared" si="245"/>
        <v/>
      </c>
      <c r="CE133" s="344"/>
      <c r="CF133" s="54" t="str">
        <f t="shared" si="286"/>
        <v/>
      </c>
      <c r="CG133" s="238">
        <v>0</v>
      </c>
      <c r="CH133" s="54" t="str">
        <f t="shared" si="287"/>
        <v/>
      </c>
      <c r="CI133" s="353">
        <f>+Расходы!L83/1000</f>
        <v>0</v>
      </c>
      <c r="CJ133" s="54" t="str">
        <f t="shared" si="288"/>
        <v/>
      </c>
      <c r="CK133" s="468" t="str">
        <f t="shared" si="246"/>
        <v/>
      </c>
      <c r="CL133" s="468" t="str">
        <f t="shared" si="247"/>
        <v/>
      </c>
      <c r="CM133" s="344"/>
      <c r="CN133" s="54" t="str">
        <f t="shared" si="289"/>
        <v/>
      </c>
      <c r="CO133" s="238">
        <v>0</v>
      </c>
      <c r="CP133" s="54" t="str">
        <f t="shared" si="290"/>
        <v/>
      </c>
      <c r="CQ133" s="353">
        <f>+Расходы!M83/1000</f>
        <v>0</v>
      </c>
      <c r="CR133" s="54" t="str">
        <f t="shared" si="291"/>
        <v/>
      </c>
      <c r="CS133" s="468" t="str">
        <f t="shared" si="248"/>
        <v/>
      </c>
      <c r="CT133" s="468" t="str">
        <f t="shared" si="249"/>
        <v/>
      </c>
      <c r="CU133" s="344">
        <f t="shared" si="292"/>
        <v>0</v>
      </c>
      <c r="CV133" s="54" t="str">
        <f t="shared" si="250"/>
        <v/>
      </c>
      <c r="CW133" s="238">
        <f t="shared" si="293"/>
        <v>0</v>
      </c>
      <c r="CX133" s="54">
        <f t="shared" si="251"/>
        <v>0</v>
      </c>
      <c r="CY133" s="353">
        <f t="shared" si="252"/>
        <v>0</v>
      </c>
      <c r="CZ133" s="54">
        <f t="shared" si="253"/>
        <v>0</v>
      </c>
      <c r="DA133" s="468" t="str">
        <f t="shared" si="254"/>
        <v/>
      </c>
      <c r="DB133" s="468" t="str">
        <f t="shared" si="255"/>
        <v/>
      </c>
    </row>
    <row r="134" spans="2:106" s="103" customFormat="1" ht="13.15" customHeight="1" outlineLevel="2">
      <c r="B134" s="61" t="str">
        <f>+Расходы!A84</f>
        <v>Дератизация, дезинсекция</v>
      </c>
      <c r="C134" s="238"/>
      <c r="D134" s="54" t="str">
        <f t="shared" si="256"/>
        <v/>
      </c>
      <c r="E134" s="238"/>
      <c r="F134" s="54" t="str">
        <f t="shared" si="257"/>
        <v/>
      </c>
      <c r="G134" s="353">
        <f>+Расходы!B84/1000</f>
        <v>0</v>
      </c>
      <c r="H134" s="54" t="str">
        <f t="shared" si="258"/>
        <v/>
      </c>
      <c r="I134" s="468" t="str">
        <f t="shared" si="226"/>
        <v/>
      </c>
      <c r="J134" s="468" t="str">
        <f t="shared" si="227"/>
        <v/>
      </c>
      <c r="K134" s="238"/>
      <c r="L134" s="54" t="str">
        <f t="shared" si="259"/>
        <v/>
      </c>
      <c r="M134" s="238"/>
      <c r="N134" s="54" t="str">
        <f t="shared" si="260"/>
        <v/>
      </c>
      <c r="O134" s="353">
        <f>+Расходы!C84/1000</f>
        <v>0</v>
      </c>
      <c r="P134" s="54" t="str">
        <f t="shared" si="261"/>
        <v/>
      </c>
      <c r="Q134" s="468" t="str">
        <f t="shared" si="228"/>
        <v/>
      </c>
      <c r="R134" s="468" t="str">
        <f t="shared" si="229"/>
        <v/>
      </c>
      <c r="S134" s="238"/>
      <c r="T134" s="54" t="str">
        <f t="shared" si="262"/>
        <v/>
      </c>
      <c r="U134" s="238">
        <v>0</v>
      </c>
      <c r="V134" s="54" t="str">
        <f t="shared" si="263"/>
        <v/>
      </c>
      <c r="W134" s="353">
        <f>+Расходы!D84/1000</f>
        <v>0</v>
      </c>
      <c r="X134" s="54" t="str">
        <f t="shared" si="264"/>
        <v/>
      </c>
      <c r="Y134" s="468" t="str">
        <f t="shared" si="230"/>
        <v/>
      </c>
      <c r="Z134" s="468" t="str">
        <f t="shared" si="231"/>
        <v/>
      </c>
      <c r="AA134" s="238"/>
      <c r="AB134" s="54" t="str">
        <f t="shared" si="265"/>
        <v/>
      </c>
      <c r="AC134" s="238">
        <v>0</v>
      </c>
      <c r="AD134" s="54" t="str">
        <f t="shared" si="266"/>
        <v/>
      </c>
      <c r="AE134" s="353">
        <f>+Расходы!E84/1000</f>
        <v>0</v>
      </c>
      <c r="AF134" s="54" t="str">
        <f t="shared" si="267"/>
        <v/>
      </c>
      <c r="AG134" s="468" t="str">
        <f t="shared" si="232"/>
        <v/>
      </c>
      <c r="AH134" s="468" t="str">
        <f t="shared" si="233"/>
        <v/>
      </c>
      <c r="AI134" s="238"/>
      <c r="AJ134" s="54" t="str">
        <f t="shared" si="268"/>
        <v/>
      </c>
      <c r="AK134" s="238">
        <v>0</v>
      </c>
      <c r="AL134" s="54" t="str">
        <f t="shared" si="269"/>
        <v/>
      </c>
      <c r="AM134" s="353">
        <f>+Расходы!F84/1000</f>
        <v>0</v>
      </c>
      <c r="AN134" s="54" t="str">
        <f t="shared" si="270"/>
        <v/>
      </c>
      <c r="AO134" s="468" t="str">
        <f t="shared" si="234"/>
        <v/>
      </c>
      <c r="AP134" s="468" t="str">
        <f t="shared" si="235"/>
        <v/>
      </c>
      <c r="AQ134" s="344"/>
      <c r="AR134" s="54" t="str">
        <f t="shared" si="271"/>
        <v/>
      </c>
      <c r="AS134" s="238">
        <v>10</v>
      </c>
      <c r="AT134" s="54">
        <f t="shared" si="272"/>
        <v>6.6312997347480103E-4</v>
      </c>
      <c r="AU134" s="353">
        <f>+Расходы!G84/1000</f>
        <v>3.9</v>
      </c>
      <c r="AV134" s="54">
        <f t="shared" si="273"/>
        <v>2.7361986665451514E-4</v>
      </c>
      <c r="AW134" s="468">
        <f t="shared" si="236"/>
        <v>-0.61</v>
      </c>
      <c r="AX134" s="468" t="str">
        <f t="shared" si="237"/>
        <v/>
      </c>
      <c r="AY134" s="344"/>
      <c r="AZ134" s="54" t="str">
        <f t="shared" si="274"/>
        <v/>
      </c>
      <c r="BA134" s="238">
        <v>10</v>
      </c>
      <c r="BB134" s="54">
        <f t="shared" si="275"/>
        <v>6.382639221318015E-4</v>
      </c>
      <c r="BC134" s="353">
        <f>+Расходы!H84/1000</f>
        <v>0</v>
      </c>
      <c r="BD134" s="54" t="str">
        <f t="shared" si="276"/>
        <v/>
      </c>
      <c r="BE134" s="468">
        <f t="shared" si="238"/>
        <v>-1</v>
      </c>
      <c r="BF134" s="468" t="str">
        <f t="shared" si="239"/>
        <v/>
      </c>
      <c r="BG134" s="344"/>
      <c r="BH134" s="54" t="str">
        <f t="shared" si="277"/>
        <v/>
      </c>
      <c r="BI134" s="238">
        <v>10</v>
      </c>
      <c r="BJ134" s="54">
        <f t="shared" si="278"/>
        <v>6.382639221318015E-4</v>
      </c>
      <c r="BK134" s="353">
        <f>+Расходы!I84/1000</f>
        <v>0</v>
      </c>
      <c r="BL134" s="54" t="str">
        <f t="shared" si="279"/>
        <v/>
      </c>
      <c r="BM134" s="468">
        <f t="shared" si="240"/>
        <v>-1</v>
      </c>
      <c r="BN134" s="468" t="str">
        <f t="shared" si="241"/>
        <v/>
      </c>
      <c r="BO134" s="344"/>
      <c r="BP134" s="54" t="str">
        <f t="shared" si="280"/>
        <v/>
      </c>
      <c r="BQ134" s="238">
        <v>10</v>
      </c>
      <c r="BR134" s="54">
        <f t="shared" si="281"/>
        <v>6.9060773480662981E-4</v>
      </c>
      <c r="BS134" s="353">
        <f>+Расходы!J84/1000</f>
        <v>0</v>
      </c>
      <c r="BT134" s="54" t="str">
        <f t="shared" si="282"/>
        <v/>
      </c>
      <c r="BU134" s="468">
        <f t="shared" si="242"/>
        <v>-1</v>
      </c>
      <c r="BV134" s="468" t="str">
        <f t="shared" si="243"/>
        <v/>
      </c>
      <c r="BW134" s="344"/>
      <c r="BX134" s="54" t="str">
        <f t="shared" si="283"/>
        <v/>
      </c>
      <c r="BY134" s="238">
        <v>0</v>
      </c>
      <c r="BZ134" s="54" t="str">
        <f t="shared" si="284"/>
        <v/>
      </c>
      <c r="CA134" s="353">
        <f>+Расходы!K84/1000</f>
        <v>0</v>
      </c>
      <c r="CB134" s="54" t="str">
        <f t="shared" si="285"/>
        <v/>
      </c>
      <c r="CC134" s="468" t="str">
        <f t="shared" si="244"/>
        <v/>
      </c>
      <c r="CD134" s="468" t="str">
        <f t="shared" si="245"/>
        <v/>
      </c>
      <c r="CE134" s="344"/>
      <c r="CF134" s="54" t="str">
        <f t="shared" si="286"/>
        <v/>
      </c>
      <c r="CG134" s="238">
        <v>0</v>
      </c>
      <c r="CH134" s="54" t="str">
        <f t="shared" si="287"/>
        <v/>
      </c>
      <c r="CI134" s="353">
        <f>+Расходы!L84/1000</f>
        <v>0</v>
      </c>
      <c r="CJ134" s="54" t="str">
        <f t="shared" si="288"/>
        <v/>
      </c>
      <c r="CK134" s="468" t="str">
        <f t="shared" si="246"/>
        <v/>
      </c>
      <c r="CL134" s="468" t="str">
        <f t="shared" si="247"/>
        <v/>
      </c>
      <c r="CM134" s="344"/>
      <c r="CN134" s="54" t="str">
        <f t="shared" si="289"/>
        <v/>
      </c>
      <c r="CO134" s="238">
        <v>0</v>
      </c>
      <c r="CP134" s="54" t="str">
        <f t="shared" si="290"/>
        <v/>
      </c>
      <c r="CQ134" s="353">
        <f>+Расходы!M84/1000</f>
        <v>0</v>
      </c>
      <c r="CR134" s="54" t="str">
        <f t="shared" si="291"/>
        <v/>
      </c>
      <c r="CS134" s="468" t="str">
        <f t="shared" si="248"/>
        <v/>
      </c>
      <c r="CT134" s="468" t="str">
        <f t="shared" si="249"/>
        <v/>
      </c>
      <c r="CU134" s="344">
        <f t="shared" si="292"/>
        <v>0</v>
      </c>
      <c r="CV134" s="54" t="str">
        <f t="shared" si="250"/>
        <v/>
      </c>
      <c r="CW134" s="238">
        <f t="shared" si="293"/>
        <v>40</v>
      </c>
      <c r="CX134" s="54">
        <f t="shared" si="251"/>
        <v>3.0163643309912669E-4</v>
      </c>
      <c r="CY134" s="353">
        <f t="shared" si="252"/>
        <v>3.9</v>
      </c>
      <c r="CZ134" s="54">
        <f t="shared" si="253"/>
        <v>7.8614702509568763E-5</v>
      </c>
      <c r="DA134" s="468">
        <f t="shared" si="254"/>
        <v>-0.90249999999999997</v>
      </c>
      <c r="DB134" s="468" t="str">
        <f t="shared" si="255"/>
        <v/>
      </c>
    </row>
    <row r="135" spans="2:106" s="103" customFormat="1" ht="13.15" customHeight="1" outlineLevel="2">
      <c r="B135" s="61" t="str">
        <f>+Расходы!A85</f>
        <v>Доставка газет</v>
      </c>
      <c r="C135" s="238"/>
      <c r="D135" s="54" t="str">
        <f t="shared" si="256"/>
        <v/>
      </c>
      <c r="E135" s="238"/>
      <c r="F135" s="54" t="str">
        <f t="shared" si="257"/>
        <v/>
      </c>
      <c r="G135" s="353">
        <f>+Расходы!B85/1000</f>
        <v>0</v>
      </c>
      <c r="H135" s="54" t="str">
        <f t="shared" si="258"/>
        <v/>
      </c>
      <c r="I135" s="468" t="str">
        <f t="shared" si="226"/>
        <v/>
      </c>
      <c r="J135" s="468" t="str">
        <f t="shared" si="227"/>
        <v/>
      </c>
      <c r="K135" s="238"/>
      <c r="L135" s="54" t="str">
        <f t="shared" si="259"/>
        <v/>
      </c>
      <c r="M135" s="238"/>
      <c r="N135" s="54" t="str">
        <f t="shared" si="260"/>
        <v/>
      </c>
      <c r="O135" s="353">
        <f>+Расходы!C85/1000</f>
        <v>0</v>
      </c>
      <c r="P135" s="54" t="str">
        <f t="shared" si="261"/>
        <v/>
      </c>
      <c r="Q135" s="468" t="str">
        <f t="shared" si="228"/>
        <v/>
      </c>
      <c r="R135" s="468" t="str">
        <f t="shared" si="229"/>
        <v/>
      </c>
      <c r="S135" s="238"/>
      <c r="T135" s="54" t="str">
        <f t="shared" si="262"/>
        <v/>
      </c>
      <c r="U135" s="238">
        <v>0</v>
      </c>
      <c r="V135" s="54" t="str">
        <f t="shared" si="263"/>
        <v/>
      </c>
      <c r="W135" s="353">
        <f>+Расходы!D85/1000</f>
        <v>0</v>
      </c>
      <c r="X135" s="54" t="str">
        <f t="shared" si="264"/>
        <v/>
      </c>
      <c r="Y135" s="468" t="str">
        <f t="shared" si="230"/>
        <v/>
      </c>
      <c r="Z135" s="468" t="str">
        <f t="shared" si="231"/>
        <v/>
      </c>
      <c r="AA135" s="238"/>
      <c r="AB135" s="54" t="str">
        <f t="shared" si="265"/>
        <v/>
      </c>
      <c r="AC135" s="238">
        <v>0</v>
      </c>
      <c r="AD135" s="54" t="str">
        <f t="shared" si="266"/>
        <v/>
      </c>
      <c r="AE135" s="353">
        <f>+Расходы!E85/1000</f>
        <v>0</v>
      </c>
      <c r="AF135" s="54" t="str">
        <f t="shared" si="267"/>
        <v/>
      </c>
      <c r="AG135" s="468" t="str">
        <f t="shared" si="232"/>
        <v/>
      </c>
      <c r="AH135" s="468" t="str">
        <f t="shared" si="233"/>
        <v/>
      </c>
      <c r="AI135" s="238"/>
      <c r="AJ135" s="54" t="str">
        <f t="shared" si="268"/>
        <v/>
      </c>
      <c r="AK135" s="238">
        <v>0</v>
      </c>
      <c r="AL135" s="54" t="str">
        <f t="shared" si="269"/>
        <v/>
      </c>
      <c r="AM135" s="353">
        <f>+Расходы!F85/1000</f>
        <v>0</v>
      </c>
      <c r="AN135" s="54" t="str">
        <f t="shared" si="270"/>
        <v/>
      </c>
      <c r="AO135" s="468" t="str">
        <f t="shared" si="234"/>
        <v/>
      </c>
      <c r="AP135" s="468" t="str">
        <f t="shared" si="235"/>
        <v/>
      </c>
      <c r="AQ135" s="344"/>
      <c r="AR135" s="54" t="str">
        <f t="shared" si="271"/>
        <v/>
      </c>
      <c r="AS135" s="238">
        <v>0</v>
      </c>
      <c r="AT135" s="54" t="str">
        <f t="shared" si="272"/>
        <v/>
      </c>
      <c r="AU135" s="353">
        <f>+Расходы!G85/1000</f>
        <v>0</v>
      </c>
      <c r="AV135" s="54" t="str">
        <f t="shared" si="273"/>
        <v/>
      </c>
      <c r="AW135" s="468" t="str">
        <f t="shared" si="236"/>
        <v/>
      </c>
      <c r="AX135" s="468" t="str">
        <f t="shared" si="237"/>
        <v/>
      </c>
      <c r="AY135" s="344"/>
      <c r="AZ135" s="54" t="str">
        <f t="shared" si="274"/>
        <v/>
      </c>
      <c r="BA135" s="238">
        <v>0</v>
      </c>
      <c r="BB135" s="54" t="str">
        <f t="shared" si="275"/>
        <v/>
      </c>
      <c r="BC135" s="353">
        <f>+Расходы!H85/1000</f>
        <v>0</v>
      </c>
      <c r="BD135" s="54" t="str">
        <f t="shared" si="276"/>
        <v/>
      </c>
      <c r="BE135" s="468" t="str">
        <f t="shared" si="238"/>
        <v/>
      </c>
      <c r="BF135" s="468" t="str">
        <f t="shared" si="239"/>
        <v/>
      </c>
      <c r="BG135" s="344"/>
      <c r="BH135" s="54" t="str">
        <f t="shared" si="277"/>
        <v/>
      </c>
      <c r="BI135" s="238">
        <v>0</v>
      </c>
      <c r="BJ135" s="54" t="str">
        <f t="shared" si="278"/>
        <v/>
      </c>
      <c r="BK135" s="353">
        <f>+Расходы!I85/1000</f>
        <v>0</v>
      </c>
      <c r="BL135" s="54" t="str">
        <f t="shared" si="279"/>
        <v/>
      </c>
      <c r="BM135" s="468" t="str">
        <f t="shared" si="240"/>
        <v/>
      </c>
      <c r="BN135" s="468" t="str">
        <f t="shared" si="241"/>
        <v/>
      </c>
      <c r="BO135" s="344"/>
      <c r="BP135" s="54" t="str">
        <f t="shared" si="280"/>
        <v/>
      </c>
      <c r="BQ135" s="238">
        <v>0</v>
      </c>
      <c r="BR135" s="54" t="str">
        <f t="shared" si="281"/>
        <v/>
      </c>
      <c r="BS135" s="353">
        <f>+Расходы!J85/1000</f>
        <v>0</v>
      </c>
      <c r="BT135" s="54" t="str">
        <f t="shared" si="282"/>
        <v/>
      </c>
      <c r="BU135" s="468" t="str">
        <f t="shared" si="242"/>
        <v/>
      </c>
      <c r="BV135" s="468" t="str">
        <f t="shared" si="243"/>
        <v/>
      </c>
      <c r="BW135" s="344"/>
      <c r="BX135" s="54" t="str">
        <f t="shared" si="283"/>
        <v/>
      </c>
      <c r="BY135" s="238">
        <v>0</v>
      </c>
      <c r="BZ135" s="54" t="str">
        <f t="shared" si="284"/>
        <v/>
      </c>
      <c r="CA135" s="353">
        <f>+Расходы!K85/1000</f>
        <v>0</v>
      </c>
      <c r="CB135" s="54" t="str">
        <f t="shared" si="285"/>
        <v/>
      </c>
      <c r="CC135" s="468" t="str">
        <f t="shared" si="244"/>
        <v/>
      </c>
      <c r="CD135" s="468" t="str">
        <f t="shared" si="245"/>
        <v/>
      </c>
      <c r="CE135" s="344"/>
      <c r="CF135" s="54" t="str">
        <f t="shared" si="286"/>
        <v/>
      </c>
      <c r="CG135" s="238">
        <v>0</v>
      </c>
      <c r="CH135" s="54" t="str">
        <f t="shared" si="287"/>
        <v/>
      </c>
      <c r="CI135" s="353">
        <f>+Расходы!L85/1000</f>
        <v>0</v>
      </c>
      <c r="CJ135" s="54" t="str">
        <f t="shared" si="288"/>
        <v/>
      </c>
      <c r="CK135" s="468" t="str">
        <f t="shared" si="246"/>
        <v/>
      </c>
      <c r="CL135" s="468" t="str">
        <f t="shared" si="247"/>
        <v/>
      </c>
      <c r="CM135" s="344"/>
      <c r="CN135" s="54" t="str">
        <f t="shared" si="289"/>
        <v/>
      </c>
      <c r="CO135" s="238">
        <v>0</v>
      </c>
      <c r="CP135" s="54" t="str">
        <f t="shared" si="290"/>
        <v/>
      </c>
      <c r="CQ135" s="353">
        <f>+Расходы!M85/1000</f>
        <v>0</v>
      </c>
      <c r="CR135" s="54" t="str">
        <f t="shared" si="291"/>
        <v/>
      </c>
      <c r="CS135" s="468" t="str">
        <f t="shared" si="248"/>
        <v/>
      </c>
      <c r="CT135" s="468" t="str">
        <f t="shared" si="249"/>
        <v/>
      </c>
      <c r="CU135" s="344">
        <f t="shared" si="292"/>
        <v>0</v>
      </c>
      <c r="CV135" s="54" t="str">
        <f t="shared" si="250"/>
        <v/>
      </c>
      <c r="CW135" s="238">
        <f t="shared" si="293"/>
        <v>0</v>
      </c>
      <c r="CX135" s="54">
        <f t="shared" si="251"/>
        <v>0</v>
      </c>
      <c r="CY135" s="353">
        <f t="shared" si="252"/>
        <v>0</v>
      </c>
      <c r="CZ135" s="54">
        <f t="shared" si="253"/>
        <v>0</v>
      </c>
      <c r="DA135" s="468" t="str">
        <f t="shared" si="254"/>
        <v/>
      </c>
      <c r="DB135" s="468" t="str">
        <f t="shared" si="255"/>
        <v/>
      </c>
    </row>
    <row r="136" spans="2:106" s="103" customFormat="1" ht="13.15" customHeight="1" outlineLevel="2">
      <c r="B136" s="61" t="str">
        <f>+Расходы!A86</f>
        <v>Интернет, телефония</v>
      </c>
      <c r="C136" s="238"/>
      <c r="D136" s="54" t="str">
        <f t="shared" si="256"/>
        <v/>
      </c>
      <c r="E136" s="238"/>
      <c r="F136" s="54" t="str">
        <f t="shared" si="257"/>
        <v/>
      </c>
      <c r="G136" s="353">
        <f>+Расходы!B86/1000</f>
        <v>0</v>
      </c>
      <c r="H136" s="54" t="str">
        <f t="shared" si="258"/>
        <v/>
      </c>
      <c r="I136" s="468" t="str">
        <f t="shared" si="226"/>
        <v/>
      </c>
      <c r="J136" s="468" t="str">
        <f t="shared" si="227"/>
        <v/>
      </c>
      <c r="K136" s="238"/>
      <c r="L136" s="54" t="str">
        <f t="shared" si="259"/>
        <v/>
      </c>
      <c r="M136" s="238"/>
      <c r="N136" s="54" t="str">
        <f t="shared" si="260"/>
        <v/>
      </c>
      <c r="O136" s="353">
        <f>+Расходы!C86/1000</f>
        <v>0</v>
      </c>
      <c r="P136" s="54" t="str">
        <f t="shared" si="261"/>
        <v/>
      </c>
      <c r="Q136" s="468" t="str">
        <f t="shared" si="228"/>
        <v/>
      </c>
      <c r="R136" s="468" t="str">
        <f t="shared" si="229"/>
        <v/>
      </c>
      <c r="S136" s="238"/>
      <c r="T136" s="54" t="str">
        <f t="shared" si="262"/>
        <v/>
      </c>
      <c r="U136" s="238">
        <v>0</v>
      </c>
      <c r="V136" s="54" t="str">
        <f t="shared" si="263"/>
        <v/>
      </c>
      <c r="W136" s="353">
        <f>+Расходы!D86/1000</f>
        <v>0</v>
      </c>
      <c r="X136" s="54" t="str">
        <f t="shared" si="264"/>
        <v/>
      </c>
      <c r="Y136" s="468" t="str">
        <f t="shared" si="230"/>
        <v/>
      </c>
      <c r="Z136" s="468" t="str">
        <f t="shared" si="231"/>
        <v/>
      </c>
      <c r="AA136" s="238"/>
      <c r="AB136" s="54" t="str">
        <f t="shared" si="265"/>
        <v/>
      </c>
      <c r="AC136" s="238">
        <v>20</v>
      </c>
      <c r="AD136" s="54">
        <f t="shared" si="266"/>
        <v>1.4628608877810157E-3</v>
      </c>
      <c r="AE136" s="353">
        <f>+Расходы!E86/1000</f>
        <v>6.9247399999999999</v>
      </c>
      <c r="AF136" s="54">
        <f t="shared" si="267"/>
        <v>5.0496893504069066E-4</v>
      </c>
      <c r="AG136" s="468">
        <f t="shared" si="232"/>
        <v>-0.65376299999999998</v>
      </c>
      <c r="AH136" s="468" t="str">
        <f t="shared" si="233"/>
        <v/>
      </c>
      <c r="AI136" s="238"/>
      <c r="AJ136" s="54" t="str">
        <f t="shared" si="268"/>
        <v/>
      </c>
      <c r="AK136" s="238">
        <v>20</v>
      </c>
      <c r="AL136" s="54">
        <f t="shared" si="269"/>
        <v>1.4314342971657602E-3</v>
      </c>
      <c r="AM136" s="353">
        <f>+Расходы!F86/1000</f>
        <v>10.099120000000001</v>
      </c>
      <c r="AN136" s="54">
        <f t="shared" si="270"/>
        <v>6.4274063028437714E-4</v>
      </c>
      <c r="AO136" s="468">
        <f t="shared" si="234"/>
        <v>-0.49504399999999993</v>
      </c>
      <c r="AP136" s="468" t="str">
        <f t="shared" si="235"/>
        <v/>
      </c>
      <c r="AQ136" s="344"/>
      <c r="AR136" s="54" t="str">
        <f t="shared" si="271"/>
        <v/>
      </c>
      <c r="AS136" s="238">
        <v>20</v>
      </c>
      <c r="AT136" s="54">
        <f t="shared" si="272"/>
        <v>1.3262599469496021E-3</v>
      </c>
      <c r="AU136" s="353">
        <f>+Расходы!G86/1000</f>
        <v>12.164339999999999</v>
      </c>
      <c r="AV136" s="54">
        <f t="shared" si="273"/>
        <v>8.5343720224107292E-4</v>
      </c>
      <c r="AW136" s="468">
        <f t="shared" si="236"/>
        <v>-0.39178299999999999</v>
      </c>
      <c r="AX136" s="468" t="str">
        <f t="shared" si="237"/>
        <v/>
      </c>
      <c r="AY136" s="344"/>
      <c r="AZ136" s="54" t="str">
        <f t="shared" si="274"/>
        <v/>
      </c>
      <c r="BA136" s="238">
        <v>20</v>
      </c>
      <c r="BB136" s="54">
        <f t="shared" si="275"/>
        <v>1.276527844263603E-3</v>
      </c>
      <c r="BC136" s="353">
        <f>+Расходы!H86/1000</f>
        <v>0</v>
      </c>
      <c r="BD136" s="54" t="str">
        <f t="shared" si="276"/>
        <v/>
      </c>
      <c r="BE136" s="468">
        <f t="shared" si="238"/>
        <v>-1</v>
      </c>
      <c r="BF136" s="468" t="str">
        <f t="shared" si="239"/>
        <v/>
      </c>
      <c r="BG136" s="344"/>
      <c r="BH136" s="54" t="str">
        <f t="shared" si="277"/>
        <v/>
      </c>
      <c r="BI136" s="238">
        <v>20</v>
      </c>
      <c r="BJ136" s="54">
        <f t="shared" si="278"/>
        <v>1.276527844263603E-3</v>
      </c>
      <c r="BK136" s="353">
        <f>+Расходы!I86/1000</f>
        <v>0</v>
      </c>
      <c r="BL136" s="54" t="str">
        <f t="shared" si="279"/>
        <v/>
      </c>
      <c r="BM136" s="468">
        <f t="shared" si="240"/>
        <v>-1</v>
      </c>
      <c r="BN136" s="468" t="str">
        <f t="shared" si="241"/>
        <v/>
      </c>
      <c r="BO136" s="344"/>
      <c r="BP136" s="54" t="str">
        <f t="shared" si="280"/>
        <v/>
      </c>
      <c r="BQ136" s="238">
        <v>20</v>
      </c>
      <c r="BR136" s="54">
        <f t="shared" si="281"/>
        <v>1.3812154696132596E-3</v>
      </c>
      <c r="BS136" s="353">
        <f>+Расходы!J86/1000</f>
        <v>0</v>
      </c>
      <c r="BT136" s="54" t="str">
        <f t="shared" si="282"/>
        <v/>
      </c>
      <c r="BU136" s="468">
        <f t="shared" si="242"/>
        <v>-1</v>
      </c>
      <c r="BV136" s="468" t="str">
        <f t="shared" si="243"/>
        <v/>
      </c>
      <c r="BW136" s="344"/>
      <c r="BX136" s="54" t="str">
        <f t="shared" si="283"/>
        <v/>
      </c>
      <c r="BY136" s="238">
        <v>0</v>
      </c>
      <c r="BZ136" s="54" t="str">
        <f t="shared" si="284"/>
        <v/>
      </c>
      <c r="CA136" s="353">
        <f>+Расходы!K86/1000</f>
        <v>0</v>
      </c>
      <c r="CB136" s="54" t="str">
        <f t="shared" si="285"/>
        <v/>
      </c>
      <c r="CC136" s="468" t="str">
        <f t="shared" si="244"/>
        <v/>
      </c>
      <c r="CD136" s="468" t="str">
        <f t="shared" si="245"/>
        <v/>
      </c>
      <c r="CE136" s="344"/>
      <c r="CF136" s="54" t="str">
        <f t="shared" si="286"/>
        <v/>
      </c>
      <c r="CG136" s="238">
        <v>0</v>
      </c>
      <c r="CH136" s="54" t="str">
        <f t="shared" si="287"/>
        <v/>
      </c>
      <c r="CI136" s="353">
        <f>+Расходы!L86/1000</f>
        <v>0</v>
      </c>
      <c r="CJ136" s="54" t="str">
        <f t="shared" si="288"/>
        <v/>
      </c>
      <c r="CK136" s="468" t="str">
        <f t="shared" si="246"/>
        <v/>
      </c>
      <c r="CL136" s="468" t="str">
        <f t="shared" si="247"/>
        <v/>
      </c>
      <c r="CM136" s="344"/>
      <c r="CN136" s="54" t="str">
        <f t="shared" si="289"/>
        <v/>
      </c>
      <c r="CO136" s="238">
        <v>0</v>
      </c>
      <c r="CP136" s="54" t="str">
        <f t="shared" si="290"/>
        <v/>
      </c>
      <c r="CQ136" s="353">
        <f>+Расходы!M86/1000</f>
        <v>0</v>
      </c>
      <c r="CR136" s="54" t="str">
        <f t="shared" si="291"/>
        <v/>
      </c>
      <c r="CS136" s="468" t="str">
        <f t="shared" si="248"/>
        <v/>
      </c>
      <c r="CT136" s="468" t="str">
        <f t="shared" si="249"/>
        <v/>
      </c>
      <c r="CU136" s="344">
        <f t="shared" si="292"/>
        <v>0</v>
      </c>
      <c r="CV136" s="54" t="str">
        <f t="shared" si="250"/>
        <v/>
      </c>
      <c r="CW136" s="238">
        <f t="shared" si="293"/>
        <v>120</v>
      </c>
      <c r="CX136" s="54">
        <f t="shared" si="251"/>
        <v>9.0490929929738003E-4</v>
      </c>
      <c r="CY136" s="353">
        <f t="shared" si="252"/>
        <v>29.188199999999998</v>
      </c>
      <c r="CZ136" s="54">
        <f t="shared" si="253"/>
        <v>5.8836452815122942E-4</v>
      </c>
      <c r="DA136" s="468">
        <f t="shared" si="254"/>
        <v>-0.75676500000000002</v>
      </c>
      <c r="DB136" s="468" t="str">
        <f t="shared" si="255"/>
        <v/>
      </c>
    </row>
    <row r="137" spans="2:106" s="103" customFormat="1" ht="13.15" customHeight="1" outlineLevel="2">
      <c r="B137" s="61" t="str">
        <f>+Расходы!A87</f>
        <v>Консьерж Сервис</v>
      </c>
      <c r="C137" s="238"/>
      <c r="D137" s="54" t="str">
        <f t="shared" si="256"/>
        <v/>
      </c>
      <c r="E137" s="238"/>
      <c r="F137" s="54" t="str">
        <f t="shared" si="257"/>
        <v/>
      </c>
      <c r="G137" s="353">
        <f>+Расходы!B87/1000</f>
        <v>0</v>
      </c>
      <c r="H137" s="54" t="str">
        <f t="shared" si="258"/>
        <v/>
      </c>
      <c r="I137" s="468" t="str">
        <f t="shared" si="226"/>
        <v/>
      </c>
      <c r="J137" s="468" t="str">
        <f t="shared" si="227"/>
        <v/>
      </c>
      <c r="K137" s="238"/>
      <c r="L137" s="54" t="str">
        <f t="shared" si="259"/>
        <v/>
      </c>
      <c r="M137" s="238"/>
      <c r="N137" s="54" t="str">
        <f t="shared" si="260"/>
        <v/>
      </c>
      <c r="O137" s="353">
        <f>+Расходы!C87/1000</f>
        <v>0</v>
      </c>
      <c r="P137" s="54" t="str">
        <f t="shared" si="261"/>
        <v/>
      </c>
      <c r="Q137" s="468" t="str">
        <f t="shared" si="228"/>
        <v/>
      </c>
      <c r="R137" s="468" t="str">
        <f t="shared" si="229"/>
        <v/>
      </c>
      <c r="S137" s="238"/>
      <c r="T137" s="54" t="str">
        <f t="shared" si="262"/>
        <v/>
      </c>
      <c r="U137" s="238">
        <v>0</v>
      </c>
      <c r="V137" s="54" t="str">
        <f t="shared" si="263"/>
        <v/>
      </c>
      <c r="W137" s="353">
        <f>+Расходы!D87/1000</f>
        <v>15.491070000000001</v>
      </c>
      <c r="X137" s="54">
        <f t="shared" si="264"/>
        <v>2.6123661444543756E-3</v>
      </c>
      <c r="Y137" s="468" t="str">
        <f t="shared" si="230"/>
        <v/>
      </c>
      <c r="Z137" s="468" t="str">
        <f t="shared" si="231"/>
        <v/>
      </c>
      <c r="AA137" s="238"/>
      <c r="AB137" s="54" t="str">
        <f t="shared" si="265"/>
        <v/>
      </c>
      <c r="AC137" s="238">
        <v>5</v>
      </c>
      <c r="AD137" s="54">
        <f t="shared" si="266"/>
        <v>3.6571522194525391E-4</v>
      </c>
      <c r="AE137" s="353">
        <f>+Расходы!E87/1000</f>
        <v>26.60547</v>
      </c>
      <c r="AF137" s="54">
        <f t="shared" si="267"/>
        <v>1.9401357815827087E-3</v>
      </c>
      <c r="AG137" s="468">
        <f t="shared" si="232"/>
        <v>4.3210940000000004</v>
      </c>
      <c r="AH137" s="468" t="str">
        <f t="shared" si="233"/>
        <v/>
      </c>
      <c r="AI137" s="238"/>
      <c r="AJ137" s="54" t="str">
        <f t="shared" si="268"/>
        <v/>
      </c>
      <c r="AK137" s="238">
        <v>5</v>
      </c>
      <c r="AL137" s="54">
        <f t="shared" si="269"/>
        <v>3.5785857429144005E-4</v>
      </c>
      <c r="AM137" s="353">
        <f>+Расходы!F87/1000</f>
        <v>21.519189999999998</v>
      </c>
      <c r="AN137" s="54">
        <f t="shared" si="270"/>
        <v>1.3695507869803767E-3</v>
      </c>
      <c r="AO137" s="468">
        <f t="shared" si="234"/>
        <v>3.3038379999999998</v>
      </c>
      <c r="AP137" s="468" t="str">
        <f t="shared" si="235"/>
        <v/>
      </c>
      <c r="AQ137" s="344"/>
      <c r="AR137" s="54" t="str">
        <f t="shared" si="271"/>
        <v/>
      </c>
      <c r="AS137" s="238">
        <v>25</v>
      </c>
      <c r="AT137" s="54">
        <f t="shared" si="272"/>
        <v>1.6578249336870027E-3</v>
      </c>
      <c r="AU137" s="353">
        <f>+Расходы!G87/1000</f>
        <v>11.3216</v>
      </c>
      <c r="AV137" s="54">
        <f t="shared" si="273"/>
        <v>7.9431145700404064E-4</v>
      </c>
      <c r="AW137" s="468">
        <f t="shared" si="236"/>
        <v>-0.54713600000000007</v>
      </c>
      <c r="AX137" s="468" t="str">
        <f t="shared" si="237"/>
        <v/>
      </c>
      <c r="AY137" s="344"/>
      <c r="AZ137" s="54" t="str">
        <f t="shared" si="274"/>
        <v/>
      </c>
      <c r="BA137" s="238">
        <v>25</v>
      </c>
      <c r="BB137" s="54">
        <f t="shared" si="275"/>
        <v>1.5956598053295037E-3</v>
      </c>
      <c r="BC137" s="353">
        <f>+Расходы!H87/1000</f>
        <v>0</v>
      </c>
      <c r="BD137" s="54" t="str">
        <f t="shared" si="276"/>
        <v/>
      </c>
      <c r="BE137" s="468">
        <f t="shared" si="238"/>
        <v>-1</v>
      </c>
      <c r="BF137" s="468" t="str">
        <f t="shared" si="239"/>
        <v/>
      </c>
      <c r="BG137" s="344"/>
      <c r="BH137" s="54" t="str">
        <f t="shared" si="277"/>
        <v/>
      </c>
      <c r="BI137" s="238">
        <v>25</v>
      </c>
      <c r="BJ137" s="54">
        <f t="shared" si="278"/>
        <v>1.5956598053295037E-3</v>
      </c>
      <c r="BK137" s="353">
        <f>+Расходы!I87/1000</f>
        <v>0</v>
      </c>
      <c r="BL137" s="54" t="str">
        <f t="shared" si="279"/>
        <v/>
      </c>
      <c r="BM137" s="468">
        <f t="shared" si="240"/>
        <v>-1</v>
      </c>
      <c r="BN137" s="468" t="str">
        <f t="shared" si="241"/>
        <v/>
      </c>
      <c r="BO137" s="344"/>
      <c r="BP137" s="54" t="str">
        <f t="shared" si="280"/>
        <v/>
      </c>
      <c r="BQ137" s="238">
        <v>25</v>
      </c>
      <c r="BR137" s="54">
        <f t="shared" si="281"/>
        <v>1.7265193370165745E-3</v>
      </c>
      <c r="BS137" s="353">
        <f>+Расходы!J87/1000</f>
        <v>0</v>
      </c>
      <c r="BT137" s="54" t="str">
        <f t="shared" si="282"/>
        <v/>
      </c>
      <c r="BU137" s="468">
        <f t="shared" si="242"/>
        <v>-1</v>
      </c>
      <c r="BV137" s="468" t="str">
        <f t="shared" si="243"/>
        <v/>
      </c>
      <c r="BW137" s="344"/>
      <c r="BX137" s="54" t="str">
        <f t="shared" si="283"/>
        <v/>
      </c>
      <c r="BY137" s="238">
        <v>0</v>
      </c>
      <c r="BZ137" s="54" t="str">
        <f t="shared" si="284"/>
        <v/>
      </c>
      <c r="CA137" s="353">
        <f>+Расходы!K87/1000</f>
        <v>0</v>
      </c>
      <c r="CB137" s="54" t="str">
        <f t="shared" si="285"/>
        <v/>
      </c>
      <c r="CC137" s="468" t="str">
        <f t="shared" si="244"/>
        <v/>
      </c>
      <c r="CD137" s="468" t="str">
        <f t="shared" si="245"/>
        <v/>
      </c>
      <c r="CE137" s="344"/>
      <c r="CF137" s="54" t="str">
        <f t="shared" si="286"/>
        <v/>
      </c>
      <c r="CG137" s="238">
        <v>0</v>
      </c>
      <c r="CH137" s="54" t="str">
        <f t="shared" si="287"/>
        <v/>
      </c>
      <c r="CI137" s="353">
        <f>+Расходы!L87/1000</f>
        <v>0</v>
      </c>
      <c r="CJ137" s="54" t="str">
        <f t="shared" si="288"/>
        <v/>
      </c>
      <c r="CK137" s="468" t="str">
        <f t="shared" si="246"/>
        <v/>
      </c>
      <c r="CL137" s="468" t="str">
        <f t="shared" si="247"/>
        <v/>
      </c>
      <c r="CM137" s="344"/>
      <c r="CN137" s="54" t="str">
        <f t="shared" si="289"/>
        <v/>
      </c>
      <c r="CO137" s="238">
        <v>0</v>
      </c>
      <c r="CP137" s="54" t="str">
        <f t="shared" si="290"/>
        <v/>
      </c>
      <c r="CQ137" s="353">
        <f>+Расходы!M87/1000</f>
        <v>0</v>
      </c>
      <c r="CR137" s="54" t="str">
        <f t="shared" si="291"/>
        <v/>
      </c>
      <c r="CS137" s="468" t="str">
        <f t="shared" si="248"/>
        <v/>
      </c>
      <c r="CT137" s="468" t="str">
        <f t="shared" si="249"/>
        <v/>
      </c>
      <c r="CU137" s="344">
        <f t="shared" si="292"/>
        <v>0</v>
      </c>
      <c r="CV137" s="54" t="str">
        <f t="shared" si="250"/>
        <v/>
      </c>
      <c r="CW137" s="238">
        <f t="shared" si="293"/>
        <v>110</v>
      </c>
      <c r="CX137" s="54">
        <f t="shared" si="251"/>
        <v>8.295001910225984E-4</v>
      </c>
      <c r="CY137" s="353">
        <f t="shared" si="252"/>
        <v>74.937330000000003</v>
      </c>
      <c r="CZ137" s="54">
        <f t="shared" si="253"/>
        <v>1.510557924310611E-3</v>
      </c>
      <c r="DA137" s="468">
        <f t="shared" si="254"/>
        <v>-0.31875154545454543</v>
      </c>
      <c r="DB137" s="468" t="str">
        <f t="shared" si="255"/>
        <v/>
      </c>
    </row>
    <row r="138" spans="2:106" s="103" customFormat="1" ht="13.15" customHeight="1" outlineLevel="2">
      <c r="B138" s="61" t="str">
        <f>+Расходы!A88</f>
        <v>Лабораторные исследования</v>
      </c>
      <c r="C138" s="238"/>
      <c r="D138" s="54" t="str">
        <f t="shared" si="256"/>
        <v/>
      </c>
      <c r="E138" s="238"/>
      <c r="F138" s="54" t="str">
        <f t="shared" si="257"/>
        <v/>
      </c>
      <c r="G138" s="353">
        <f>+Расходы!B88/1000</f>
        <v>0</v>
      </c>
      <c r="H138" s="54" t="str">
        <f t="shared" si="258"/>
        <v/>
      </c>
      <c r="I138" s="468" t="str">
        <f t="shared" si="226"/>
        <v/>
      </c>
      <c r="J138" s="468" t="str">
        <f t="shared" si="227"/>
        <v/>
      </c>
      <c r="K138" s="238"/>
      <c r="L138" s="54" t="str">
        <f t="shared" si="259"/>
        <v/>
      </c>
      <c r="M138" s="238"/>
      <c r="N138" s="54" t="str">
        <f t="shared" si="260"/>
        <v/>
      </c>
      <c r="O138" s="353">
        <f>+Расходы!C88/1000</f>
        <v>0</v>
      </c>
      <c r="P138" s="54" t="str">
        <f t="shared" si="261"/>
        <v/>
      </c>
      <c r="Q138" s="468" t="str">
        <f t="shared" si="228"/>
        <v/>
      </c>
      <c r="R138" s="468" t="str">
        <f t="shared" si="229"/>
        <v/>
      </c>
      <c r="S138" s="238"/>
      <c r="T138" s="54" t="str">
        <f t="shared" si="262"/>
        <v/>
      </c>
      <c r="U138" s="238">
        <v>0</v>
      </c>
      <c r="V138" s="54" t="str">
        <f t="shared" si="263"/>
        <v/>
      </c>
      <c r="W138" s="353">
        <f>+Расходы!D88/1000</f>
        <v>0</v>
      </c>
      <c r="X138" s="54" t="str">
        <f t="shared" si="264"/>
        <v/>
      </c>
      <c r="Y138" s="468" t="str">
        <f t="shared" si="230"/>
        <v/>
      </c>
      <c r="Z138" s="468" t="str">
        <f t="shared" si="231"/>
        <v/>
      </c>
      <c r="AA138" s="238"/>
      <c r="AB138" s="54" t="str">
        <f t="shared" si="265"/>
        <v/>
      </c>
      <c r="AC138" s="238">
        <v>0</v>
      </c>
      <c r="AD138" s="54" t="str">
        <f t="shared" si="266"/>
        <v/>
      </c>
      <c r="AE138" s="353">
        <f>+Расходы!E88/1000</f>
        <v>0</v>
      </c>
      <c r="AF138" s="54" t="str">
        <f t="shared" si="267"/>
        <v/>
      </c>
      <c r="AG138" s="468" t="str">
        <f t="shared" si="232"/>
        <v/>
      </c>
      <c r="AH138" s="468" t="str">
        <f t="shared" si="233"/>
        <v/>
      </c>
      <c r="AI138" s="238"/>
      <c r="AJ138" s="54" t="str">
        <f t="shared" si="268"/>
        <v/>
      </c>
      <c r="AK138" s="238">
        <v>0</v>
      </c>
      <c r="AL138" s="54" t="str">
        <f t="shared" si="269"/>
        <v/>
      </c>
      <c r="AM138" s="353">
        <f>+Расходы!F88/1000</f>
        <v>0</v>
      </c>
      <c r="AN138" s="54" t="str">
        <f t="shared" si="270"/>
        <v/>
      </c>
      <c r="AO138" s="468" t="str">
        <f t="shared" si="234"/>
        <v/>
      </c>
      <c r="AP138" s="468" t="str">
        <f t="shared" si="235"/>
        <v/>
      </c>
      <c r="AQ138" s="344"/>
      <c r="AR138" s="54" t="str">
        <f t="shared" si="271"/>
        <v/>
      </c>
      <c r="AS138" s="238">
        <v>0</v>
      </c>
      <c r="AT138" s="54" t="str">
        <f t="shared" si="272"/>
        <v/>
      </c>
      <c r="AU138" s="353">
        <f>+Расходы!G88/1000</f>
        <v>0</v>
      </c>
      <c r="AV138" s="54" t="str">
        <f t="shared" si="273"/>
        <v/>
      </c>
      <c r="AW138" s="468" t="str">
        <f t="shared" si="236"/>
        <v/>
      </c>
      <c r="AX138" s="468" t="str">
        <f t="shared" si="237"/>
        <v/>
      </c>
      <c r="AY138" s="344"/>
      <c r="AZ138" s="54" t="str">
        <f t="shared" si="274"/>
        <v/>
      </c>
      <c r="BA138" s="238">
        <v>0</v>
      </c>
      <c r="BB138" s="54" t="str">
        <f t="shared" si="275"/>
        <v/>
      </c>
      <c r="BC138" s="353">
        <f>+Расходы!H88/1000</f>
        <v>0</v>
      </c>
      <c r="BD138" s="54" t="str">
        <f t="shared" si="276"/>
        <v/>
      </c>
      <c r="BE138" s="468" t="str">
        <f t="shared" si="238"/>
        <v/>
      </c>
      <c r="BF138" s="468" t="str">
        <f t="shared" si="239"/>
        <v/>
      </c>
      <c r="BG138" s="344"/>
      <c r="BH138" s="54" t="str">
        <f t="shared" si="277"/>
        <v/>
      </c>
      <c r="BI138" s="238">
        <v>0</v>
      </c>
      <c r="BJ138" s="54" t="str">
        <f t="shared" si="278"/>
        <v/>
      </c>
      <c r="BK138" s="353">
        <f>+Расходы!I88/1000</f>
        <v>0</v>
      </c>
      <c r="BL138" s="54" t="str">
        <f t="shared" si="279"/>
        <v/>
      </c>
      <c r="BM138" s="468" t="str">
        <f t="shared" si="240"/>
        <v/>
      </c>
      <c r="BN138" s="468" t="str">
        <f t="shared" si="241"/>
        <v/>
      </c>
      <c r="BO138" s="344"/>
      <c r="BP138" s="54" t="str">
        <f t="shared" si="280"/>
        <v/>
      </c>
      <c r="BQ138" s="238">
        <v>0</v>
      </c>
      <c r="BR138" s="54" t="str">
        <f t="shared" si="281"/>
        <v/>
      </c>
      <c r="BS138" s="353">
        <f>+Расходы!J88/1000</f>
        <v>0</v>
      </c>
      <c r="BT138" s="54" t="str">
        <f t="shared" si="282"/>
        <v/>
      </c>
      <c r="BU138" s="468" t="str">
        <f t="shared" si="242"/>
        <v/>
      </c>
      <c r="BV138" s="468" t="str">
        <f t="shared" si="243"/>
        <v/>
      </c>
      <c r="BW138" s="344"/>
      <c r="BX138" s="54" t="str">
        <f t="shared" si="283"/>
        <v/>
      </c>
      <c r="BY138" s="238">
        <v>0</v>
      </c>
      <c r="BZ138" s="54" t="str">
        <f t="shared" si="284"/>
        <v/>
      </c>
      <c r="CA138" s="353">
        <f>+Расходы!K88/1000</f>
        <v>0</v>
      </c>
      <c r="CB138" s="54" t="str">
        <f t="shared" si="285"/>
        <v/>
      </c>
      <c r="CC138" s="468" t="str">
        <f t="shared" si="244"/>
        <v/>
      </c>
      <c r="CD138" s="468" t="str">
        <f t="shared" si="245"/>
        <v/>
      </c>
      <c r="CE138" s="344"/>
      <c r="CF138" s="54" t="str">
        <f t="shared" si="286"/>
        <v/>
      </c>
      <c r="CG138" s="238">
        <v>0</v>
      </c>
      <c r="CH138" s="54" t="str">
        <f t="shared" si="287"/>
        <v/>
      </c>
      <c r="CI138" s="353">
        <f>+Расходы!L88/1000</f>
        <v>0</v>
      </c>
      <c r="CJ138" s="54" t="str">
        <f t="shared" si="288"/>
        <v/>
      </c>
      <c r="CK138" s="468" t="str">
        <f t="shared" si="246"/>
        <v/>
      </c>
      <c r="CL138" s="468" t="str">
        <f t="shared" si="247"/>
        <v/>
      </c>
      <c r="CM138" s="344"/>
      <c r="CN138" s="54" t="str">
        <f t="shared" si="289"/>
        <v/>
      </c>
      <c r="CO138" s="238">
        <v>0</v>
      </c>
      <c r="CP138" s="54" t="str">
        <f t="shared" si="290"/>
        <v/>
      </c>
      <c r="CQ138" s="353">
        <f>+Расходы!M88/1000</f>
        <v>0</v>
      </c>
      <c r="CR138" s="54" t="str">
        <f t="shared" si="291"/>
        <v/>
      </c>
      <c r="CS138" s="468" t="str">
        <f t="shared" si="248"/>
        <v/>
      </c>
      <c r="CT138" s="468" t="str">
        <f t="shared" si="249"/>
        <v/>
      </c>
      <c r="CU138" s="344">
        <f t="shared" si="292"/>
        <v>0</v>
      </c>
      <c r="CV138" s="54" t="str">
        <f t="shared" si="250"/>
        <v/>
      </c>
      <c r="CW138" s="238">
        <f t="shared" si="293"/>
        <v>0</v>
      </c>
      <c r="CX138" s="54">
        <f t="shared" si="251"/>
        <v>0</v>
      </c>
      <c r="CY138" s="353">
        <f t="shared" si="252"/>
        <v>0</v>
      </c>
      <c r="CZ138" s="54">
        <f t="shared" si="253"/>
        <v>0</v>
      </c>
      <c r="DA138" s="468" t="str">
        <f t="shared" si="254"/>
        <v/>
      </c>
      <c r="DB138" s="468" t="str">
        <f t="shared" si="255"/>
        <v/>
      </c>
    </row>
    <row r="139" spans="2:106" s="103" customFormat="1" ht="13.15" customHeight="1" outlineLevel="2">
      <c r="B139" s="61" t="str">
        <f>+Расходы!A89</f>
        <v>Летняя терраса</v>
      </c>
      <c r="C139" s="238"/>
      <c r="D139" s="54" t="str">
        <f t="shared" si="256"/>
        <v/>
      </c>
      <c r="E139" s="238"/>
      <c r="F139" s="54" t="str">
        <f t="shared" si="257"/>
        <v/>
      </c>
      <c r="G139" s="353">
        <f>+Расходы!B89/1000</f>
        <v>0</v>
      </c>
      <c r="H139" s="54" t="str">
        <f t="shared" si="258"/>
        <v/>
      </c>
      <c r="I139" s="468" t="str">
        <f t="shared" si="226"/>
        <v/>
      </c>
      <c r="J139" s="468" t="str">
        <f t="shared" si="227"/>
        <v/>
      </c>
      <c r="K139" s="238"/>
      <c r="L139" s="54" t="str">
        <f t="shared" si="259"/>
        <v/>
      </c>
      <c r="M139" s="238"/>
      <c r="N139" s="54" t="str">
        <f t="shared" si="260"/>
        <v/>
      </c>
      <c r="O139" s="353">
        <f>+Расходы!C89/1000</f>
        <v>0</v>
      </c>
      <c r="P139" s="54" t="str">
        <f t="shared" si="261"/>
        <v/>
      </c>
      <c r="Q139" s="468" t="str">
        <f t="shared" si="228"/>
        <v/>
      </c>
      <c r="R139" s="468" t="str">
        <f t="shared" si="229"/>
        <v/>
      </c>
      <c r="S139" s="238"/>
      <c r="T139" s="54" t="str">
        <f t="shared" si="262"/>
        <v/>
      </c>
      <c r="U139" s="238">
        <v>0</v>
      </c>
      <c r="V139" s="54" t="str">
        <f t="shared" si="263"/>
        <v/>
      </c>
      <c r="W139" s="353">
        <f>+Расходы!D89/1000</f>
        <v>0</v>
      </c>
      <c r="X139" s="54" t="str">
        <f t="shared" si="264"/>
        <v/>
      </c>
      <c r="Y139" s="468" t="str">
        <f t="shared" si="230"/>
        <v/>
      </c>
      <c r="Z139" s="468" t="str">
        <f t="shared" si="231"/>
        <v/>
      </c>
      <c r="AA139" s="238"/>
      <c r="AB139" s="54" t="str">
        <f t="shared" si="265"/>
        <v/>
      </c>
      <c r="AC139" s="238">
        <v>0</v>
      </c>
      <c r="AD139" s="54" t="str">
        <f t="shared" si="266"/>
        <v/>
      </c>
      <c r="AE139" s="353">
        <f>+Расходы!E89/1000</f>
        <v>0</v>
      </c>
      <c r="AF139" s="54" t="str">
        <f t="shared" si="267"/>
        <v/>
      </c>
      <c r="AG139" s="468" t="str">
        <f t="shared" si="232"/>
        <v/>
      </c>
      <c r="AH139" s="468" t="str">
        <f t="shared" si="233"/>
        <v/>
      </c>
      <c r="AI139" s="238"/>
      <c r="AJ139" s="54" t="str">
        <f t="shared" si="268"/>
        <v/>
      </c>
      <c r="AK139" s="238">
        <v>0</v>
      </c>
      <c r="AL139" s="54" t="str">
        <f t="shared" si="269"/>
        <v/>
      </c>
      <c r="AM139" s="353">
        <f>+Расходы!F89/1000</f>
        <v>0</v>
      </c>
      <c r="AN139" s="54" t="str">
        <f t="shared" si="270"/>
        <v/>
      </c>
      <c r="AO139" s="468" t="str">
        <f t="shared" si="234"/>
        <v/>
      </c>
      <c r="AP139" s="468" t="str">
        <f t="shared" si="235"/>
        <v/>
      </c>
      <c r="AQ139" s="344"/>
      <c r="AR139" s="54" t="str">
        <f t="shared" si="271"/>
        <v/>
      </c>
      <c r="AS139" s="238">
        <v>0</v>
      </c>
      <c r="AT139" s="54" t="str">
        <f t="shared" si="272"/>
        <v/>
      </c>
      <c r="AU139" s="353">
        <f>+Расходы!G89/1000</f>
        <v>0</v>
      </c>
      <c r="AV139" s="54" t="str">
        <f t="shared" si="273"/>
        <v/>
      </c>
      <c r="AW139" s="468" t="str">
        <f t="shared" si="236"/>
        <v/>
      </c>
      <c r="AX139" s="468" t="str">
        <f t="shared" si="237"/>
        <v/>
      </c>
      <c r="AY139" s="344"/>
      <c r="AZ139" s="54" t="str">
        <f t="shared" si="274"/>
        <v/>
      </c>
      <c r="BA139" s="238">
        <v>0</v>
      </c>
      <c r="BB139" s="54" t="str">
        <f t="shared" si="275"/>
        <v/>
      </c>
      <c r="BC139" s="353">
        <f>+Расходы!H89/1000</f>
        <v>0</v>
      </c>
      <c r="BD139" s="54" t="str">
        <f t="shared" si="276"/>
        <v/>
      </c>
      <c r="BE139" s="468" t="str">
        <f t="shared" si="238"/>
        <v/>
      </c>
      <c r="BF139" s="468" t="str">
        <f t="shared" si="239"/>
        <v/>
      </c>
      <c r="BG139" s="344"/>
      <c r="BH139" s="54" t="str">
        <f t="shared" si="277"/>
        <v/>
      </c>
      <c r="BI139" s="238">
        <v>0</v>
      </c>
      <c r="BJ139" s="54" t="str">
        <f t="shared" si="278"/>
        <v/>
      </c>
      <c r="BK139" s="353">
        <f>+Расходы!I89/1000</f>
        <v>0</v>
      </c>
      <c r="BL139" s="54" t="str">
        <f t="shared" si="279"/>
        <v/>
      </c>
      <c r="BM139" s="468" t="str">
        <f t="shared" si="240"/>
        <v/>
      </c>
      <c r="BN139" s="468" t="str">
        <f t="shared" si="241"/>
        <v/>
      </c>
      <c r="BO139" s="344"/>
      <c r="BP139" s="54" t="str">
        <f t="shared" si="280"/>
        <v/>
      </c>
      <c r="BQ139" s="238">
        <v>0</v>
      </c>
      <c r="BR139" s="54" t="str">
        <f t="shared" si="281"/>
        <v/>
      </c>
      <c r="BS139" s="353">
        <f>+Расходы!J89/1000</f>
        <v>0</v>
      </c>
      <c r="BT139" s="54" t="str">
        <f t="shared" si="282"/>
        <v/>
      </c>
      <c r="BU139" s="468" t="str">
        <f t="shared" si="242"/>
        <v/>
      </c>
      <c r="BV139" s="468" t="str">
        <f t="shared" si="243"/>
        <v/>
      </c>
      <c r="BW139" s="344"/>
      <c r="BX139" s="54" t="str">
        <f t="shared" si="283"/>
        <v/>
      </c>
      <c r="BY139" s="238">
        <v>0</v>
      </c>
      <c r="BZ139" s="54" t="str">
        <f t="shared" si="284"/>
        <v/>
      </c>
      <c r="CA139" s="353">
        <f>+Расходы!K89/1000</f>
        <v>0</v>
      </c>
      <c r="CB139" s="54" t="str">
        <f t="shared" si="285"/>
        <v/>
      </c>
      <c r="CC139" s="468" t="str">
        <f t="shared" si="244"/>
        <v/>
      </c>
      <c r="CD139" s="468" t="str">
        <f t="shared" si="245"/>
        <v/>
      </c>
      <c r="CE139" s="344"/>
      <c r="CF139" s="54" t="str">
        <f t="shared" si="286"/>
        <v/>
      </c>
      <c r="CG139" s="238">
        <v>0</v>
      </c>
      <c r="CH139" s="54" t="str">
        <f t="shared" si="287"/>
        <v/>
      </c>
      <c r="CI139" s="353">
        <f>+Расходы!L89/1000</f>
        <v>0</v>
      </c>
      <c r="CJ139" s="54" t="str">
        <f t="shared" si="288"/>
        <v/>
      </c>
      <c r="CK139" s="468" t="str">
        <f t="shared" si="246"/>
        <v/>
      </c>
      <c r="CL139" s="468" t="str">
        <f t="shared" si="247"/>
        <v/>
      </c>
      <c r="CM139" s="344"/>
      <c r="CN139" s="54" t="str">
        <f t="shared" si="289"/>
        <v/>
      </c>
      <c r="CO139" s="238">
        <v>0</v>
      </c>
      <c r="CP139" s="54" t="str">
        <f t="shared" si="290"/>
        <v/>
      </c>
      <c r="CQ139" s="353">
        <f>+Расходы!M89/1000</f>
        <v>0</v>
      </c>
      <c r="CR139" s="54" t="str">
        <f t="shared" si="291"/>
        <v/>
      </c>
      <c r="CS139" s="468" t="str">
        <f t="shared" si="248"/>
        <v/>
      </c>
      <c r="CT139" s="468" t="str">
        <f t="shared" si="249"/>
        <v/>
      </c>
      <c r="CU139" s="344">
        <f t="shared" si="292"/>
        <v>0</v>
      </c>
      <c r="CV139" s="54" t="str">
        <f t="shared" si="250"/>
        <v/>
      </c>
      <c r="CW139" s="238">
        <f t="shared" si="293"/>
        <v>0</v>
      </c>
      <c r="CX139" s="54">
        <f t="shared" si="251"/>
        <v>0</v>
      </c>
      <c r="CY139" s="353">
        <f t="shared" si="252"/>
        <v>0</v>
      </c>
      <c r="CZ139" s="54">
        <f t="shared" si="253"/>
        <v>0</v>
      </c>
      <c r="DA139" s="468" t="str">
        <f t="shared" si="254"/>
        <v/>
      </c>
      <c r="DB139" s="468" t="str">
        <f t="shared" si="255"/>
        <v/>
      </c>
    </row>
    <row r="140" spans="2:106" s="103" customFormat="1" ht="13.15" customHeight="1" outlineLevel="2">
      <c r="B140" s="61" t="str">
        <f>+Расходы!A90</f>
        <v>Максбонус</v>
      </c>
      <c r="C140" s="238"/>
      <c r="D140" s="54" t="str">
        <f t="shared" si="256"/>
        <v/>
      </c>
      <c r="E140" s="238"/>
      <c r="F140" s="54" t="str">
        <f t="shared" si="257"/>
        <v/>
      </c>
      <c r="G140" s="353">
        <f>+Расходы!B90/1000</f>
        <v>0</v>
      </c>
      <c r="H140" s="54" t="str">
        <f t="shared" si="258"/>
        <v/>
      </c>
      <c r="I140" s="468" t="str">
        <f t="shared" si="226"/>
        <v/>
      </c>
      <c r="J140" s="468" t="str">
        <f t="shared" si="227"/>
        <v/>
      </c>
      <c r="K140" s="238"/>
      <c r="L140" s="54" t="str">
        <f t="shared" si="259"/>
        <v/>
      </c>
      <c r="M140" s="238"/>
      <c r="N140" s="54" t="str">
        <f t="shared" si="260"/>
        <v/>
      </c>
      <c r="O140" s="353">
        <f>+Расходы!C90/1000</f>
        <v>0</v>
      </c>
      <c r="P140" s="54" t="str">
        <f t="shared" si="261"/>
        <v/>
      </c>
      <c r="Q140" s="468" t="str">
        <f t="shared" si="228"/>
        <v/>
      </c>
      <c r="R140" s="468" t="str">
        <f t="shared" si="229"/>
        <v/>
      </c>
      <c r="S140" s="238"/>
      <c r="T140" s="54" t="str">
        <f t="shared" si="262"/>
        <v/>
      </c>
      <c r="U140" s="238">
        <v>0</v>
      </c>
      <c r="V140" s="54" t="str">
        <f t="shared" si="263"/>
        <v/>
      </c>
      <c r="W140" s="353">
        <f>+Расходы!D90/1000</f>
        <v>0</v>
      </c>
      <c r="X140" s="54" t="str">
        <f t="shared" si="264"/>
        <v/>
      </c>
      <c r="Y140" s="468" t="str">
        <f t="shared" si="230"/>
        <v/>
      </c>
      <c r="Z140" s="468" t="str">
        <f t="shared" si="231"/>
        <v/>
      </c>
      <c r="AA140" s="238"/>
      <c r="AB140" s="54" t="str">
        <f t="shared" si="265"/>
        <v/>
      </c>
      <c r="AC140" s="238">
        <v>10</v>
      </c>
      <c r="AD140" s="54">
        <f t="shared" si="266"/>
        <v>7.3143044389050783E-4</v>
      </c>
      <c r="AE140" s="353">
        <f>+Расходы!E90/1000</f>
        <v>3</v>
      </c>
      <c r="AF140" s="54">
        <f t="shared" si="267"/>
        <v>2.1876731907942711E-4</v>
      </c>
      <c r="AG140" s="468">
        <f t="shared" si="232"/>
        <v>-0.7</v>
      </c>
      <c r="AH140" s="468" t="str">
        <f t="shared" si="233"/>
        <v/>
      </c>
      <c r="AI140" s="238"/>
      <c r="AJ140" s="54" t="str">
        <f t="shared" si="268"/>
        <v/>
      </c>
      <c r="AK140" s="238">
        <v>10</v>
      </c>
      <c r="AL140" s="54">
        <f t="shared" si="269"/>
        <v>7.1571714858288009E-4</v>
      </c>
      <c r="AM140" s="353">
        <f>+Расходы!F90/1000</f>
        <v>3</v>
      </c>
      <c r="AN140" s="54">
        <f t="shared" si="270"/>
        <v>1.9092969395879356E-4</v>
      </c>
      <c r="AO140" s="468">
        <f t="shared" si="234"/>
        <v>-0.7</v>
      </c>
      <c r="AP140" s="468" t="str">
        <f t="shared" si="235"/>
        <v/>
      </c>
      <c r="AQ140" s="344"/>
      <c r="AR140" s="54" t="str">
        <f t="shared" si="271"/>
        <v/>
      </c>
      <c r="AS140" s="238">
        <v>0</v>
      </c>
      <c r="AT140" s="54" t="str">
        <f t="shared" si="272"/>
        <v/>
      </c>
      <c r="AU140" s="353">
        <f>+Расходы!G90/1000</f>
        <v>3</v>
      </c>
      <c r="AV140" s="54">
        <f t="shared" si="273"/>
        <v>2.1047682050347318E-4</v>
      </c>
      <c r="AW140" s="468" t="str">
        <f t="shared" si="236"/>
        <v/>
      </c>
      <c r="AX140" s="468" t="str">
        <f t="shared" si="237"/>
        <v/>
      </c>
      <c r="AY140" s="344"/>
      <c r="AZ140" s="54" t="str">
        <f t="shared" si="274"/>
        <v/>
      </c>
      <c r="BA140" s="238">
        <v>0</v>
      </c>
      <c r="BB140" s="54" t="str">
        <f t="shared" si="275"/>
        <v/>
      </c>
      <c r="BC140" s="353">
        <f>+Расходы!H90/1000</f>
        <v>0</v>
      </c>
      <c r="BD140" s="54" t="str">
        <f t="shared" si="276"/>
        <v/>
      </c>
      <c r="BE140" s="468" t="str">
        <f t="shared" si="238"/>
        <v/>
      </c>
      <c r="BF140" s="468" t="str">
        <f t="shared" si="239"/>
        <v/>
      </c>
      <c r="BG140" s="344"/>
      <c r="BH140" s="54" t="str">
        <f t="shared" si="277"/>
        <v/>
      </c>
      <c r="BI140" s="238">
        <v>0</v>
      </c>
      <c r="BJ140" s="54" t="str">
        <f t="shared" si="278"/>
        <v/>
      </c>
      <c r="BK140" s="353">
        <f>+Расходы!I90/1000</f>
        <v>0</v>
      </c>
      <c r="BL140" s="54" t="str">
        <f t="shared" si="279"/>
        <v/>
      </c>
      <c r="BM140" s="468" t="str">
        <f t="shared" si="240"/>
        <v/>
      </c>
      <c r="BN140" s="468" t="str">
        <f t="shared" si="241"/>
        <v/>
      </c>
      <c r="BO140" s="344"/>
      <c r="BP140" s="54" t="str">
        <f t="shared" si="280"/>
        <v/>
      </c>
      <c r="BQ140" s="238">
        <v>0</v>
      </c>
      <c r="BR140" s="54" t="str">
        <f t="shared" si="281"/>
        <v/>
      </c>
      <c r="BS140" s="353">
        <f>+Расходы!J90/1000</f>
        <v>0</v>
      </c>
      <c r="BT140" s="54" t="str">
        <f t="shared" si="282"/>
        <v/>
      </c>
      <c r="BU140" s="468" t="str">
        <f t="shared" si="242"/>
        <v/>
      </c>
      <c r="BV140" s="468" t="str">
        <f t="shared" si="243"/>
        <v/>
      </c>
      <c r="BW140" s="344"/>
      <c r="BX140" s="54" t="str">
        <f t="shared" si="283"/>
        <v/>
      </c>
      <c r="BY140" s="238">
        <v>0</v>
      </c>
      <c r="BZ140" s="54" t="str">
        <f t="shared" si="284"/>
        <v/>
      </c>
      <c r="CA140" s="353">
        <f>+Расходы!K90/1000</f>
        <v>0</v>
      </c>
      <c r="CB140" s="54" t="str">
        <f t="shared" si="285"/>
        <v/>
      </c>
      <c r="CC140" s="468" t="str">
        <f t="shared" si="244"/>
        <v/>
      </c>
      <c r="CD140" s="468" t="str">
        <f t="shared" si="245"/>
        <v/>
      </c>
      <c r="CE140" s="344"/>
      <c r="CF140" s="54" t="str">
        <f t="shared" si="286"/>
        <v/>
      </c>
      <c r="CG140" s="238">
        <v>0</v>
      </c>
      <c r="CH140" s="54" t="str">
        <f t="shared" si="287"/>
        <v/>
      </c>
      <c r="CI140" s="353">
        <f>+Расходы!L90/1000</f>
        <v>0</v>
      </c>
      <c r="CJ140" s="54" t="str">
        <f t="shared" si="288"/>
        <v/>
      </c>
      <c r="CK140" s="468" t="str">
        <f t="shared" si="246"/>
        <v/>
      </c>
      <c r="CL140" s="468" t="str">
        <f t="shared" si="247"/>
        <v/>
      </c>
      <c r="CM140" s="344"/>
      <c r="CN140" s="54" t="str">
        <f t="shared" si="289"/>
        <v/>
      </c>
      <c r="CO140" s="238">
        <v>0</v>
      </c>
      <c r="CP140" s="54" t="str">
        <f t="shared" si="290"/>
        <v/>
      </c>
      <c r="CQ140" s="353">
        <f>+Расходы!M90/1000</f>
        <v>0</v>
      </c>
      <c r="CR140" s="54" t="str">
        <f t="shared" si="291"/>
        <v/>
      </c>
      <c r="CS140" s="468" t="str">
        <f t="shared" si="248"/>
        <v/>
      </c>
      <c r="CT140" s="468" t="str">
        <f t="shared" si="249"/>
        <v/>
      </c>
      <c r="CU140" s="344">
        <f t="shared" si="292"/>
        <v>0</v>
      </c>
      <c r="CV140" s="54" t="str">
        <f t="shared" si="250"/>
        <v/>
      </c>
      <c r="CW140" s="238">
        <f t="shared" si="293"/>
        <v>20</v>
      </c>
      <c r="CX140" s="54">
        <f t="shared" si="251"/>
        <v>1.5081821654956335E-4</v>
      </c>
      <c r="CY140" s="353">
        <f t="shared" si="252"/>
        <v>9</v>
      </c>
      <c r="CZ140" s="54">
        <f t="shared" si="253"/>
        <v>1.8141854425285099E-4</v>
      </c>
      <c r="DA140" s="468">
        <f t="shared" si="254"/>
        <v>-0.55000000000000004</v>
      </c>
      <c r="DB140" s="468" t="str">
        <f t="shared" si="255"/>
        <v/>
      </c>
    </row>
    <row r="141" spans="2:106" s="103" customFormat="1" ht="13.15" customHeight="1" outlineLevel="2">
      <c r="B141" s="61" t="str">
        <f>+Расходы!A91</f>
        <v>Мастер-классы детские</v>
      </c>
      <c r="C141" s="238"/>
      <c r="D141" s="54" t="str">
        <f t="shared" si="256"/>
        <v/>
      </c>
      <c r="E141" s="238"/>
      <c r="F141" s="54" t="str">
        <f t="shared" si="257"/>
        <v/>
      </c>
      <c r="G141" s="353">
        <f>+Расходы!B91/1000</f>
        <v>0</v>
      </c>
      <c r="H141" s="54" t="str">
        <f t="shared" si="258"/>
        <v/>
      </c>
      <c r="I141" s="468" t="str">
        <f t="shared" si="226"/>
        <v/>
      </c>
      <c r="J141" s="468" t="str">
        <f t="shared" si="227"/>
        <v/>
      </c>
      <c r="K141" s="238"/>
      <c r="L141" s="54" t="str">
        <f t="shared" si="259"/>
        <v/>
      </c>
      <c r="M141" s="238"/>
      <c r="N141" s="54" t="str">
        <f t="shared" si="260"/>
        <v/>
      </c>
      <c r="O141" s="353">
        <f>+Расходы!C91/1000</f>
        <v>0</v>
      </c>
      <c r="P141" s="54" t="str">
        <f t="shared" si="261"/>
        <v/>
      </c>
      <c r="Q141" s="468" t="str">
        <f t="shared" si="228"/>
        <v/>
      </c>
      <c r="R141" s="468" t="str">
        <f t="shared" si="229"/>
        <v/>
      </c>
      <c r="S141" s="238"/>
      <c r="T141" s="54" t="str">
        <f t="shared" si="262"/>
        <v/>
      </c>
      <c r="U141" s="238">
        <v>0</v>
      </c>
      <c r="V141" s="54" t="str">
        <f t="shared" si="263"/>
        <v/>
      </c>
      <c r="W141" s="353">
        <f>+Расходы!D91/1000</f>
        <v>0</v>
      </c>
      <c r="X141" s="54" t="str">
        <f t="shared" si="264"/>
        <v/>
      </c>
      <c r="Y141" s="468" t="str">
        <f t="shared" si="230"/>
        <v/>
      </c>
      <c r="Z141" s="468" t="str">
        <f t="shared" si="231"/>
        <v/>
      </c>
      <c r="AA141" s="238"/>
      <c r="AB141" s="54" t="str">
        <f t="shared" si="265"/>
        <v/>
      </c>
      <c r="AC141" s="238">
        <v>0</v>
      </c>
      <c r="AD141" s="54" t="str">
        <f t="shared" si="266"/>
        <v/>
      </c>
      <c r="AE141" s="353">
        <f>+Расходы!E91/1000</f>
        <v>0</v>
      </c>
      <c r="AF141" s="54" t="str">
        <f t="shared" si="267"/>
        <v/>
      </c>
      <c r="AG141" s="468" t="str">
        <f t="shared" si="232"/>
        <v/>
      </c>
      <c r="AH141" s="468" t="str">
        <f t="shared" si="233"/>
        <v/>
      </c>
      <c r="AI141" s="238"/>
      <c r="AJ141" s="54" t="str">
        <f t="shared" si="268"/>
        <v/>
      </c>
      <c r="AK141" s="238">
        <v>0</v>
      </c>
      <c r="AL141" s="54" t="str">
        <f t="shared" si="269"/>
        <v/>
      </c>
      <c r="AM141" s="353">
        <f>+Расходы!F91/1000</f>
        <v>0</v>
      </c>
      <c r="AN141" s="54" t="str">
        <f t="shared" si="270"/>
        <v/>
      </c>
      <c r="AO141" s="468" t="str">
        <f t="shared" si="234"/>
        <v/>
      </c>
      <c r="AP141" s="468" t="str">
        <f t="shared" si="235"/>
        <v/>
      </c>
      <c r="AQ141" s="344"/>
      <c r="AR141" s="54" t="str">
        <f t="shared" si="271"/>
        <v/>
      </c>
      <c r="AS141" s="238">
        <v>0</v>
      </c>
      <c r="AT141" s="54" t="str">
        <f t="shared" si="272"/>
        <v/>
      </c>
      <c r="AU141" s="353">
        <f>+Расходы!G91/1000</f>
        <v>0</v>
      </c>
      <c r="AV141" s="54" t="str">
        <f t="shared" si="273"/>
        <v/>
      </c>
      <c r="AW141" s="468" t="str">
        <f t="shared" si="236"/>
        <v/>
      </c>
      <c r="AX141" s="468" t="str">
        <f t="shared" si="237"/>
        <v/>
      </c>
      <c r="AY141" s="344"/>
      <c r="AZ141" s="54" t="str">
        <f t="shared" si="274"/>
        <v/>
      </c>
      <c r="BA141" s="238">
        <v>0</v>
      </c>
      <c r="BB141" s="54" t="str">
        <f t="shared" si="275"/>
        <v/>
      </c>
      <c r="BC141" s="353">
        <f>+Расходы!H91/1000</f>
        <v>0</v>
      </c>
      <c r="BD141" s="54" t="str">
        <f t="shared" si="276"/>
        <v/>
      </c>
      <c r="BE141" s="468" t="str">
        <f t="shared" si="238"/>
        <v/>
      </c>
      <c r="BF141" s="468" t="str">
        <f t="shared" si="239"/>
        <v/>
      </c>
      <c r="BG141" s="344"/>
      <c r="BH141" s="54" t="str">
        <f t="shared" si="277"/>
        <v/>
      </c>
      <c r="BI141" s="238">
        <v>0</v>
      </c>
      <c r="BJ141" s="54" t="str">
        <f t="shared" si="278"/>
        <v/>
      </c>
      <c r="BK141" s="353">
        <f>+Расходы!I91/1000</f>
        <v>0</v>
      </c>
      <c r="BL141" s="54" t="str">
        <f t="shared" si="279"/>
        <v/>
      </c>
      <c r="BM141" s="468" t="str">
        <f t="shared" si="240"/>
        <v/>
      </c>
      <c r="BN141" s="468" t="str">
        <f t="shared" si="241"/>
        <v/>
      </c>
      <c r="BO141" s="344"/>
      <c r="BP141" s="54" t="str">
        <f t="shared" si="280"/>
        <v/>
      </c>
      <c r="BQ141" s="238">
        <v>0</v>
      </c>
      <c r="BR141" s="54" t="str">
        <f t="shared" si="281"/>
        <v/>
      </c>
      <c r="BS141" s="353">
        <f>+Расходы!J91/1000</f>
        <v>0</v>
      </c>
      <c r="BT141" s="54" t="str">
        <f t="shared" si="282"/>
        <v/>
      </c>
      <c r="BU141" s="468" t="str">
        <f t="shared" si="242"/>
        <v/>
      </c>
      <c r="BV141" s="468" t="str">
        <f t="shared" si="243"/>
        <v/>
      </c>
      <c r="BW141" s="344"/>
      <c r="BX141" s="54" t="str">
        <f t="shared" si="283"/>
        <v/>
      </c>
      <c r="BY141" s="238">
        <v>0</v>
      </c>
      <c r="BZ141" s="54" t="str">
        <f t="shared" si="284"/>
        <v/>
      </c>
      <c r="CA141" s="353">
        <f>+Расходы!K91/1000</f>
        <v>0</v>
      </c>
      <c r="CB141" s="54" t="str">
        <f t="shared" si="285"/>
        <v/>
      </c>
      <c r="CC141" s="468" t="str">
        <f t="shared" si="244"/>
        <v/>
      </c>
      <c r="CD141" s="468" t="str">
        <f t="shared" si="245"/>
        <v/>
      </c>
      <c r="CE141" s="344"/>
      <c r="CF141" s="54" t="str">
        <f t="shared" si="286"/>
        <v/>
      </c>
      <c r="CG141" s="238">
        <v>0</v>
      </c>
      <c r="CH141" s="54" t="str">
        <f t="shared" si="287"/>
        <v/>
      </c>
      <c r="CI141" s="353">
        <f>+Расходы!L91/1000</f>
        <v>0</v>
      </c>
      <c r="CJ141" s="54" t="str">
        <f t="shared" si="288"/>
        <v/>
      </c>
      <c r="CK141" s="468" t="str">
        <f t="shared" si="246"/>
        <v/>
      </c>
      <c r="CL141" s="468" t="str">
        <f t="shared" si="247"/>
        <v/>
      </c>
      <c r="CM141" s="344"/>
      <c r="CN141" s="54" t="str">
        <f t="shared" si="289"/>
        <v/>
      </c>
      <c r="CO141" s="238">
        <v>0</v>
      </c>
      <c r="CP141" s="54" t="str">
        <f t="shared" si="290"/>
        <v/>
      </c>
      <c r="CQ141" s="353">
        <f>+Расходы!M91/1000</f>
        <v>0</v>
      </c>
      <c r="CR141" s="54" t="str">
        <f t="shared" si="291"/>
        <v/>
      </c>
      <c r="CS141" s="468" t="str">
        <f t="shared" si="248"/>
        <v/>
      </c>
      <c r="CT141" s="468" t="str">
        <f t="shared" si="249"/>
        <v/>
      </c>
      <c r="CU141" s="344">
        <f t="shared" si="292"/>
        <v>0</v>
      </c>
      <c r="CV141" s="54" t="str">
        <f t="shared" si="250"/>
        <v/>
      </c>
      <c r="CW141" s="238">
        <f t="shared" si="293"/>
        <v>0</v>
      </c>
      <c r="CX141" s="54">
        <f t="shared" si="251"/>
        <v>0</v>
      </c>
      <c r="CY141" s="353">
        <f t="shared" si="252"/>
        <v>0</v>
      </c>
      <c r="CZ141" s="54">
        <f t="shared" si="253"/>
        <v>0</v>
      </c>
      <c r="DA141" s="468" t="str">
        <f t="shared" si="254"/>
        <v/>
      </c>
      <c r="DB141" s="468" t="str">
        <f t="shared" si="255"/>
        <v/>
      </c>
    </row>
    <row r="142" spans="2:106" s="103" customFormat="1" ht="13.15" customHeight="1" outlineLevel="2">
      <c r="B142" s="61" t="str">
        <f>+Расходы!A92</f>
        <v>Монтаж/демонтаж летней террасы</v>
      </c>
      <c r="C142" s="238"/>
      <c r="D142" s="54" t="str">
        <f t="shared" si="256"/>
        <v/>
      </c>
      <c r="E142" s="238"/>
      <c r="F142" s="54" t="str">
        <f t="shared" si="257"/>
        <v/>
      </c>
      <c r="G142" s="353">
        <f>+Расходы!B92/1000</f>
        <v>0</v>
      </c>
      <c r="H142" s="54" t="str">
        <f t="shared" si="258"/>
        <v/>
      </c>
      <c r="I142" s="468" t="str">
        <f t="shared" si="226"/>
        <v/>
      </c>
      <c r="J142" s="468" t="str">
        <f t="shared" si="227"/>
        <v/>
      </c>
      <c r="K142" s="238"/>
      <c r="L142" s="54" t="str">
        <f t="shared" si="259"/>
        <v/>
      </c>
      <c r="M142" s="238"/>
      <c r="N142" s="54" t="str">
        <f t="shared" si="260"/>
        <v/>
      </c>
      <c r="O142" s="353">
        <f>+Расходы!C92/1000</f>
        <v>0</v>
      </c>
      <c r="P142" s="54" t="str">
        <f t="shared" si="261"/>
        <v/>
      </c>
      <c r="Q142" s="468" t="str">
        <f t="shared" si="228"/>
        <v/>
      </c>
      <c r="R142" s="468" t="str">
        <f t="shared" si="229"/>
        <v/>
      </c>
      <c r="S142" s="238"/>
      <c r="T142" s="54" t="str">
        <f t="shared" si="262"/>
        <v/>
      </c>
      <c r="U142" s="238">
        <v>0</v>
      </c>
      <c r="V142" s="54" t="str">
        <f t="shared" si="263"/>
        <v/>
      </c>
      <c r="W142" s="353">
        <f>+Расходы!D92/1000</f>
        <v>0</v>
      </c>
      <c r="X142" s="54" t="str">
        <f t="shared" si="264"/>
        <v/>
      </c>
      <c r="Y142" s="468" t="str">
        <f t="shared" si="230"/>
        <v/>
      </c>
      <c r="Z142" s="468" t="str">
        <f t="shared" si="231"/>
        <v/>
      </c>
      <c r="AA142" s="238"/>
      <c r="AB142" s="54" t="str">
        <f t="shared" si="265"/>
        <v/>
      </c>
      <c r="AC142" s="238">
        <v>0</v>
      </c>
      <c r="AD142" s="54" t="str">
        <f t="shared" si="266"/>
        <v/>
      </c>
      <c r="AE142" s="353">
        <f>+Расходы!E92/1000</f>
        <v>0</v>
      </c>
      <c r="AF142" s="54" t="str">
        <f t="shared" si="267"/>
        <v/>
      </c>
      <c r="AG142" s="468" t="str">
        <f t="shared" si="232"/>
        <v/>
      </c>
      <c r="AH142" s="468" t="str">
        <f t="shared" si="233"/>
        <v/>
      </c>
      <c r="AI142" s="238"/>
      <c r="AJ142" s="54" t="str">
        <f t="shared" si="268"/>
        <v/>
      </c>
      <c r="AK142" s="238">
        <v>0</v>
      </c>
      <c r="AL142" s="54" t="str">
        <f t="shared" si="269"/>
        <v/>
      </c>
      <c r="AM142" s="353">
        <f>+Расходы!F92/1000</f>
        <v>0</v>
      </c>
      <c r="AN142" s="54" t="str">
        <f t="shared" si="270"/>
        <v/>
      </c>
      <c r="AO142" s="468" t="str">
        <f t="shared" si="234"/>
        <v/>
      </c>
      <c r="AP142" s="468" t="str">
        <f t="shared" si="235"/>
        <v/>
      </c>
      <c r="AQ142" s="344"/>
      <c r="AR142" s="54" t="str">
        <f t="shared" si="271"/>
        <v/>
      </c>
      <c r="AS142" s="238">
        <v>0</v>
      </c>
      <c r="AT142" s="54" t="str">
        <f t="shared" si="272"/>
        <v/>
      </c>
      <c r="AU142" s="353">
        <f>+Расходы!G92/1000</f>
        <v>0</v>
      </c>
      <c r="AV142" s="54" t="str">
        <f t="shared" si="273"/>
        <v/>
      </c>
      <c r="AW142" s="468" t="str">
        <f t="shared" si="236"/>
        <v/>
      </c>
      <c r="AX142" s="468" t="str">
        <f t="shared" si="237"/>
        <v/>
      </c>
      <c r="AY142" s="344"/>
      <c r="AZ142" s="54" t="str">
        <f t="shared" si="274"/>
        <v/>
      </c>
      <c r="BA142" s="238">
        <v>0</v>
      </c>
      <c r="BB142" s="54" t="str">
        <f t="shared" si="275"/>
        <v/>
      </c>
      <c r="BC142" s="353">
        <f>+Расходы!H92/1000</f>
        <v>0</v>
      </c>
      <c r="BD142" s="54" t="str">
        <f t="shared" si="276"/>
        <v/>
      </c>
      <c r="BE142" s="468" t="str">
        <f t="shared" si="238"/>
        <v/>
      </c>
      <c r="BF142" s="468" t="str">
        <f t="shared" si="239"/>
        <v/>
      </c>
      <c r="BG142" s="344"/>
      <c r="BH142" s="54" t="str">
        <f t="shared" si="277"/>
        <v/>
      </c>
      <c r="BI142" s="238">
        <v>0</v>
      </c>
      <c r="BJ142" s="54" t="str">
        <f t="shared" si="278"/>
        <v/>
      </c>
      <c r="BK142" s="353">
        <f>+Расходы!I92/1000</f>
        <v>0</v>
      </c>
      <c r="BL142" s="54" t="str">
        <f t="shared" si="279"/>
        <v/>
      </c>
      <c r="BM142" s="468" t="str">
        <f t="shared" si="240"/>
        <v/>
      </c>
      <c r="BN142" s="468" t="str">
        <f t="shared" si="241"/>
        <v/>
      </c>
      <c r="BO142" s="344"/>
      <c r="BP142" s="54" t="str">
        <f t="shared" si="280"/>
        <v/>
      </c>
      <c r="BQ142" s="238">
        <v>0</v>
      </c>
      <c r="BR142" s="54" t="str">
        <f t="shared" si="281"/>
        <v/>
      </c>
      <c r="BS142" s="353">
        <f>+Расходы!J92/1000</f>
        <v>0</v>
      </c>
      <c r="BT142" s="54" t="str">
        <f t="shared" si="282"/>
        <v/>
      </c>
      <c r="BU142" s="468" t="str">
        <f t="shared" si="242"/>
        <v/>
      </c>
      <c r="BV142" s="468" t="str">
        <f t="shared" si="243"/>
        <v/>
      </c>
      <c r="BW142" s="344"/>
      <c r="BX142" s="54" t="str">
        <f t="shared" si="283"/>
        <v/>
      </c>
      <c r="BY142" s="238">
        <v>0</v>
      </c>
      <c r="BZ142" s="54" t="str">
        <f t="shared" si="284"/>
        <v/>
      </c>
      <c r="CA142" s="353">
        <f>+Расходы!K92/1000</f>
        <v>0</v>
      </c>
      <c r="CB142" s="54" t="str">
        <f t="shared" si="285"/>
        <v/>
      </c>
      <c r="CC142" s="468" t="str">
        <f t="shared" si="244"/>
        <v/>
      </c>
      <c r="CD142" s="468" t="str">
        <f t="shared" si="245"/>
        <v/>
      </c>
      <c r="CE142" s="344"/>
      <c r="CF142" s="54" t="str">
        <f t="shared" si="286"/>
        <v/>
      </c>
      <c r="CG142" s="238">
        <v>0</v>
      </c>
      <c r="CH142" s="54" t="str">
        <f t="shared" si="287"/>
        <v/>
      </c>
      <c r="CI142" s="353">
        <f>+Расходы!L92/1000</f>
        <v>0</v>
      </c>
      <c r="CJ142" s="54" t="str">
        <f t="shared" si="288"/>
        <v/>
      </c>
      <c r="CK142" s="468" t="str">
        <f t="shared" si="246"/>
        <v/>
      </c>
      <c r="CL142" s="468" t="str">
        <f t="shared" si="247"/>
        <v/>
      </c>
      <c r="CM142" s="344"/>
      <c r="CN142" s="54" t="str">
        <f t="shared" si="289"/>
        <v/>
      </c>
      <c r="CO142" s="238">
        <v>0</v>
      </c>
      <c r="CP142" s="54" t="str">
        <f t="shared" si="290"/>
        <v/>
      </c>
      <c r="CQ142" s="353">
        <f>+Расходы!M92/1000</f>
        <v>0</v>
      </c>
      <c r="CR142" s="54" t="str">
        <f t="shared" si="291"/>
        <v/>
      </c>
      <c r="CS142" s="468" t="str">
        <f t="shared" si="248"/>
        <v/>
      </c>
      <c r="CT142" s="468" t="str">
        <f t="shared" si="249"/>
        <v/>
      </c>
      <c r="CU142" s="344">
        <f t="shared" si="292"/>
        <v>0</v>
      </c>
      <c r="CV142" s="54" t="str">
        <f t="shared" si="250"/>
        <v/>
      </c>
      <c r="CW142" s="238">
        <f t="shared" si="293"/>
        <v>0</v>
      </c>
      <c r="CX142" s="54">
        <f t="shared" si="251"/>
        <v>0</v>
      </c>
      <c r="CY142" s="353">
        <f t="shared" si="252"/>
        <v>0</v>
      </c>
      <c r="CZ142" s="54">
        <f t="shared" si="253"/>
        <v>0</v>
      </c>
      <c r="DA142" s="468" t="str">
        <f t="shared" si="254"/>
        <v/>
      </c>
      <c r="DB142" s="468" t="str">
        <f t="shared" si="255"/>
        <v/>
      </c>
    </row>
    <row r="143" spans="2:106" s="103" customFormat="1" ht="13.15" customHeight="1" outlineLevel="2">
      <c r="B143" s="61" t="str">
        <f>+Расходы!A93</f>
        <v>Монтажные/демонтажные работы</v>
      </c>
      <c r="C143" s="238"/>
      <c r="D143" s="54" t="str">
        <f t="shared" si="256"/>
        <v/>
      </c>
      <c r="E143" s="238"/>
      <c r="F143" s="54" t="str">
        <f t="shared" si="257"/>
        <v/>
      </c>
      <c r="G143" s="353">
        <f>+Расходы!B93/1000</f>
        <v>0</v>
      </c>
      <c r="H143" s="54" t="str">
        <f t="shared" si="258"/>
        <v/>
      </c>
      <c r="I143" s="468" t="str">
        <f t="shared" si="226"/>
        <v/>
      </c>
      <c r="J143" s="468" t="str">
        <f t="shared" si="227"/>
        <v/>
      </c>
      <c r="K143" s="238"/>
      <c r="L143" s="54" t="str">
        <f t="shared" si="259"/>
        <v/>
      </c>
      <c r="M143" s="238"/>
      <c r="N143" s="54" t="str">
        <f t="shared" si="260"/>
        <v/>
      </c>
      <c r="O143" s="353">
        <f>+Расходы!C93/1000</f>
        <v>0</v>
      </c>
      <c r="P143" s="54" t="str">
        <f t="shared" si="261"/>
        <v/>
      </c>
      <c r="Q143" s="468" t="str">
        <f t="shared" si="228"/>
        <v/>
      </c>
      <c r="R143" s="468" t="str">
        <f t="shared" si="229"/>
        <v/>
      </c>
      <c r="S143" s="238"/>
      <c r="T143" s="54" t="str">
        <f t="shared" si="262"/>
        <v/>
      </c>
      <c r="U143" s="238">
        <v>0</v>
      </c>
      <c r="V143" s="54" t="str">
        <f t="shared" si="263"/>
        <v/>
      </c>
      <c r="W143" s="353">
        <f>+Расходы!D93/1000</f>
        <v>0</v>
      </c>
      <c r="X143" s="54" t="str">
        <f t="shared" si="264"/>
        <v/>
      </c>
      <c r="Y143" s="468" t="str">
        <f t="shared" si="230"/>
        <v/>
      </c>
      <c r="Z143" s="468" t="str">
        <f t="shared" si="231"/>
        <v/>
      </c>
      <c r="AA143" s="238"/>
      <c r="AB143" s="54" t="str">
        <f t="shared" si="265"/>
        <v/>
      </c>
      <c r="AC143" s="238">
        <v>0</v>
      </c>
      <c r="AD143" s="54" t="str">
        <f t="shared" si="266"/>
        <v/>
      </c>
      <c r="AE143" s="353">
        <f>+Расходы!E93/1000</f>
        <v>0</v>
      </c>
      <c r="AF143" s="54" t="str">
        <f t="shared" si="267"/>
        <v/>
      </c>
      <c r="AG143" s="468" t="str">
        <f t="shared" si="232"/>
        <v/>
      </c>
      <c r="AH143" s="468" t="str">
        <f t="shared" si="233"/>
        <v/>
      </c>
      <c r="AI143" s="238"/>
      <c r="AJ143" s="54" t="str">
        <f t="shared" si="268"/>
        <v/>
      </c>
      <c r="AK143" s="238">
        <v>0</v>
      </c>
      <c r="AL143" s="54" t="str">
        <f t="shared" si="269"/>
        <v/>
      </c>
      <c r="AM143" s="353">
        <f>+Расходы!F93/1000</f>
        <v>28.62</v>
      </c>
      <c r="AN143" s="54">
        <f t="shared" si="270"/>
        <v>1.8214692803668906E-3</v>
      </c>
      <c r="AO143" s="468" t="str">
        <f t="shared" si="234"/>
        <v/>
      </c>
      <c r="AP143" s="468" t="str">
        <f t="shared" si="235"/>
        <v/>
      </c>
      <c r="AQ143" s="344"/>
      <c r="AR143" s="54" t="str">
        <f t="shared" si="271"/>
        <v/>
      </c>
      <c r="AS143" s="238">
        <v>0</v>
      </c>
      <c r="AT143" s="54" t="str">
        <f t="shared" si="272"/>
        <v/>
      </c>
      <c r="AU143" s="353">
        <f>+Расходы!G93/1000</f>
        <v>0</v>
      </c>
      <c r="AV143" s="54" t="str">
        <f t="shared" si="273"/>
        <v/>
      </c>
      <c r="AW143" s="468" t="str">
        <f t="shared" si="236"/>
        <v/>
      </c>
      <c r="AX143" s="468" t="str">
        <f t="shared" si="237"/>
        <v/>
      </c>
      <c r="AY143" s="344"/>
      <c r="AZ143" s="54" t="str">
        <f t="shared" si="274"/>
        <v/>
      </c>
      <c r="BA143" s="238">
        <v>0</v>
      </c>
      <c r="BB143" s="54" t="str">
        <f t="shared" si="275"/>
        <v/>
      </c>
      <c r="BC143" s="353">
        <f>+Расходы!H93/1000</f>
        <v>0</v>
      </c>
      <c r="BD143" s="54" t="str">
        <f t="shared" si="276"/>
        <v/>
      </c>
      <c r="BE143" s="468" t="str">
        <f t="shared" si="238"/>
        <v/>
      </c>
      <c r="BF143" s="468" t="str">
        <f t="shared" si="239"/>
        <v/>
      </c>
      <c r="BG143" s="344"/>
      <c r="BH143" s="54" t="str">
        <f t="shared" si="277"/>
        <v/>
      </c>
      <c r="BI143" s="238">
        <v>0</v>
      </c>
      <c r="BJ143" s="54" t="str">
        <f t="shared" si="278"/>
        <v/>
      </c>
      <c r="BK143" s="353">
        <f>+Расходы!I93/1000</f>
        <v>0</v>
      </c>
      <c r="BL143" s="54" t="str">
        <f t="shared" si="279"/>
        <v/>
      </c>
      <c r="BM143" s="468" t="str">
        <f t="shared" si="240"/>
        <v/>
      </c>
      <c r="BN143" s="468" t="str">
        <f t="shared" si="241"/>
        <v/>
      </c>
      <c r="BO143" s="344"/>
      <c r="BP143" s="54" t="str">
        <f t="shared" si="280"/>
        <v/>
      </c>
      <c r="BQ143" s="238">
        <v>0</v>
      </c>
      <c r="BR143" s="54" t="str">
        <f t="shared" si="281"/>
        <v/>
      </c>
      <c r="BS143" s="353">
        <f>+Расходы!J93/1000</f>
        <v>0</v>
      </c>
      <c r="BT143" s="54" t="str">
        <f t="shared" si="282"/>
        <v/>
      </c>
      <c r="BU143" s="468" t="str">
        <f t="shared" si="242"/>
        <v/>
      </c>
      <c r="BV143" s="468" t="str">
        <f t="shared" si="243"/>
        <v/>
      </c>
      <c r="BW143" s="344"/>
      <c r="BX143" s="54" t="str">
        <f t="shared" si="283"/>
        <v/>
      </c>
      <c r="BY143" s="238">
        <v>0</v>
      </c>
      <c r="BZ143" s="54" t="str">
        <f t="shared" si="284"/>
        <v/>
      </c>
      <c r="CA143" s="353">
        <f>+Расходы!K93/1000</f>
        <v>0</v>
      </c>
      <c r="CB143" s="54" t="str">
        <f t="shared" si="285"/>
        <v/>
      </c>
      <c r="CC143" s="468" t="str">
        <f t="shared" si="244"/>
        <v/>
      </c>
      <c r="CD143" s="468" t="str">
        <f t="shared" si="245"/>
        <v/>
      </c>
      <c r="CE143" s="344"/>
      <c r="CF143" s="54" t="str">
        <f t="shared" si="286"/>
        <v/>
      </c>
      <c r="CG143" s="238">
        <v>0</v>
      </c>
      <c r="CH143" s="54" t="str">
        <f t="shared" si="287"/>
        <v/>
      </c>
      <c r="CI143" s="353">
        <f>+Расходы!L93/1000</f>
        <v>0</v>
      </c>
      <c r="CJ143" s="54" t="str">
        <f t="shared" si="288"/>
        <v/>
      </c>
      <c r="CK143" s="468" t="str">
        <f t="shared" si="246"/>
        <v/>
      </c>
      <c r="CL143" s="468" t="str">
        <f t="shared" si="247"/>
        <v/>
      </c>
      <c r="CM143" s="344"/>
      <c r="CN143" s="54" t="str">
        <f t="shared" si="289"/>
        <v/>
      </c>
      <c r="CO143" s="238">
        <v>0</v>
      </c>
      <c r="CP143" s="54" t="str">
        <f t="shared" si="290"/>
        <v/>
      </c>
      <c r="CQ143" s="353">
        <f>+Расходы!M93/1000</f>
        <v>0</v>
      </c>
      <c r="CR143" s="54" t="str">
        <f t="shared" si="291"/>
        <v/>
      </c>
      <c r="CS143" s="468" t="str">
        <f t="shared" si="248"/>
        <v/>
      </c>
      <c r="CT143" s="468" t="str">
        <f t="shared" si="249"/>
        <v/>
      </c>
      <c r="CU143" s="344">
        <f t="shared" si="292"/>
        <v>0</v>
      </c>
      <c r="CV143" s="54" t="str">
        <f t="shared" si="250"/>
        <v/>
      </c>
      <c r="CW143" s="238">
        <f t="shared" si="293"/>
        <v>0</v>
      </c>
      <c r="CX143" s="54">
        <f t="shared" si="251"/>
        <v>0</v>
      </c>
      <c r="CY143" s="353">
        <f t="shared" si="252"/>
        <v>28.62</v>
      </c>
      <c r="CZ143" s="54">
        <f t="shared" si="253"/>
        <v>5.7691097072406616E-4</v>
      </c>
      <c r="DA143" s="468" t="str">
        <f t="shared" si="254"/>
        <v/>
      </c>
      <c r="DB143" s="468" t="str">
        <f t="shared" si="255"/>
        <v/>
      </c>
    </row>
    <row r="144" spans="2:106" s="103" customFormat="1" ht="13.15" customHeight="1" outlineLevel="2">
      <c r="B144" s="61" t="str">
        <f>+Расходы!A94</f>
        <v>Мытье окон</v>
      </c>
      <c r="C144" s="238"/>
      <c r="D144" s="54" t="str">
        <f t="shared" si="256"/>
        <v/>
      </c>
      <c r="E144" s="238"/>
      <c r="F144" s="54" t="str">
        <f t="shared" si="257"/>
        <v/>
      </c>
      <c r="G144" s="353">
        <f>+Расходы!B94/1000</f>
        <v>0</v>
      </c>
      <c r="H144" s="54" t="str">
        <f t="shared" si="258"/>
        <v/>
      </c>
      <c r="I144" s="468" t="str">
        <f t="shared" si="226"/>
        <v/>
      </c>
      <c r="J144" s="468" t="str">
        <f t="shared" si="227"/>
        <v/>
      </c>
      <c r="K144" s="238"/>
      <c r="L144" s="54" t="str">
        <f t="shared" si="259"/>
        <v/>
      </c>
      <c r="M144" s="238"/>
      <c r="N144" s="54" t="str">
        <f t="shared" si="260"/>
        <v/>
      </c>
      <c r="O144" s="353">
        <f>+Расходы!C94/1000</f>
        <v>0</v>
      </c>
      <c r="P144" s="54" t="str">
        <f t="shared" si="261"/>
        <v/>
      </c>
      <c r="Q144" s="468" t="str">
        <f t="shared" si="228"/>
        <v/>
      </c>
      <c r="R144" s="468" t="str">
        <f t="shared" si="229"/>
        <v/>
      </c>
      <c r="S144" s="238"/>
      <c r="T144" s="54" t="str">
        <f t="shared" si="262"/>
        <v/>
      </c>
      <c r="U144" s="238">
        <v>0</v>
      </c>
      <c r="V144" s="54" t="str">
        <f t="shared" si="263"/>
        <v/>
      </c>
      <c r="W144" s="353">
        <f>+Расходы!D94/1000</f>
        <v>0</v>
      </c>
      <c r="X144" s="54" t="str">
        <f t="shared" si="264"/>
        <v/>
      </c>
      <c r="Y144" s="468" t="str">
        <f t="shared" si="230"/>
        <v/>
      </c>
      <c r="Z144" s="468" t="str">
        <f t="shared" si="231"/>
        <v/>
      </c>
      <c r="AA144" s="238"/>
      <c r="AB144" s="54" t="str">
        <f t="shared" si="265"/>
        <v/>
      </c>
      <c r="AC144" s="238">
        <v>0</v>
      </c>
      <c r="AD144" s="54" t="str">
        <f t="shared" si="266"/>
        <v/>
      </c>
      <c r="AE144" s="353">
        <f>+Расходы!E94/1000</f>
        <v>0</v>
      </c>
      <c r="AF144" s="54" t="str">
        <f t="shared" si="267"/>
        <v/>
      </c>
      <c r="AG144" s="468" t="str">
        <f t="shared" si="232"/>
        <v/>
      </c>
      <c r="AH144" s="468" t="str">
        <f t="shared" si="233"/>
        <v/>
      </c>
      <c r="AI144" s="238"/>
      <c r="AJ144" s="54" t="str">
        <f t="shared" si="268"/>
        <v/>
      </c>
      <c r="AK144" s="238">
        <v>12</v>
      </c>
      <c r="AL144" s="54">
        <f t="shared" si="269"/>
        <v>8.5886057829945609E-4</v>
      </c>
      <c r="AM144" s="353">
        <f>+Расходы!F94/1000</f>
        <v>0</v>
      </c>
      <c r="AN144" s="54" t="str">
        <f t="shared" si="270"/>
        <v/>
      </c>
      <c r="AO144" s="468">
        <f t="shared" si="234"/>
        <v>-1</v>
      </c>
      <c r="AP144" s="468" t="str">
        <f t="shared" si="235"/>
        <v/>
      </c>
      <c r="AQ144" s="344"/>
      <c r="AR144" s="54" t="str">
        <f t="shared" si="271"/>
        <v/>
      </c>
      <c r="AS144" s="238">
        <v>15</v>
      </c>
      <c r="AT144" s="54">
        <f t="shared" si="272"/>
        <v>9.9469496021220159E-4</v>
      </c>
      <c r="AU144" s="353">
        <f>+Расходы!G94/1000</f>
        <v>0</v>
      </c>
      <c r="AV144" s="54" t="str">
        <f t="shared" si="273"/>
        <v/>
      </c>
      <c r="AW144" s="468">
        <f t="shared" si="236"/>
        <v>-1</v>
      </c>
      <c r="AX144" s="468" t="str">
        <f t="shared" si="237"/>
        <v/>
      </c>
      <c r="AY144" s="344"/>
      <c r="AZ144" s="54" t="str">
        <f t="shared" si="274"/>
        <v/>
      </c>
      <c r="BA144" s="238">
        <v>0</v>
      </c>
      <c r="BB144" s="54" t="str">
        <f t="shared" si="275"/>
        <v/>
      </c>
      <c r="BC144" s="353">
        <f>+Расходы!H94/1000</f>
        <v>0</v>
      </c>
      <c r="BD144" s="54" t="str">
        <f t="shared" si="276"/>
        <v/>
      </c>
      <c r="BE144" s="468" t="str">
        <f t="shared" si="238"/>
        <v/>
      </c>
      <c r="BF144" s="468" t="str">
        <f t="shared" si="239"/>
        <v/>
      </c>
      <c r="BG144" s="344"/>
      <c r="BH144" s="54" t="str">
        <f t="shared" si="277"/>
        <v/>
      </c>
      <c r="BI144" s="238">
        <v>0</v>
      </c>
      <c r="BJ144" s="54" t="str">
        <f t="shared" si="278"/>
        <v/>
      </c>
      <c r="BK144" s="353">
        <f>+Расходы!I94/1000</f>
        <v>0</v>
      </c>
      <c r="BL144" s="54" t="str">
        <f t="shared" si="279"/>
        <v/>
      </c>
      <c r="BM144" s="468" t="str">
        <f t="shared" si="240"/>
        <v/>
      </c>
      <c r="BN144" s="468" t="str">
        <f t="shared" si="241"/>
        <v/>
      </c>
      <c r="BO144" s="344"/>
      <c r="BP144" s="54" t="str">
        <f t="shared" si="280"/>
        <v/>
      </c>
      <c r="BQ144" s="238">
        <v>15</v>
      </c>
      <c r="BR144" s="54">
        <f t="shared" si="281"/>
        <v>1.0359116022099447E-3</v>
      </c>
      <c r="BS144" s="353">
        <f>+Расходы!J94/1000</f>
        <v>0</v>
      </c>
      <c r="BT144" s="54" t="str">
        <f t="shared" si="282"/>
        <v/>
      </c>
      <c r="BU144" s="468">
        <f t="shared" si="242"/>
        <v>-1</v>
      </c>
      <c r="BV144" s="468" t="str">
        <f t="shared" si="243"/>
        <v/>
      </c>
      <c r="BW144" s="344"/>
      <c r="BX144" s="54" t="str">
        <f t="shared" si="283"/>
        <v/>
      </c>
      <c r="BY144" s="238">
        <v>0</v>
      </c>
      <c r="BZ144" s="54" t="str">
        <f t="shared" si="284"/>
        <v/>
      </c>
      <c r="CA144" s="353">
        <f>+Расходы!K94/1000</f>
        <v>0</v>
      </c>
      <c r="CB144" s="54" t="str">
        <f t="shared" si="285"/>
        <v/>
      </c>
      <c r="CC144" s="468" t="str">
        <f t="shared" si="244"/>
        <v/>
      </c>
      <c r="CD144" s="468" t="str">
        <f t="shared" si="245"/>
        <v/>
      </c>
      <c r="CE144" s="344"/>
      <c r="CF144" s="54" t="str">
        <f t="shared" si="286"/>
        <v/>
      </c>
      <c r="CG144" s="238">
        <v>0</v>
      </c>
      <c r="CH144" s="54" t="str">
        <f t="shared" si="287"/>
        <v/>
      </c>
      <c r="CI144" s="353">
        <f>+Расходы!L94/1000</f>
        <v>0</v>
      </c>
      <c r="CJ144" s="54" t="str">
        <f t="shared" si="288"/>
        <v/>
      </c>
      <c r="CK144" s="468" t="str">
        <f t="shared" si="246"/>
        <v/>
      </c>
      <c r="CL144" s="468" t="str">
        <f t="shared" si="247"/>
        <v/>
      </c>
      <c r="CM144" s="344"/>
      <c r="CN144" s="54" t="str">
        <f t="shared" si="289"/>
        <v/>
      </c>
      <c r="CO144" s="238">
        <v>0</v>
      </c>
      <c r="CP144" s="54" t="str">
        <f t="shared" si="290"/>
        <v/>
      </c>
      <c r="CQ144" s="353">
        <f>+Расходы!M94/1000</f>
        <v>0</v>
      </c>
      <c r="CR144" s="54" t="str">
        <f t="shared" si="291"/>
        <v/>
      </c>
      <c r="CS144" s="468" t="str">
        <f t="shared" si="248"/>
        <v/>
      </c>
      <c r="CT144" s="468" t="str">
        <f t="shared" si="249"/>
        <v/>
      </c>
      <c r="CU144" s="344">
        <f t="shared" si="292"/>
        <v>0</v>
      </c>
      <c r="CV144" s="54" t="str">
        <f t="shared" si="250"/>
        <v/>
      </c>
      <c r="CW144" s="238">
        <f t="shared" si="293"/>
        <v>42</v>
      </c>
      <c r="CX144" s="54">
        <f t="shared" si="251"/>
        <v>3.1671825475408302E-4</v>
      </c>
      <c r="CY144" s="353">
        <f t="shared" si="252"/>
        <v>0</v>
      </c>
      <c r="CZ144" s="54">
        <f t="shared" si="253"/>
        <v>0</v>
      </c>
      <c r="DA144" s="468">
        <f t="shared" si="254"/>
        <v>-1</v>
      </c>
      <c r="DB144" s="468" t="str">
        <f t="shared" si="255"/>
        <v/>
      </c>
    </row>
    <row r="145" spans="2:106" s="103" customFormat="1" ht="13.15" customHeight="1" outlineLevel="2">
      <c r="B145" s="61" t="str">
        <f>+Расходы!A95</f>
        <v>Обслуживание инвентаря/посуды</v>
      </c>
      <c r="C145" s="238"/>
      <c r="D145" s="54" t="str">
        <f t="shared" si="256"/>
        <v/>
      </c>
      <c r="E145" s="238"/>
      <c r="F145" s="54" t="str">
        <f t="shared" si="257"/>
        <v/>
      </c>
      <c r="G145" s="353">
        <f>+Расходы!B95/1000</f>
        <v>0</v>
      </c>
      <c r="H145" s="54" t="str">
        <f t="shared" si="258"/>
        <v/>
      </c>
      <c r="I145" s="468" t="str">
        <f t="shared" si="226"/>
        <v/>
      </c>
      <c r="J145" s="468" t="str">
        <f t="shared" si="227"/>
        <v/>
      </c>
      <c r="K145" s="238"/>
      <c r="L145" s="54" t="str">
        <f t="shared" si="259"/>
        <v/>
      </c>
      <c r="M145" s="238"/>
      <c r="N145" s="54" t="str">
        <f t="shared" si="260"/>
        <v/>
      </c>
      <c r="O145" s="353">
        <f>+Расходы!C95/1000</f>
        <v>0</v>
      </c>
      <c r="P145" s="54" t="str">
        <f t="shared" si="261"/>
        <v/>
      </c>
      <c r="Q145" s="468" t="str">
        <f t="shared" si="228"/>
        <v/>
      </c>
      <c r="R145" s="468" t="str">
        <f t="shared" si="229"/>
        <v/>
      </c>
      <c r="S145" s="238"/>
      <c r="T145" s="54" t="str">
        <f t="shared" si="262"/>
        <v/>
      </c>
      <c r="U145" s="238">
        <v>0</v>
      </c>
      <c r="V145" s="54" t="str">
        <f t="shared" si="263"/>
        <v/>
      </c>
      <c r="W145" s="353">
        <f>+Расходы!D95/1000</f>
        <v>0</v>
      </c>
      <c r="X145" s="54" t="str">
        <f t="shared" si="264"/>
        <v/>
      </c>
      <c r="Y145" s="468" t="str">
        <f t="shared" si="230"/>
        <v/>
      </c>
      <c r="Z145" s="468" t="str">
        <f t="shared" si="231"/>
        <v/>
      </c>
      <c r="AA145" s="238"/>
      <c r="AB145" s="54" t="str">
        <f t="shared" si="265"/>
        <v/>
      </c>
      <c r="AC145" s="238">
        <v>5</v>
      </c>
      <c r="AD145" s="54">
        <f t="shared" si="266"/>
        <v>3.6571522194525391E-4</v>
      </c>
      <c r="AE145" s="353">
        <f>+Расходы!E95/1000</f>
        <v>0</v>
      </c>
      <c r="AF145" s="54" t="str">
        <f t="shared" si="267"/>
        <v/>
      </c>
      <c r="AG145" s="468">
        <f t="shared" si="232"/>
        <v>-1</v>
      </c>
      <c r="AH145" s="468" t="str">
        <f t="shared" si="233"/>
        <v/>
      </c>
      <c r="AI145" s="238"/>
      <c r="AJ145" s="54" t="str">
        <f t="shared" si="268"/>
        <v/>
      </c>
      <c r="AK145" s="238">
        <v>5</v>
      </c>
      <c r="AL145" s="54">
        <f t="shared" si="269"/>
        <v>3.5785857429144005E-4</v>
      </c>
      <c r="AM145" s="353">
        <f>+Расходы!F95/1000</f>
        <v>0</v>
      </c>
      <c r="AN145" s="54" t="str">
        <f t="shared" si="270"/>
        <v/>
      </c>
      <c r="AO145" s="468">
        <f t="shared" si="234"/>
        <v>-1</v>
      </c>
      <c r="AP145" s="468" t="str">
        <f t="shared" si="235"/>
        <v/>
      </c>
      <c r="AQ145" s="344"/>
      <c r="AR145" s="54" t="str">
        <f t="shared" si="271"/>
        <v/>
      </c>
      <c r="AS145" s="238">
        <v>0</v>
      </c>
      <c r="AT145" s="54" t="str">
        <f t="shared" si="272"/>
        <v/>
      </c>
      <c r="AU145" s="353">
        <f>+Расходы!G95/1000</f>
        <v>0</v>
      </c>
      <c r="AV145" s="54" t="str">
        <f t="shared" si="273"/>
        <v/>
      </c>
      <c r="AW145" s="468" t="str">
        <f t="shared" si="236"/>
        <v/>
      </c>
      <c r="AX145" s="468" t="str">
        <f t="shared" si="237"/>
        <v/>
      </c>
      <c r="AY145" s="344"/>
      <c r="AZ145" s="54" t="str">
        <f t="shared" si="274"/>
        <v/>
      </c>
      <c r="BA145" s="238">
        <v>0</v>
      </c>
      <c r="BB145" s="54" t="str">
        <f t="shared" si="275"/>
        <v/>
      </c>
      <c r="BC145" s="353">
        <f>+Расходы!H95/1000</f>
        <v>0</v>
      </c>
      <c r="BD145" s="54" t="str">
        <f t="shared" si="276"/>
        <v/>
      </c>
      <c r="BE145" s="468" t="str">
        <f t="shared" si="238"/>
        <v/>
      </c>
      <c r="BF145" s="468" t="str">
        <f t="shared" si="239"/>
        <v/>
      </c>
      <c r="BG145" s="344"/>
      <c r="BH145" s="54" t="str">
        <f t="shared" si="277"/>
        <v/>
      </c>
      <c r="BI145" s="238">
        <v>0</v>
      </c>
      <c r="BJ145" s="54" t="str">
        <f t="shared" si="278"/>
        <v/>
      </c>
      <c r="BK145" s="353">
        <f>+Расходы!I95/1000</f>
        <v>0</v>
      </c>
      <c r="BL145" s="54" t="str">
        <f t="shared" si="279"/>
        <v/>
      </c>
      <c r="BM145" s="468" t="str">
        <f t="shared" si="240"/>
        <v/>
      </c>
      <c r="BN145" s="468" t="str">
        <f t="shared" si="241"/>
        <v/>
      </c>
      <c r="BO145" s="344"/>
      <c r="BP145" s="54" t="str">
        <f t="shared" si="280"/>
        <v/>
      </c>
      <c r="BQ145" s="238">
        <v>0</v>
      </c>
      <c r="BR145" s="54" t="str">
        <f t="shared" si="281"/>
        <v/>
      </c>
      <c r="BS145" s="353">
        <f>+Расходы!J95/1000</f>
        <v>0</v>
      </c>
      <c r="BT145" s="54" t="str">
        <f t="shared" si="282"/>
        <v/>
      </c>
      <c r="BU145" s="468" t="str">
        <f t="shared" si="242"/>
        <v/>
      </c>
      <c r="BV145" s="468" t="str">
        <f t="shared" si="243"/>
        <v/>
      </c>
      <c r="BW145" s="344"/>
      <c r="BX145" s="54" t="str">
        <f t="shared" si="283"/>
        <v/>
      </c>
      <c r="BY145" s="238">
        <v>0</v>
      </c>
      <c r="BZ145" s="54" t="str">
        <f t="shared" si="284"/>
        <v/>
      </c>
      <c r="CA145" s="353">
        <f>+Расходы!K95/1000</f>
        <v>0</v>
      </c>
      <c r="CB145" s="54" t="str">
        <f t="shared" si="285"/>
        <v/>
      </c>
      <c r="CC145" s="468" t="str">
        <f t="shared" si="244"/>
        <v/>
      </c>
      <c r="CD145" s="468" t="str">
        <f t="shared" si="245"/>
        <v/>
      </c>
      <c r="CE145" s="344"/>
      <c r="CF145" s="54" t="str">
        <f t="shared" si="286"/>
        <v/>
      </c>
      <c r="CG145" s="238">
        <v>0</v>
      </c>
      <c r="CH145" s="54" t="str">
        <f t="shared" si="287"/>
        <v/>
      </c>
      <c r="CI145" s="353">
        <f>+Расходы!L95/1000</f>
        <v>0</v>
      </c>
      <c r="CJ145" s="54" t="str">
        <f t="shared" si="288"/>
        <v/>
      </c>
      <c r="CK145" s="468" t="str">
        <f t="shared" si="246"/>
        <v/>
      </c>
      <c r="CL145" s="468" t="str">
        <f t="shared" si="247"/>
        <v/>
      </c>
      <c r="CM145" s="344"/>
      <c r="CN145" s="54" t="str">
        <f t="shared" si="289"/>
        <v/>
      </c>
      <c r="CO145" s="238">
        <v>0</v>
      </c>
      <c r="CP145" s="54" t="str">
        <f t="shared" si="290"/>
        <v/>
      </c>
      <c r="CQ145" s="353">
        <f>+Расходы!M95/1000</f>
        <v>0</v>
      </c>
      <c r="CR145" s="54" t="str">
        <f t="shared" si="291"/>
        <v/>
      </c>
      <c r="CS145" s="468" t="str">
        <f t="shared" si="248"/>
        <v/>
      </c>
      <c r="CT145" s="468" t="str">
        <f t="shared" si="249"/>
        <v/>
      </c>
      <c r="CU145" s="344">
        <f t="shared" si="292"/>
        <v>0</v>
      </c>
      <c r="CV145" s="54" t="str">
        <f t="shared" si="250"/>
        <v/>
      </c>
      <c r="CW145" s="238">
        <f t="shared" si="293"/>
        <v>10</v>
      </c>
      <c r="CX145" s="54">
        <f t="shared" si="251"/>
        <v>7.5409108274781674E-5</v>
      </c>
      <c r="CY145" s="353">
        <f t="shared" si="252"/>
        <v>0</v>
      </c>
      <c r="CZ145" s="54">
        <f t="shared" si="253"/>
        <v>0</v>
      </c>
      <c r="DA145" s="468">
        <f t="shared" si="254"/>
        <v>-1</v>
      </c>
      <c r="DB145" s="468" t="str">
        <f t="shared" si="255"/>
        <v/>
      </c>
    </row>
    <row r="146" spans="2:106" s="103" customFormat="1" ht="13.15" customHeight="1" outlineLevel="2">
      <c r="B146" s="61" t="str">
        <f>+Расходы!A96</f>
        <v>Обучение студентов</v>
      </c>
      <c r="C146" s="238"/>
      <c r="D146" s="54" t="str">
        <f t="shared" si="256"/>
        <v/>
      </c>
      <c r="E146" s="238"/>
      <c r="F146" s="54" t="str">
        <f t="shared" si="257"/>
        <v/>
      </c>
      <c r="G146" s="353">
        <f>+Расходы!B96/1000</f>
        <v>0</v>
      </c>
      <c r="H146" s="54" t="str">
        <f t="shared" si="258"/>
        <v/>
      </c>
      <c r="I146" s="468" t="str">
        <f t="shared" si="226"/>
        <v/>
      </c>
      <c r="J146" s="468" t="str">
        <f t="shared" si="227"/>
        <v/>
      </c>
      <c r="K146" s="238"/>
      <c r="L146" s="54" t="str">
        <f t="shared" si="259"/>
        <v/>
      </c>
      <c r="M146" s="238"/>
      <c r="N146" s="54" t="str">
        <f t="shared" si="260"/>
        <v/>
      </c>
      <c r="O146" s="353">
        <f>+Расходы!C96/1000</f>
        <v>0</v>
      </c>
      <c r="P146" s="54" t="str">
        <f t="shared" si="261"/>
        <v/>
      </c>
      <c r="Q146" s="468" t="str">
        <f t="shared" si="228"/>
        <v/>
      </c>
      <c r="R146" s="468" t="str">
        <f t="shared" si="229"/>
        <v/>
      </c>
      <c r="S146" s="238"/>
      <c r="T146" s="54" t="str">
        <f t="shared" si="262"/>
        <v/>
      </c>
      <c r="U146" s="238">
        <v>0</v>
      </c>
      <c r="V146" s="54" t="str">
        <f t="shared" si="263"/>
        <v/>
      </c>
      <c r="W146" s="353">
        <f>+Расходы!D96/1000</f>
        <v>0</v>
      </c>
      <c r="X146" s="54" t="str">
        <f t="shared" si="264"/>
        <v/>
      </c>
      <c r="Y146" s="468" t="str">
        <f t="shared" si="230"/>
        <v/>
      </c>
      <c r="Z146" s="468" t="str">
        <f t="shared" si="231"/>
        <v/>
      </c>
      <c r="AA146" s="238"/>
      <c r="AB146" s="54" t="str">
        <f t="shared" si="265"/>
        <v/>
      </c>
      <c r="AC146" s="238">
        <v>0</v>
      </c>
      <c r="AD146" s="54" t="str">
        <f t="shared" si="266"/>
        <v/>
      </c>
      <c r="AE146" s="353">
        <f>+Расходы!E96/1000</f>
        <v>0</v>
      </c>
      <c r="AF146" s="54" t="str">
        <f t="shared" si="267"/>
        <v/>
      </c>
      <c r="AG146" s="468" t="str">
        <f t="shared" si="232"/>
        <v/>
      </c>
      <c r="AH146" s="468" t="str">
        <f t="shared" si="233"/>
        <v/>
      </c>
      <c r="AI146" s="238"/>
      <c r="AJ146" s="54" t="str">
        <f t="shared" si="268"/>
        <v/>
      </c>
      <c r="AK146" s="238">
        <v>0</v>
      </c>
      <c r="AL146" s="54" t="str">
        <f t="shared" si="269"/>
        <v/>
      </c>
      <c r="AM146" s="353">
        <f>+Расходы!F96/1000</f>
        <v>0</v>
      </c>
      <c r="AN146" s="54" t="str">
        <f t="shared" si="270"/>
        <v/>
      </c>
      <c r="AO146" s="468" t="str">
        <f t="shared" si="234"/>
        <v/>
      </c>
      <c r="AP146" s="468" t="str">
        <f t="shared" si="235"/>
        <v/>
      </c>
      <c r="AQ146" s="344"/>
      <c r="AR146" s="54" t="str">
        <f t="shared" si="271"/>
        <v/>
      </c>
      <c r="AS146" s="238">
        <v>0</v>
      </c>
      <c r="AT146" s="54" t="str">
        <f t="shared" si="272"/>
        <v/>
      </c>
      <c r="AU146" s="353">
        <f>+Расходы!G96/1000</f>
        <v>0</v>
      </c>
      <c r="AV146" s="54" t="str">
        <f t="shared" si="273"/>
        <v/>
      </c>
      <c r="AW146" s="468" t="str">
        <f t="shared" si="236"/>
        <v/>
      </c>
      <c r="AX146" s="468" t="str">
        <f t="shared" si="237"/>
        <v/>
      </c>
      <c r="AY146" s="344"/>
      <c r="AZ146" s="54" t="str">
        <f t="shared" si="274"/>
        <v/>
      </c>
      <c r="BA146" s="238">
        <v>0</v>
      </c>
      <c r="BB146" s="54" t="str">
        <f t="shared" si="275"/>
        <v/>
      </c>
      <c r="BC146" s="353">
        <f>+Расходы!H96/1000</f>
        <v>0</v>
      </c>
      <c r="BD146" s="54" t="str">
        <f t="shared" si="276"/>
        <v/>
      </c>
      <c r="BE146" s="468" t="str">
        <f t="shared" si="238"/>
        <v/>
      </c>
      <c r="BF146" s="468" t="str">
        <f t="shared" si="239"/>
        <v/>
      </c>
      <c r="BG146" s="344"/>
      <c r="BH146" s="54" t="str">
        <f t="shared" si="277"/>
        <v/>
      </c>
      <c r="BI146" s="238">
        <v>0</v>
      </c>
      <c r="BJ146" s="54" t="str">
        <f t="shared" si="278"/>
        <v/>
      </c>
      <c r="BK146" s="353">
        <f>+Расходы!I96/1000</f>
        <v>0</v>
      </c>
      <c r="BL146" s="54" t="str">
        <f t="shared" si="279"/>
        <v/>
      </c>
      <c r="BM146" s="468" t="str">
        <f t="shared" si="240"/>
        <v/>
      </c>
      <c r="BN146" s="468" t="str">
        <f t="shared" si="241"/>
        <v/>
      </c>
      <c r="BO146" s="344"/>
      <c r="BP146" s="54" t="str">
        <f t="shared" si="280"/>
        <v/>
      </c>
      <c r="BQ146" s="238">
        <v>0</v>
      </c>
      <c r="BR146" s="54" t="str">
        <f t="shared" si="281"/>
        <v/>
      </c>
      <c r="BS146" s="353">
        <f>+Расходы!J96/1000</f>
        <v>0</v>
      </c>
      <c r="BT146" s="54" t="str">
        <f t="shared" si="282"/>
        <v/>
      </c>
      <c r="BU146" s="468" t="str">
        <f t="shared" si="242"/>
        <v/>
      </c>
      <c r="BV146" s="468" t="str">
        <f t="shared" si="243"/>
        <v/>
      </c>
      <c r="BW146" s="344"/>
      <c r="BX146" s="54" t="str">
        <f t="shared" si="283"/>
        <v/>
      </c>
      <c r="BY146" s="238">
        <v>0</v>
      </c>
      <c r="BZ146" s="54" t="str">
        <f t="shared" si="284"/>
        <v/>
      </c>
      <c r="CA146" s="353">
        <f>+Расходы!K96/1000</f>
        <v>0</v>
      </c>
      <c r="CB146" s="54" t="str">
        <f t="shared" si="285"/>
        <v/>
      </c>
      <c r="CC146" s="468" t="str">
        <f t="shared" si="244"/>
        <v/>
      </c>
      <c r="CD146" s="468" t="str">
        <f t="shared" si="245"/>
        <v/>
      </c>
      <c r="CE146" s="344"/>
      <c r="CF146" s="54" t="str">
        <f t="shared" si="286"/>
        <v/>
      </c>
      <c r="CG146" s="238">
        <v>0</v>
      </c>
      <c r="CH146" s="54" t="str">
        <f t="shared" si="287"/>
        <v/>
      </c>
      <c r="CI146" s="353">
        <f>+Расходы!L96/1000</f>
        <v>0</v>
      </c>
      <c r="CJ146" s="54" t="str">
        <f t="shared" si="288"/>
        <v/>
      </c>
      <c r="CK146" s="468" t="str">
        <f t="shared" si="246"/>
        <v/>
      </c>
      <c r="CL146" s="468" t="str">
        <f t="shared" si="247"/>
        <v/>
      </c>
      <c r="CM146" s="344"/>
      <c r="CN146" s="54" t="str">
        <f t="shared" si="289"/>
        <v/>
      </c>
      <c r="CO146" s="238">
        <v>0</v>
      </c>
      <c r="CP146" s="54" t="str">
        <f t="shared" si="290"/>
        <v/>
      </c>
      <c r="CQ146" s="353">
        <f>+Расходы!M96/1000</f>
        <v>0</v>
      </c>
      <c r="CR146" s="54" t="str">
        <f t="shared" si="291"/>
        <v/>
      </c>
      <c r="CS146" s="468" t="str">
        <f t="shared" si="248"/>
        <v/>
      </c>
      <c r="CT146" s="468" t="str">
        <f t="shared" si="249"/>
        <v/>
      </c>
      <c r="CU146" s="344">
        <f t="shared" si="292"/>
        <v>0</v>
      </c>
      <c r="CV146" s="54" t="str">
        <f t="shared" si="250"/>
        <v/>
      </c>
      <c r="CW146" s="238">
        <f t="shared" si="293"/>
        <v>0</v>
      </c>
      <c r="CX146" s="54">
        <f t="shared" si="251"/>
        <v>0</v>
      </c>
      <c r="CY146" s="353">
        <f t="shared" si="252"/>
        <v>0</v>
      </c>
      <c r="CZ146" s="54">
        <f t="shared" si="253"/>
        <v>0</v>
      </c>
      <c r="DA146" s="468" t="str">
        <f t="shared" si="254"/>
        <v/>
      </c>
      <c r="DB146" s="468" t="str">
        <f t="shared" si="255"/>
        <v/>
      </c>
    </row>
    <row r="147" spans="2:106" s="103" customFormat="1" ht="13.15" customHeight="1" outlineLevel="2">
      <c r="B147" s="61" t="str">
        <f>+Расходы!A97</f>
        <v>Охрана, сигнализация</v>
      </c>
      <c r="C147" s="238"/>
      <c r="D147" s="54" t="str">
        <f t="shared" si="256"/>
        <v/>
      </c>
      <c r="E147" s="238"/>
      <c r="F147" s="54" t="str">
        <f t="shared" si="257"/>
        <v/>
      </c>
      <c r="G147" s="353">
        <f>+Расходы!B97/1000</f>
        <v>0</v>
      </c>
      <c r="H147" s="54" t="str">
        <f t="shared" si="258"/>
        <v/>
      </c>
      <c r="I147" s="468" t="str">
        <f t="shared" ref="I147:I178" si="294">IF(IFERROR(G147/E147-1,"")=0,"",IFERROR(+G147/E147-1,""))</f>
        <v/>
      </c>
      <c r="J147" s="468" t="str">
        <f t="shared" ref="J147:J178" si="295">IF(IFERROR(G147/C147-1,"")=0,"",IFERROR(+G147/C147-1,""))</f>
        <v/>
      </c>
      <c r="K147" s="238"/>
      <c r="L147" s="54" t="str">
        <f t="shared" si="259"/>
        <v/>
      </c>
      <c r="M147" s="238"/>
      <c r="N147" s="54" t="str">
        <f t="shared" si="260"/>
        <v/>
      </c>
      <c r="O147" s="353">
        <f>+Расходы!C97/1000</f>
        <v>0</v>
      </c>
      <c r="P147" s="54" t="str">
        <f t="shared" si="261"/>
        <v/>
      </c>
      <c r="Q147" s="468" t="str">
        <f t="shared" ref="Q147:Q178" si="296">IF(IFERROR(O147/M147-1,"")=0,"",IFERROR(+O147/M147-1,""))</f>
        <v/>
      </c>
      <c r="R147" s="468" t="str">
        <f t="shared" ref="R147:R178" si="297">IF(IFERROR(O147/K147-1,"")=0,"",IFERROR(+O147/K147-1,""))</f>
        <v/>
      </c>
      <c r="S147" s="238"/>
      <c r="T147" s="54" t="str">
        <f t="shared" si="262"/>
        <v/>
      </c>
      <c r="U147" s="238">
        <v>0</v>
      </c>
      <c r="V147" s="54" t="str">
        <f t="shared" si="263"/>
        <v/>
      </c>
      <c r="W147" s="353">
        <f>+Расходы!D97/1000</f>
        <v>0</v>
      </c>
      <c r="X147" s="54" t="str">
        <f t="shared" si="264"/>
        <v/>
      </c>
      <c r="Y147" s="468" t="str">
        <f t="shared" ref="Y147:Y178" si="298">IF(IFERROR(W147/U147-1,"")=0,"",IFERROR(+W147/U147-1,""))</f>
        <v/>
      </c>
      <c r="Z147" s="468" t="str">
        <f t="shared" ref="Z147:Z178" si="299">IF(IFERROR(W147/S147-1,"")=0,"",IFERROR(+W147/S147-1,""))</f>
        <v/>
      </c>
      <c r="AA147" s="238"/>
      <c r="AB147" s="54" t="str">
        <f t="shared" si="265"/>
        <v/>
      </c>
      <c r="AC147" s="238">
        <v>5.05</v>
      </c>
      <c r="AD147" s="54">
        <f t="shared" si="266"/>
        <v>3.6937237416470641E-4</v>
      </c>
      <c r="AE147" s="353">
        <f>+Расходы!E97/1000</f>
        <v>0</v>
      </c>
      <c r="AF147" s="54" t="str">
        <f t="shared" si="267"/>
        <v/>
      </c>
      <c r="AG147" s="468">
        <f t="shared" ref="AG147:AG178" si="300">IF(IFERROR(AE147/AC147-1,"")=0,"",IFERROR(+AE147/AC147-1,""))</f>
        <v>-1</v>
      </c>
      <c r="AH147" s="468" t="str">
        <f t="shared" ref="AH147:AH178" si="301">IF(IFERROR(AE147/AA147-1,"")=0,"",IFERROR(+AE147/AA147-1,""))</f>
        <v/>
      </c>
      <c r="AI147" s="238"/>
      <c r="AJ147" s="54" t="str">
        <f t="shared" si="268"/>
        <v/>
      </c>
      <c r="AK147" s="238">
        <v>5.05</v>
      </c>
      <c r="AL147" s="54">
        <f t="shared" si="269"/>
        <v>3.6143716003435441E-4</v>
      </c>
      <c r="AM147" s="353">
        <f>+Расходы!F97/1000</f>
        <v>8.9220000000000006</v>
      </c>
      <c r="AN147" s="54">
        <f t="shared" si="270"/>
        <v>5.6782490983345204E-4</v>
      </c>
      <c r="AO147" s="468">
        <f t="shared" ref="AO147:AO178" si="302">IF(IFERROR(AM147/AK147-1,"")=0,"",IFERROR(+AM147/AK147-1,""))</f>
        <v>0.76673267326732697</v>
      </c>
      <c r="AP147" s="468" t="str">
        <f t="shared" ref="AP147:AP178" si="303">IF(IFERROR(AM147/AI147-1,"")=0,"",IFERROR(+AM147/AI147-1,""))</f>
        <v/>
      </c>
      <c r="AQ147" s="344"/>
      <c r="AR147" s="54" t="str">
        <f t="shared" si="271"/>
        <v/>
      </c>
      <c r="AS147" s="238">
        <v>10</v>
      </c>
      <c r="AT147" s="54">
        <f t="shared" si="272"/>
        <v>6.6312997347480103E-4</v>
      </c>
      <c r="AU147" s="353">
        <f>+Расходы!G97/1000</f>
        <v>9.85</v>
      </c>
      <c r="AV147" s="54">
        <f t="shared" si="273"/>
        <v>6.9106556065307023E-4</v>
      </c>
      <c r="AW147" s="468">
        <f t="shared" ref="AW147:AW178" si="304">IF(IFERROR(AU147/AS147-1,"")=0,"",IFERROR(+AU147/AS147-1,""))</f>
        <v>-1.5000000000000013E-2</v>
      </c>
      <c r="AX147" s="468" t="str">
        <f t="shared" ref="AX147:AX178" si="305">IF(IFERROR(AU147/AQ147-1,"")=0,"",IFERROR(+AU147/AQ147-1,""))</f>
        <v/>
      </c>
      <c r="AY147" s="344"/>
      <c r="AZ147" s="54" t="str">
        <f t="shared" si="274"/>
        <v/>
      </c>
      <c r="BA147" s="238">
        <v>10</v>
      </c>
      <c r="BB147" s="54">
        <f t="shared" si="275"/>
        <v>6.382639221318015E-4</v>
      </c>
      <c r="BC147" s="353">
        <f>+Расходы!H97/1000</f>
        <v>0</v>
      </c>
      <c r="BD147" s="54" t="str">
        <f t="shared" si="276"/>
        <v/>
      </c>
      <c r="BE147" s="468">
        <f t="shared" ref="BE147:BE178" si="306">IF(IFERROR(BC147/BA147-1,"")=0,"",IFERROR(+BC147/BA147-1,""))</f>
        <v>-1</v>
      </c>
      <c r="BF147" s="468" t="str">
        <f t="shared" ref="BF147:BF178" si="307">IF(IFERROR(BC147/AY147-1,"")=0,"",IFERROR(+BC147/AY147-1,""))</f>
        <v/>
      </c>
      <c r="BG147" s="344"/>
      <c r="BH147" s="54" t="str">
        <f t="shared" si="277"/>
        <v/>
      </c>
      <c r="BI147" s="238">
        <v>10</v>
      </c>
      <c r="BJ147" s="54">
        <f t="shared" si="278"/>
        <v>6.382639221318015E-4</v>
      </c>
      <c r="BK147" s="353">
        <f>+Расходы!I97/1000</f>
        <v>0</v>
      </c>
      <c r="BL147" s="54" t="str">
        <f t="shared" si="279"/>
        <v/>
      </c>
      <c r="BM147" s="468">
        <f t="shared" ref="BM147:BM178" si="308">IF(IFERROR(BK147/BI147-1,"")=0,"",IFERROR(+BK147/BI147-1,""))</f>
        <v>-1</v>
      </c>
      <c r="BN147" s="468" t="str">
        <f t="shared" ref="BN147:BN178" si="309">IF(IFERROR(BK147/BG147-1,"")=0,"",IFERROR(+BK147/BG147-1,""))</f>
        <v/>
      </c>
      <c r="BO147" s="344"/>
      <c r="BP147" s="54" t="str">
        <f t="shared" si="280"/>
        <v/>
      </c>
      <c r="BQ147" s="238">
        <v>10</v>
      </c>
      <c r="BR147" s="54">
        <f t="shared" si="281"/>
        <v>6.9060773480662981E-4</v>
      </c>
      <c r="BS147" s="353">
        <f>+Расходы!J97/1000</f>
        <v>0</v>
      </c>
      <c r="BT147" s="54" t="str">
        <f t="shared" si="282"/>
        <v/>
      </c>
      <c r="BU147" s="468">
        <f t="shared" ref="BU147:BU178" si="310">IF(IFERROR(BS147/BQ147-1,"")=0,"",IFERROR(+BS147/BQ147-1,""))</f>
        <v>-1</v>
      </c>
      <c r="BV147" s="468" t="str">
        <f t="shared" ref="BV147:BV178" si="311">IF(IFERROR(BS147/BO147-1,"")=0,"",IFERROR(+BS147/BO147-1,""))</f>
        <v/>
      </c>
      <c r="BW147" s="344"/>
      <c r="BX147" s="54" t="str">
        <f t="shared" si="283"/>
        <v/>
      </c>
      <c r="BY147" s="238">
        <v>0</v>
      </c>
      <c r="BZ147" s="54" t="str">
        <f t="shared" si="284"/>
        <v/>
      </c>
      <c r="CA147" s="353">
        <f>+Расходы!K97/1000</f>
        <v>0</v>
      </c>
      <c r="CB147" s="54" t="str">
        <f t="shared" si="285"/>
        <v/>
      </c>
      <c r="CC147" s="468" t="str">
        <f t="shared" ref="CC147:CC178" si="312">IF(IFERROR(CA147/BY147-1,"")=0,"",IFERROR(+CA147/BY147-1,""))</f>
        <v/>
      </c>
      <c r="CD147" s="468" t="str">
        <f t="shared" ref="CD147:CD178" si="313">IF(IFERROR(CA147/BW147-1,"")=0,"",IFERROR(+CA147/BW147-1,""))</f>
        <v/>
      </c>
      <c r="CE147" s="344"/>
      <c r="CF147" s="54" t="str">
        <f t="shared" si="286"/>
        <v/>
      </c>
      <c r="CG147" s="238">
        <v>0</v>
      </c>
      <c r="CH147" s="54" t="str">
        <f t="shared" si="287"/>
        <v/>
      </c>
      <c r="CI147" s="353">
        <f>+Расходы!L97/1000</f>
        <v>0</v>
      </c>
      <c r="CJ147" s="54" t="str">
        <f t="shared" si="288"/>
        <v/>
      </c>
      <c r="CK147" s="468" t="str">
        <f t="shared" ref="CK147:CK178" si="314">IF(IFERROR(CI147/CG147-1,"")=0,"",IFERROR(+CI147/CG147-1,""))</f>
        <v/>
      </c>
      <c r="CL147" s="468" t="str">
        <f t="shared" ref="CL147:CL178" si="315">IF(IFERROR(CI147/CE147-1,"")=0,"",IFERROR(+CI147/CE147-1,""))</f>
        <v/>
      </c>
      <c r="CM147" s="344"/>
      <c r="CN147" s="54" t="str">
        <f t="shared" si="289"/>
        <v/>
      </c>
      <c r="CO147" s="238">
        <v>0</v>
      </c>
      <c r="CP147" s="54" t="str">
        <f t="shared" si="290"/>
        <v/>
      </c>
      <c r="CQ147" s="353">
        <f>+Расходы!M97/1000</f>
        <v>0</v>
      </c>
      <c r="CR147" s="54" t="str">
        <f t="shared" si="291"/>
        <v/>
      </c>
      <c r="CS147" s="468" t="str">
        <f t="shared" ref="CS147:CS178" si="316">IF(IFERROR(CQ147/CO147-1,"")=0,"",IFERROR(+CQ147/CO147-1,""))</f>
        <v/>
      </c>
      <c r="CT147" s="468" t="str">
        <f t="shared" ref="CT147:CT178" si="317">IF(IFERROR(CQ147/CM147-1,"")=0,"",IFERROR(+CQ147/CM147-1,""))</f>
        <v/>
      </c>
      <c r="CU147" s="344">
        <f t="shared" si="292"/>
        <v>0</v>
      </c>
      <c r="CV147" s="54" t="str">
        <f t="shared" ref="CV147:CV178" si="318">IFERROR(CU147/CU$4,"")</f>
        <v/>
      </c>
      <c r="CW147" s="238">
        <f t="shared" si="293"/>
        <v>50.1</v>
      </c>
      <c r="CX147" s="54">
        <f t="shared" ref="CX147:CX178" si="319">IFERROR(CW147/CW$4,"")</f>
        <v>3.7779963245665617E-4</v>
      </c>
      <c r="CY147" s="353">
        <f t="shared" ref="CY147:CY178" si="320">SUM(G147,O147,W147,AE147,AM147,AU147,BC147,BK147,BS147,CA147,CI147,CQ147)</f>
        <v>18.771999999999998</v>
      </c>
      <c r="CZ147" s="54">
        <f t="shared" ref="CZ147:CZ178" si="321">IFERROR(CY147/CY$4,"")</f>
        <v>3.7839876807939095E-4</v>
      </c>
      <c r="DA147" s="468">
        <f t="shared" ref="DA147:DA178" si="322">IF(IFERROR(CY147/CW147-1,"")=0,"",IFERROR(+CY147/CW147-1,""))</f>
        <v>-0.625309381237525</v>
      </c>
      <c r="DB147" s="468" t="str">
        <f t="shared" ref="DB147:DB178" si="323">IF(IFERROR(CY147/CU147-1,"")=0,"",IFERROR(+CY147/CU147-1,""))</f>
        <v/>
      </c>
    </row>
    <row r="148" spans="2:106" s="103" customFormat="1" ht="13.15" customHeight="1" outlineLevel="2">
      <c r="B148" s="61" t="str">
        <f>+Расходы!A98</f>
        <v>Правовые системы</v>
      </c>
      <c r="C148" s="238"/>
      <c r="D148" s="54" t="str">
        <f t="shared" si="256"/>
        <v/>
      </c>
      <c r="E148" s="238"/>
      <c r="F148" s="54" t="str">
        <f t="shared" si="257"/>
        <v/>
      </c>
      <c r="G148" s="353">
        <f>+Расходы!B98/1000</f>
        <v>0</v>
      </c>
      <c r="H148" s="54" t="str">
        <f t="shared" si="258"/>
        <v/>
      </c>
      <c r="I148" s="468" t="str">
        <f t="shared" si="294"/>
        <v/>
      </c>
      <c r="J148" s="468" t="str">
        <f t="shared" si="295"/>
        <v/>
      </c>
      <c r="K148" s="238"/>
      <c r="L148" s="54" t="str">
        <f t="shared" si="259"/>
        <v/>
      </c>
      <c r="M148" s="238"/>
      <c r="N148" s="54" t="str">
        <f t="shared" si="260"/>
        <v/>
      </c>
      <c r="O148" s="353">
        <f>+Расходы!C98/1000</f>
        <v>0</v>
      </c>
      <c r="P148" s="54" t="str">
        <f t="shared" si="261"/>
        <v/>
      </c>
      <c r="Q148" s="468" t="str">
        <f t="shared" si="296"/>
        <v/>
      </c>
      <c r="R148" s="468" t="str">
        <f t="shared" si="297"/>
        <v/>
      </c>
      <c r="S148" s="238"/>
      <c r="T148" s="54" t="str">
        <f t="shared" si="262"/>
        <v/>
      </c>
      <c r="U148" s="238">
        <v>0</v>
      </c>
      <c r="V148" s="54" t="str">
        <f t="shared" si="263"/>
        <v/>
      </c>
      <c r="W148" s="353">
        <f>+Расходы!D98/1000</f>
        <v>0</v>
      </c>
      <c r="X148" s="54" t="str">
        <f t="shared" si="264"/>
        <v/>
      </c>
      <c r="Y148" s="468" t="str">
        <f t="shared" si="298"/>
        <v/>
      </c>
      <c r="Z148" s="468" t="str">
        <f t="shared" si="299"/>
        <v/>
      </c>
      <c r="AA148" s="238"/>
      <c r="AB148" s="54" t="str">
        <f t="shared" si="265"/>
        <v/>
      </c>
      <c r="AC148" s="238">
        <v>0</v>
      </c>
      <c r="AD148" s="54" t="str">
        <f t="shared" si="266"/>
        <v/>
      </c>
      <c r="AE148" s="353">
        <f>+Расходы!E98/1000</f>
        <v>0</v>
      </c>
      <c r="AF148" s="54" t="str">
        <f t="shared" si="267"/>
        <v/>
      </c>
      <c r="AG148" s="468" t="str">
        <f t="shared" si="300"/>
        <v/>
      </c>
      <c r="AH148" s="468" t="str">
        <f t="shared" si="301"/>
        <v/>
      </c>
      <c r="AI148" s="238"/>
      <c r="AJ148" s="54" t="str">
        <f t="shared" si="268"/>
        <v/>
      </c>
      <c r="AK148" s="238">
        <v>0</v>
      </c>
      <c r="AL148" s="54" t="str">
        <f t="shared" si="269"/>
        <v/>
      </c>
      <c r="AM148" s="353">
        <f>+Расходы!F98/1000</f>
        <v>0</v>
      </c>
      <c r="AN148" s="54" t="str">
        <f t="shared" si="270"/>
        <v/>
      </c>
      <c r="AO148" s="468" t="str">
        <f t="shared" si="302"/>
        <v/>
      </c>
      <c r="AP148" s="468" t="str">
        <f t="shared" si="303"/>
        <v/>
      </c>
      <c r="AQ148" s="344"/>
      <c r="AR148" s="54" t="str">
        <f t="shared" si="271"/>
        <v/>
      </c>
      <c r="AS148" s="238">
        <v>0</v>
      </c>
      <c r="AT148" s="54" t="str">
        <f t="shared" si="272"/>
        <v/>
      </c>
      <c r="AU148" s="353">
        <f>+Расходы!G98/1000</f>
        <v>0</v>
      </c>
      <c r="AV148" s="54" t="str">
        <f t="shared" si="273"/>
        <v/>
      </c>
      <c r="AW148" s="468" t="str">
        <f t="shared" si="304"/>
        <v/>
      </c>
      <c r="AX148" s="468" t="str">
        <f t="shared" si="305"/>
        <v/>
      </c>
      <c r="AY148" s="344"/>
      <c r="AZ148" s="54" t="str">
        <f t="shared" si="274"/>
        <v/>
      </c>
      <c r="BA148" s="238">
        <v>0</v>
      </c>
      <c r="BB148" s="54" t="str">
        <f t="shared" si="275"/>
        <v/>
      </c>
      <c r="BC148" s="353">
        <f>+Расходы!H98/1000</f>
        <v>0</v>
      </c>
      <c r="BD148" s="54" t="str">
        <f t="shared" si="276"/>
        <v/>
      </c>
      <c r="BE148" s="468" t="str">
        <f t="shared" si="306"/>
        <v/>
      </c>
      <c r="BF148" s="468" t="str">
        <f t="shared" si="307"/>
        <v/>
      </c>
      <c r="BG148" s="344"/>
      <c r="BH148" s="54" t="str">
        <f t="shared" si="277"/>
        <v/>
      </c>
      <c r="BI148" s="238">
        <v>0</v>
      </c>
      <c r="BJ148" s="54" t="str">
        <f t="shared" si="278"/>
        <v/>
      </c>
      <c r="BK148" s="353">
        <f>+Расходы!I98/1000</f>
        <v>0</v>
      </c>
      <c r="BL148" s="54" t="str">
        <f t="shared" si="279"/>
        <v/>
      </c>
      <c r="BM148" s="468" t="str">
        <f t="shared" si="308"/>
        <v/>
      </c>
      <c r="BN148" s="468" t="str">
        <f t="shared" si="309"/>
        <v/>
      </c>
      <c r="BO148" s="344"/>
      <c r="BP148" s="54" t="str">
        <f t="shared" si="280"/>
        <v/>
      </c>
      <c r="BQ148" s="238">
        <v>0</v>
      </c>
      <c r="BR148" s="54" t="str">
        <f t="shared" si="281"/>
        <v/>
      </c>
      <c r="BS148" s="353">
        <f>+Расходы!J98/1000</f>
        <v>0</v>
      </c>
      <c r="BT148" s="54" t="str">
        <f t="shared" si="282"/>
        <v/>
      </c>
      <c r="BU148" s="468" t="str">
        <f t="shared" si="310"/>
        <v/>
      </c>
      <c r="BV148" s="468" t="str">
        <f t="shared" si="311"/>
        <v/>
      </c>
      <c r="BW148" s="344"/>
      <c r="BX148" s="54" t="str">
        <f t="shared" si="283"/>
        <v/>
      </c>
      <c r="BY148" s="238">
        <v>0</v>
      </c>
      <c r="BZ148" s="54" t="str">
        <f t="shared" si="284"/>
        <v/>
      </c>
      <c r="CA148" s="353">
        <f>+Расходы!K98/1000</f>
        <v>0</v>
      </c>
      <c r="CB148" s="54" t="str">
        <f t="shared" si="285"/>
        <v/>
      </c>
      <c r="CC148" s="468" t="str">
        <f t="shared" si="312"/>
        <v/>
      </c>
      <c r="CD148" s="468" t="str">
        <f t="shared" si="313"/>
        <v/>
      </c>
      <c r="CE148" s="344"/>
      <c r="CF148" s="54" t="str">
        <f t="shared" si="286"/>
        <v/>
      </c>
      <c r="CG148" s="238">
        <v>0</v>
      </c>
      <c r="CH148" s="54" t="str">
        <f t="shared" si="287"/>
        <v/>
      </c>
      <c r="CI148" s="353">
        <f>+Расходы!L98/1000</f>
        <v>0</v>
      </c>
      <c r="CJ148" s="54" t="str">
        <f t="shared" si="288"/>
        <v/>
      </c>
      <c r="CK148" s="468" t="str">
        <f t="shared" si="314"/>
        <v/>
      </c>
      <c r="CL148" s="468" t="str">
        <f t="shared" si="315"/>
        <v/>
      </c>
      <c r="CM148" s="344"/>
      <c r="CN148" s="54" t="str">
        <f t="shared" si="289"/>
        <v/>
      </c>
      <c r="CO148" s="238">
        <v>0</v>
      </c>
      <c r="CP148" s="54" t="str">
        <f t="shared" si="290"/>
        <v/>
      </c>
      <c r="CQ148" s="353">
        <f>+Расходы!M98/1000</f>
        <v>0</v>
      </c>
      <c r="CR148" s="54" t="str">
        <f t="shared" si="291"/>
        <v/>
      </c>
      <c r="CS148" s="468" t="str">
        <f t="shared" si="316"/>
        <v/>
      </c>
      <c r="CT148" s="468" t="str">
        <f t="shared" si="317"/>
        <v/>
      </c>
      <c r="CU148" s="344">
        <f t="shared" si="292"/>
        <v>0</v>
      </c>
      <c r="CV148" s="54" t="str">
        <f t="shared" si="318"/>
        <v/>
      </c>
      <c r="CW148" s="238">
        <f t="shared" si="293"/>
        <v>0</v>
      </c>
      <c r="CX148" s="54">
        <f t="shared" si="319"/>
        <v>0</v>
      </c>
      <c r="CY148" s="353">
        <f t="shared" si="320"/>
        <v>0</v>
      </c>
      <c r="CZ148" s="54">
        <f t="shared" si="321"/>
        <v>0</v>
      </c>
      <c r="DA148" s="468" t="str">
        <f t="shared" si="322"/>
        <v/>
      </c>
      <c r="DB148" s="468" t="str">
        <f t="shared" si="323"/>
        <v/>
      </c>
    </row>
    <row r="149" spans="2:106" s="103" customFormat="1" ht="13.15" customHeight="1" outlineLevel="2">
      <c r="B149" s="61" t="str">
        <f>+Расходы!A99</f>
        <v>Программное обеспечение</v>
      </c>
      <c r="C149" s="238"/>
      <c r="D149" s="54" t="str">
        <f t="shared" ref="D149:D180" si="324">IF(IFERROR(C149/C$4,"")=0,"",IFERROR(C149/C$4,""))</f>
        <v/>
      </c>
      <c r="E149" s="238"/>
      <c r="F149" s="54" t="str">
        <f t="shared" ref="F149:F180" si="325">IF(IFERROR(E149/E$4,"")=0,"",IFERROR(E149/E$4,""))</f>
        <v/>
      </c>
      <c r="G149" s="353">
        <f>+Расходы!B99/1000</f>
        <v>0</v>
      </c>
      <c r="H149" s="54" t="str">
        <f t="shared" ref="H149:H180" si="326">IF(IFERROR(G149/G$4,"")=0,"",IFERROR(G149/G$4,""))</f>
        <v/>
      </c>
      <c r="I149" s="468" t="str">
        <f t="shared" si="294"/>
        <v/>
      </c>
      <c r="J149" s="468" t="str">
        <f t="shared" si="295"/>
        <v/>
      </c>
      <c r="K149" s="238"/>
      <c r="L149" s="54" t="str">
        <f t="shared" ref="L149:L180" si="327">IF(IFERROR(K149/K$4,"")=0,"",IFERROR(K149/K$4,""))</f>
        <v/>
      </c>
      <c r="M149" s="238"/>
      <c r="N149" s="54" t="str">
        <f t="shared" ref="N149:N180" si="328">IF(IFERROR(M149/M$4,"")=0,"",IFERROR(M149/M$4,""))</f>
        <v/>
      </c>
      <c r="O149" s="353">
        <f>+Расходы!C99/1000</f>
        <v>0</v>
      </c>
      <c r="P149" s="54" t="str">
        <f t="shared" ref="P149:P180" si="329">IF(IFERROR(O149/O$4,"")=0,"",IFERROR(O149/O$4,""))</f>
        <v/>
      </c>
      <c r="Q149" s="468" t="str">
        <f t="shared" si="296"/>
        <v/>
      </c>
      <c r="R149" s="468" t="str">
        <f t="shared" si="297"/>
        <v/>
      </c>
      <c r="S149" s="238"/>
      <c r="T149" s="54" t="str">
        <f t="shared" ref="T149:T180" si="330">IF(IFERROR(S149/S$4,"")=0,"",IFERROR(S149/S$4,""))</f>
        <v/>
      </c>
      <c r="U149" s="238">
        <v>0</v>
      </c>
      <c r="V149" s="54" t="str">
        <f t="shared" ref="V149:V180" si="331">IF(IFERROR(U149/U$4,"")=0,"",IFERROR(U149/U$4,""))</f>
        <v/>
      </c>
      <c r="W149" s="353">
        <f>+Расходы!D99/1000</f>
        <v>0</v>
      </c>
      <c r="X149" s="54" t="str">
        <f t="shared" ref="X149:X180" si="332">IF(IFERROR(W149/W$4,"")=0,"",IFERROR(W149/W$4,""))</f>
        <v/>
      </c>
      <c r="Y149" s="468" t="str">
        <f t="shared" si="298"/>
        <v/>
      </c>
      <c r="Z149" s="468" t="str">
        <f t="shared" si="299"/>
        <v/>
      </c>
      <c r="AA149" s="238"/>
      <c r="AB149" s="54" t="str">
        <f t="shared" ref="AB149:AB180" si="333">IF(IFERROR(AA149/AA$4,"")=0,"",IFERROR(AA149/AA$4,""))</f>
        <v/>
      </c>
      <c r="AC149" s="238">
        <v>0</v>
      </c>
      <c r="AD149" s="54" t="str">
        <f t="shared" ref="AD149:AD180" si="334">IF(IFERROR(AC149/AC$4,"")=0,"",IFERROR(AC149/AC$4,""))</f>
        <v/>
      </c>
      <c r="AE149" s="353">
        <f>+Расходы!E99/1000</f>
        <v>26.888999999999999</v>
      </c>
      <c r="AF149" s="54">
        <f t="shared" ref="AF149:AF180" si="335">IF(IFERROR(AE149/AE$4,"")=0,"",IFERROR(AE149/AE$4,""))</f>
        <v>1.960811480908905E-3</v>
      </c>
      <c r="AG149" s="468" t="str">
        <f t="shared" si="300"/>
        <v/>
      </c>
      <c r="AH149" s="468" t="str">
        <f t="shared" si="301"/>
        <v/>
      </c>
      <c r="AI149" s="238"/>
      <c r="AJ149" s="54" t="str">
        <f t="shared" ref="AJ149:AJ180" si="336">IF(IFERROR(AI149/AI$4,"")=0,"",IFERROR(AI149/AI$4,""))</f>
        <v/>
      </c>
      <c r="AK149" s="238">
        <v>0</v>
      </c>
      <c r="AL149" s="54" t="str">
        <f t="shared" ref="AL149:AL180" si="337">IF(IFERROR(AK149/AK$4,"")=0,"",IFERROR(AK149/AK$4,""))</f>
        <v/>
      </c>
      <c r="AM149" s="353">
        <f>+Расходы!F99/1000</f>
        <v>22.1</v>
      </c>
      <c r="AN149" s="54">
        <f t="shared" ref="AN149:AN180" si="338">IF(IFERROR(AM149/AM$4,"")=0,"",IFERROR(AM149/AM$4,""))</f>
        <v>1.4065154121631126E-3</v>
      </c>
      <c r="AO149" s="468" t="str">
        <f t="shared" si="302"/>
        <v/>
      </c>
      <c r="AP149" s="468" t="str">
        <f t="shared" si="303"/>
        <v/>
      </c>
      <c r="AQ149" s="344"/>
      <c r="AR149" s="54" t="str">
        <f t="shared" ref="AR149:AR180" si="339">IF(IFERROR(AQ149/AQ$4,"")=0,"",IFERROR(AQ149/AQ$4,""))</f>
        <v/>
      </c>
      <c r="AS149" s="238">
        <v>0</v>
      </c>
      <c r="AT149" s="54" t="str">
        <f t="shared" ref="AT149:AT180" si="340">IF(IFERROR(AS149/AS$4,"")=0,"",IFERROR(AS149/AS$4,""))</f>
        <v/>
      </c>
      <c r="AU149" s="353">
        <f>+Расходы!G99/1000</f>
        <v>31.388999999999999</v>
      </c>
      <c r="AV149" s="54">
        <f t="shared" ref="AV149:AV180" si="341">IF(IFERROR(AU149/AU$4,"")=0,"",IFERROR(AU149/AU$4,""))</f>
        <v>2.2022189729278396E-3</v>
      </c>
      <c r="AW149" s="468" t="str">
        <f t="shared" si="304"/>
        <v/>
      </c>
      <c r="AX149" s="468" t="str">
        <f t="shared" si="305"/>
        <v/>
      </c>
      <c r="AY149" s="344"/>
      <c r="AZ149" s="54" t="str">
        <f t="shared" ref="AZ149:AZ180" si="342">IF(IFERROR(AY149/AY$4,"")=0,"",IFERROR(AY149/AY$4,""))</f>
        <v/>
      </c>
      <c r="BA149" s="238">
        <v>0</v>
      </c>
      <c r="BB149" s="54" t="str">
        <f t="shared" ref="BB149:BB180" si="343">IF(IFERROR(BA149/BA$4,"")=0,"",IFERROR(BA149/BA$4,""))</f>
        <v/>
      </c>
      <c r="BC149" s="353">
        <f>+Расходы!H99/1000</f>
        <v>0</v>
      </c>
      <c r="BD149" s="54" t="str">
        <f t="shared" ref="BD149:BD180" si="344">IF(IFERROR(BC149/BC$4,"")=0,"",IFERROR(BC149/BC$4,""))</f>
        <v/>
      </c>
      <c r="BE149" s="468" t="str">
        <f t="shared" si="306"/>
        <v/>
      </c>
      <c r="BF149" s="468" t="str">
        <f t="shared" si="307"/>
        <v/>
      </c>
      <c r="BG149" s="344"/>
      <c r="BH149" s="54" t="str">
        <f t="shared" ref="BH149:BH180" si="345">IF(IFERROR(BG149/BG$4,"")=0,"",IFERROR(BG149/BG$4,""))</f>
        <v/>
      </c>
      <c r="BI149" s="238">
        <v>0</v>
      </c>
      <c r="BJ149" s="54" t="str">
        <f t="shared" ref="BJ149:BJ180" si="346">IF(IFERROR(BI149/BI$4,"")=0,"",IFERROR(BI149/BI$4,""))</f>
        <v/>
      </c>
      <c r="BK149" s="353">
        <f>+Расходы!I99/1000</f>
        <v>0</v>
      </c>
      <c r="BL149" s="54" t="str">
        <f t="shared" ref="BL149:BL180" si="347">IF(IFERROR(BK149/BK$4,"")=0,"",IFERROR(BK149/BK$4,""))</f>
        <v/>
      </c>
      <c r="BM149" s="468" t="str">
        <f t="shared" si="308"/>
        <v/>
      </c>
      <c r="BN149" s="468" t="str">
        <f t="shared" si="309"/>
        <v/>
      </c>
      <c r="BO149" s="344"/>
      <c r="BP149" s="54" t="str">
        <f t="shared" ref="BP149:BP180" si="348">IF(IFERROR(BO149/BO$4,"")=0,"",IFERROR(BO149/BO$4,""))</f>
        <v/>
      </c>
      <c r="BQ149" s="238">
        <v>0</v>
      </c>
      <c r="BR149" s="54" t="str">
        <f t="shared" ref="BR149:BR180" si="349">IF(IFERROR(BQ149/BQ$4,"")=0,"",IFERROR(BQ149/BQ$4,""))</f>
        <v/>
      </c>
      <c r="BS149" s="353">
        <f>+Расходы!J99/1000</f>
        <v>0</v>
      </c>
      <c r="BT149" s="54" t="str">
        <f t="shared" ref="BT149:BT180" si="350">IF(IFERROR(BS149/BS$4,"")=0,"",IFERROR(BS149/BS$4,""))</f>
        <v/>
      </c>
      <c r="BU149" s="468" t="str">
        <f t="shared" si="310"/>
        <v/>
      </c>
      <c r="BV149" s="468" t="str">
        <f t="shared" si="311"/>
        <v/>
      </c>
      <c r="BW149" s="344"/>
      <c r="BX149" s="54" t="str">
        <f t="shared" ref="BX149:BX180" si="351">IF(IFERROR(BW149/BW$4,"")=0,"",IFERROR(BW149/BW$4,""))</f>
        <v/>
      </c>
      <c r="BY149" s="238">
        <v>0</v>
      </c>
      <c r="BZ149" s="54" t="str">
        <f t="shared" ref="BZ149:BZ180" si="352">IF(IFERROR(BY149/BY$4,"")=0,"",IFERROR(BY149/BY$4,""))</f>
        <v/>
      </c>
      <c r="CA149" s="353">
        <f>+Расходы!K99/1000</f>
        <v>0</v>
      </c>
      <c r="CB149" s="54" t="str">
        <f t="shared" ref="CB149:CB180" si="353">IF(IFERROR(CA149/CA$4,"")=0,"",IFERROR(CA149/CA$4,""))</f>
        <v/>
      </c>
      <c r="CC149" s="468" t="str">
        <f t="shared" si="312"/>
        <v/>
      </c>
      <c r="CD149" s="468" t="str">
        <f t="shared" si="313"/>
        <v/>
      </c>
      <c r="CE149" s="344"/>
      <c r="CF149" s="54" t="str">
        <f t="shared" ref="CF149:CF180" si="354">IF(IFERROR(CE149/CE$4,"")=0,"",IFERROR(CE149/CE$4,""))</f>
        <v/>
      </c>
      <c r="CG149" s="238">
        <v>0</v>
      </c>
      <c r="CH149" s="54" t="str">
        <f t="shared" ref="CH149:CH180" si="355">IF(IFERROR(CG149/CG$4,"")=0,"",IFERROR(CG149/CG$4,""))</f>
        <v/>
      </c>
      <c r="CI149" s="353">
        <f>+Расходы!L99/1000</f>
        <v>0</v>
      </c>
      <c r="CJ149" s="54" t="str">
        <f t="shared" ref="CJ149:CJ180" si="356">IF(IFERROR(CI149/CI$4,"")=0,"",IFERROR(CI149/CI$4,""))</f>
        <v/>
      </c>
      <c r="CK149" s="468" t="str">
        <f t="shared" si="314"/>
        <v/>
      </c>
      <c r="CL149" s="468" t="str">
        <f t="shared" si="315"/>
        <v/>
      </c>
      <c r="CM149" s="344"/>
      <c r="CN149" s="54" t="str">
        <f t="shared" ref="CN149:CN180" si="357">IF(IFERROR(CM149/CM$4,"")=0,"",IFERROR(CM149/CM$4,""))</f>
        <v/>
      </c>
      <c r="CO149" s="238">
        <v>0</v>
      </c>
      <c r="CP149" s="54" t="str">
        <f t="shared" ref="CP149:CP180" si="358">IF(IFERROR(CO149/CO$4,"")=0,"",IFERROR(CO149/CO$4,""))</f>
        <v/>
      </c>
      <c r="CQ149" s="353">
        <f>+Расходы!M99/1000</f>
        <v>0</v>
      </c>
      <c r="CR149" s="54" t="str">
        <f t="shared" ref="CR149:CR180" si="359">IF(IFERROR(CQ149/CQ$4,"")=0,"",IFERROR(CQ149/CQ$4,""))</f>
        <v/>
      </c>
      <c r="CS149" s="468" t="str">
        <f t="shared" si="316"/>
        <v/>
      </c>
      <c r="CT149" s="468" t="str">
        <f t="shared" si="317"/>
        <v/>
      </c>
      <c r="CU149" s="344">
        <f t="shared" si="292"/>
        <v>0</v>
      </c>
      <c r="CV149" s="54" t="str">
        <f t="shared" si="318"/>
        <v/>
      </c>
      <c r="CW149" s="238">
        <f t="shared" si="293"/>
        <v>0</v>
      </c>
      <c r="CX149" s="54">
        <f t="shared" si="319"/>
        <v>0</v>
      </c>
      <c r="CY149" s="353">
        <f t="shared" si="320"/>
        <v>80.378</v>
      </c>
      <c r="CZ149" s="54">
        <f t="shared" si="321"/>
        <v>1.620228861106184E-3</v>
      </c>
      <c r="DA149" s="468" t="str">
        <f t="shared" si="322"/>
        <v/>
      </c>
      <c r="DB149" s="468" t="str">
        <f t="shared" si="323"/>
        <v/>
      </c>
    </row>
    <row r="150" spans="2:106" s="103" customFormat="1" ht="13.15" customHeight="1" outlineLevel="2">
      <c r="B150" s="61" t="str">
        <f>+Расходы!A100</f>
        <v>Ремонт имущества</v>
      </c>
      <c r="C150" s="238"/>
      <c r="D150" s="54" t="str">
        <f t="shared" si="324"/>
        <v/>
      </c>
      <c r="E150" s="238"/>
      <c r="F150" s="54" t="str">
        <f t="shared" si="325"/>
        <v/>
      </c>
      <c r="G150" s="353">
        <f>+Расходы!B100/1000</f>
        <v>0</v>
      </c>
      <c r="H150" s="54" t="str">
        <f t="shared" si="326"/>
        <v/>
      </c>
      <c r="I150" s="468" t="str">
        <f t="shared" si="294"/>
        <v/>
      </c>
      <c r="J150" s="468" t="str">
        <f t="shared" si="295"/>
        <v/>
      </c>
      <c r="K150" s="238"/>
      <c r="L150" s="54" t="str">
        <f t="shared" si="327"/>
        <v/>
      </c>
      <c r="M150" s="238"/>
      <c r="N150" s="54" t="str">
        <f t="shared" si="328"/>
        <v/>
      </c>
      <c r="O150" s="353">
        <f>+Расходы!C100/1000</f>
        <v>0</v>
      </c>
      <c r="P150" s="54" t="str">
        <f t="shared" si="329"/>
        <v/>
      </c>
      <c r="Q150" s="468" t="str">
        <f t="shared" si="296"/>
        <v/>
      </c>
      <c r="R150" s="468" t="str">
        <f t="shared" si="297"/>
        <v/>
      </c>
      <c r="S150" s="238"/>
      <c r="T150" s="54" t="str">
        <f t="shared" si="330"/>
        <v/>
      </c>
      <c r="U150" s="238">
        <v>0</v>
      </c>
      <c r="V150" s="54" t="str">
        <f t="shared" si="331"/>
        <v/>
      </c>
      <c r="W150" s="353">
        <f>+Расходы!D100/1000</f>
        <v>0</v>
      </c>
      <c r="X150" s="54" t="str">
        <f t="shared" si="332"/>
        <v/>
      </c>
      <c r="Y150" s="468" t="str">
        <f t="shared" si="298"/>
        <v/>
      </c>
      <c r="Z150" s="468" t="str">
        <f t="shared" si="299"/>
        <v/>
      </c>
      <c r="AA150" s="238"/>
      <c r="AB150" s="54" t="str">
        <f t="shared" si="333"/>
        <v/>
      </c>
      <c r="AC150" s="238">
        <v>30</v>
      </c>
      <c r="AD150" s="54">
        <f t="shared" si="334"/>
        <v>2.1942913316715233E-3</v>
      </c>
      <c r="AE150" s="353">
        <f>+Расходы!E100/1000</f>
        <v>0</v>
      </c>
      <c r="AF150" s="54" t="str">
        <f t="shared" si="335"/>
        <v/>
      </c>
      <c r="AG150" s="468">
        <f t="shared" si="300"/>
        <v>-1</v>
      </c>
      <c r="AH150" s="468" t="str">
        <f t="shared" si="301"/>
        <v/>
      </c>
      <c r="AI150" s="238"/>
      <c r="AJ150" s="54" t="str">
        <f t="shared" si="336"/>
        <v/>
      </c>
      <c r="AK150" s="238">
        <v>50</v>
      </c>
      <c r="AL150" s="54">
        <f t="shared" si="337"/>
        <v>3.5785857429144001E-3</v>
      </c>
      <c r="AM150" s="353">
        <f>+Расходы!F100/1000</f>
        <v>10.643000000000001</v>
      </c>
      <c r="AN150" s="54">
        <f t="shared" si="338"/>
        <v>6.7735491093447999E-4</v>
      </c>
      <c r="AO150" s="468">
        <f t="shared" si="302"/>
        <v>-0.78713999999999995</v>
      </c>
      <c r="AP150" s="468" t="str">
        <f t="shared" si="303"/>
        <v/>
      </c>
      <c r="AQ150" s="344"/>
      <c r="AR150" s="54" t="str">
        <f t="shared" si="339"/>
        <v/>
      </c>
      <c r="AS150" s="238">
        <v>50</v>
      </c>
      <c r="AT150" s="54">
        <f t="shared" si="340"/>
        <v>3.3156498673740055E-3</v>
      </c>
      <c r="AU150" s="353">
        <f>+Расходы!G100/1000</f>
        <v>1.843</v>
      </c>
      <c r="AV150" s="54">
        <f t="shared" si="341"/>
        <v>1.2930292672930034E-4</v>
      </c>
      <c r="AW150" s="468">
        <f t="shared" si="304"/>
        <v>-0.96314</v>
      </c>
      <c r="AX150" s="468" t="str">
        <f t="shared" si="305"/>
        <v/>
      </c>
      <c r="AY150" s="344"/>
      <c r="AZ150" s="54" t="str">
        <f t="shared" si="342"/>
        <v/>
      </c>
      <c r="BA150" s="238">
        <v>50</v>
      </c>
      <c r="BB150" s="54">
        <f t="shared" si="343"/>
        <v>3.1913196106590075E-3</v>
      </c>
      <c r="BC150" s="353">
        <f>+Расходы!H100/1000</f>
        <v>0</v>
      </c>
      <c r="BD150" s="54" t="str">
        <f t="shared" si="344"/>
        <v/>
      </c>
      <c r="BE150" s="468">
        <f t="shared" si="306"/>
        <v>-1</v>
      </c>
      <c r="BF150" s="468" t="str">
        <f t="shared" si="307"/>
        <v/>
      </c>
      <c r="BG150" s="344"/>
      <c r="BH150" s="54" t="str">
        <f t="shared" si="345"/>
        <v/>
      </c>
      <c r="BI150" s="238">
        <v>50</v>
      </c>
      <c r="BJ150" s="54">
        <f t="shared" si="346"/>
        <v>3.1913196106590075E-3</v>
      </c>
      <c r="BK150" s="353">
        <f>+Расходы!I100/1000</f>
        <v>0</v>
      </c>
      <c r="BL150" s="54" t="str">
        <f t="shared" si="347"/>
        <v/>
      </c>
      <c r="BM150" s="468">
        <f t="shared" si="308"/>
        <v>-1</v>
      </c>
      <c r="BN150" s="468" t="str">
        <f t="shared" si="309"/>
        <v/>
      </c>
      <c r="BO150" s="344"/>
      <c r="BP150" s="54" t="str">
        <f t="shared" si="348"/>
        <v/>
      </c>
      <c r="BQ150" s="238">
        <v>50</v>
      </c>
      <c r="BR150" s="54">
        <f t="shared" si="349"/>
        <v>3.453038674033149E-3</v>
      </c>
      <c r="BS150" s="353">
        <f>+Расходы!J100/1000</f>
        <v>0</v>
      </c>
      <c r="BT150" s="54" t="str">
        <f t="shared" si="350"/>
        <v/>
      </c>
      <c r="BU150" s="468">
        <f t="shared" si="310"/>
        <v>-1</v>
      </c>
      <c r="BV150" s="468" t="str">
        <f t="shared" si="311"/>
        <v/>
      </c>
      <c r="BW150" s="344"/>
      <c r="BX150" s="54" t="str">
        <f t="shared" si="351"/>
        <v/>
      </c>
      <c r="BY150" s="238">
        <v>0</v>
      </c>
      <c r="BZ150" s="54" t="str">
        <f t="shared" si="352"/>
        <v/>
      </c>
      <c r="CA150" s="353">
        <f>+Расходы!K100/1000</f>
        <v>0</v>
      </c>
      <c r="CB150" s="54" t="str">
        <f t="shared" si="353"/>
        <v/>
      </c>
      <c r="CC150" s="468" t="str">
        <f t="shared" si="312"/>
        <v/>
      </c>
      <c r="CD150" s="468" t="str">
        <f t="shared" si="313"/>
        <v/>
      </c>
      <c r="CE150" s="344"/>
      <c r="CF150" s="54" t="str">
        <f t="shared" si="354"/>
        <v/>
      </c>
      <c r="CG150" s="238">
        <v>0</v>
      </c>
      <c r="CH150" s="54" t="str">
        <f t="shared" si="355"/>
        <v/>
      </c>
      <c r="CI150" s="353">
        <f>+Расходы!L100/1000</f>
        <v>0</v>
      </c>
      <c r="CJ150" s="54" t="str">
        <f t="shared" si="356"/>
        <v/>
      </c>
      <c r="CK150" s="468" t="str">
        <f t="shared" si="314"/>
        <v/>
      </c>
      <c r="CL150" s="468" t="str">
        <f t="shared" si="315"/>
        <v/>
      </c>
      <c r="CM150" s="344"/>
      <c r="CN150" s="54" t="str">
        <f t="shared" si="357"/>
        <v/>
      </c>
      <c r="CO150" s="238">
        <v>0</v>
      </c>
      <c r="CP150" s="54" t="str">
        <f t="shared" si="358"/>
        <v/>
      </c>
      <c r="CQ150" s="353">
        <f>+Расходы!M100/1000</f>
        <v>0</v>
      </c>
      <c r="CR150" s="54" t="str">
        <f t="shared" si="359"/>
        <v/>
      </c>
      <c r="CS150" s="468" t="str">
        <f t="shared" si="316"/>
        <v/>
      </c>
      <c r="CT150" s="468" t="str">
        <f t="shared" si="317"/>
        <v/>
      </c>
      <c r="CU150" s="344">
        <f t="shared" si="292"/>
        <v>0</v>
      </c>
      <c r="CV150" s="54" t="str">
        <f t="shared" si="318"/>
        <v/>
      </c>
      <c r="CW150" s="238">
        <f t="shared" si="293"/>
        <v>280</v>
      </c>
      <c r="CX150" s="54">
        <f t="shared" si="319"/>
        <v>2.1114550316938866E-3</v>
      </c>
      <c r="CY150" s="353">
        <f t="shared" si="320"/>
        <v>12.486000000000001</v>
      </c>
      <c r="CZ150" s="54">
        <f t="shared" si="321"/>
        <v>2.5168799372678863E-4</v>
      </c>
      <c r="DA150" s="468">
        <f t="shared" si="322"/>
        <v>-0.9554071428571429</v>
      </c>
      <c r="DB150" s="468" t="str">
        <f t="shared" si="323"/>
        <v/>
      </c>
    </row>
    <row r="151" spans="2:106" s="103" customFormat="1" ht="13.15" customHeight="1" outlineLevel="2">
      <c r="B151" s="61" t="str">
        <f>+Расходы!A101</f>
        <v>Ремонт текущий</v>
      </c>
      <c r="C151" s="238"/>
      <c r="D151" s="54" t="str">
        <f t="shared" si="324"/>
        <v/>
      </c>
      <c r="E151" s="238"/>
      <c r="F151" s="54" t="str">
        <f t="shared" si="325"/>
        <v/>
      </c>
      <c r="G151" s="353">
        <f>+Расходы!B101/1000</f>
        <v>0</v>
      </c>
      <c r="H151" s="54" t="str">
        <f t="shared" si="326"/>
        <v/>
      </c>
      <c r="I151" s="468" t="str">
        <f t="shared" si="294"/>
        <v/>
      </c>
      <c r="J151" s="468" t="str">
        <f t="shared" si="295"/>
        <v/>
      </c>
      <c r="K151" s="238"/>
      <c r="L151" s="54" t="str">
        <f t="shared" si="327"/>
        <v/>
      </c>
      <c r="M151" s="238"/>
      <c r="N151" s="54" t="str">
        <f t="shared" si="328"/>
        <v/>
      </c>
      <c r="O151" s="353">
        <f>+Расходы!C101/1000</f>
        <v>0</v>
      </c>
      <c r="P151" s="54" t="str">
        <f t="shared" si="329"/>
        <v/>
      </c>
      <c r="Q151" s="468" t="str">
        <f t="shared" si="296"/>
        <v/>
      </c>
      <c r="R151" s="468" t="str">
        <f t="shared" si="297"/>
        <v/>
      </c>
      <c r="S151" s="238"/>
      <c r="T151" s="54" t="str">
        <f t="shared" si="330"/>
        <v/>
      </c>
      <c r="U151" s="238">
        <v>0</v>
      </c>
      <c r="V151" s="54" t="str">
        <f t="shared" si="331"/>
        <v/>
      </c>
      <c r="W151" s="353">
        <f>+Расходы!D101/1000</f>
        <v>0</v>
      </c>
      <c r="X151" s="54" t="str">
        <f t="shared" si="332"/>
        <v/>
      </c>
      <c r="Y151" s="468" t="str">
        <f t="shared" si="298"/>
        <v/>
      </c>
      <c r="Z151" s="468" t="str">
        <f t="shared" si="299"/>
        <v/>
      </c>
      <c r="AA151" s="238"/>
      <c r="AB151" s="54" t="str">
        <f t="shared" si="333"/>
        <v/>
      </c>
      <c r="AC151" s="238">
        <v>0</v>
      </c>
      <c r="AD151" s="54" t="str">
        <f t="shared" si="334"/>
        <v/>
      </c>
      <c r="AE151" s="353">
        <f>+Расходы!E101/1000</f>
        <v>0</v>
      </c>
      <c r="AF151" s="54" t="str">
        <f t="shared" si="335"/>
        <v/>
      </c>
      <c r="AG151" s="468" t="str">
        <f t="shared" si="300"/>
        <v/>
      </c>
      <c r="AH151" s="468" t="str">
        <f t="shared" si="301"/>
        <v/>
      </c>
      <c r="AI151" s="238"/>
      <c r="AJ151" s="54" t="str">
        <f t="shared" si="336"/>
        <v/>
      </c>
      <c r="AK151" s="238">
        <v>20</v>
      </c>
      <c r="AL151" s="54">
        <f t="shared" si="337"/>
        <v>1.4314342971657602E-3</v>
      </c>
      <c r="AM151" s="353">
        <f>+Расходы!F101/1000</f>
        <v>5.5</v>
      </c>
      <c r="AN151" s="54">
        <f t="shared" si="338"/>
        <v>3.5003777225778819E-4</v>
      </c>
      <c r="AO151" s="468">
        <f t="shared" si="302"/>
        <v>-0.72499999999999998</v>
      </c>
      <c r="AP151" s="468" t="str">
        <f t="shared" si="303"/>
        <v/>
      </c>
      <c r="AQ151" s="344"/>
      <c r="AR151" s="54" t="str">
        <f t="shared" si="339"/>
        <v/>
      </c>
      <c r="AS151" s="238">
        <v>20</v>
      </c>
      <c r="AT151" s="54">
        <f t="shared" si="340"/>
        <v>1.3262599469496021E-3</v>
      </c>
      <c r="AU151" s="353">
        <f>+Расходы!G101/1000</f>
        <v>1</v>
      </c>
      <c r="AV151" s="54">
        <f t="shared" si="341"/>
        <v>7.0158940167824386E-5</v>
      </c>
      <c r="AW151" s="468">
        <f t="shared" si="304"/>
        <v>-0.95</v>
      </c>
      <c r="AX151" s="468" t="str">
        <f t="shared" si="305"/>
        <v/>
      </c>
      <c r="AY151" s="344"/>
      <c r="AZ151" s="54" t="str">
        <f t="shared" si="342"/>
        <v/>
      </c>
      <c r="BA151" s="238">
        <v>20</v>
      </c>
      <c r="BB151" s="54">
        <f t="shared" si="343"/>
        <v>1.276527844263603E-3</v>
      </c>
      <c r="BC151" s="353">
        <f>+Расходы!H101/1000</f>
        <v>0</v>
      </c>
      <c r="BD151" s="54" t="str">
        <f t="shared" si="344"/>
        <v/>
      </c>
      <c r="BE151" s="468">
        <f t="shared" si="306"/>
        <v>-1</v>
      </c>
      <c r="BF151" s="468" t="str">
        <f t="shared" si="307"/>
        <v/>
      </c>
      <c r="BG151" s="344"/>
      <c r="BH151" s="54" t="str">
        <f t="shared" si="345"/>
        <v/>
      </c>
      <c r="BI151" s="238">
        <v>20</v>
      </c>
      <c r="BJ151" s="54">
        <f t="shared" si="346"/>
        <v>1.276527844263603E-3</v>
      </c>
      <c r="BK151" s="353">
        <f>+Расходы!I101/1000</f>
        <v>0</v>
      </c>
      <c r="BL151" s="54" t="str">
        <f t="shared" si="347"/>
        <v/>
      </c>
      <c r="BM151" s="468">
        <f t="shared" si="308"/>
        <v>-1</v>
      </c>
      <c r="BN151" s="468" t="str">
        <f t="shared" si="309"/>
        <v/>
      </c>
      <c r="BO151" s="344"/>
      <c r="BP151" s="54" t="str">
        <f t="shared" si="348"/>
        <v/>
      </c>
      <c r="BQ151" s="238">
        <v>20</v>
      </c>
      <c r="BR151" s="54">
        <f t="shared" si="349"/>
        <v>1.3812154696132596E-3</v>
      </c>
      <c r="BS151" s="353">
        <f>+Расходы!J101/1000</f>
        <v>0</v>
      </c>
      <c r="BT151" s="54" t="str">
        <f t="shared" si="350"/>
        <v/>
      </c>
      <c r="BU151" s="468">
        <f t="shared" si="310"/>
        <v>-1</v>
      </c>
      <c r="BV151" s="468" t="str">
        <f t="shared" si="311"/>
        <v/>
      </c>
      <c r="BW151" s="344"/>
      <c r="BX151" s="54" t="str">
        <f t="shared" si="351"/>
        <v/>
      </c>
      <c r="BY151" s="238">
        <v>0</v>
      </c>
      <c r="BZ151" s="54" t="str">
        <f t="shared" si="352"/>
        <v/>
      </c>
      <c r="CA151" s="353">
        <f>+Расходы!K101/1000</f>
        <v>0</v>
      </c>
      <c r="CB151" s="54" t="str">
        <f t="shared" si="353"/>
        <v/>
      </c>
      <c r="CC151" s="468" t="str">
        <f t="shared" si="312"/>
        <v/>
      </c>
      <c r="CD151" s="468" t="str">
        <f t="shared" si="313"/>
        <v/>
      </c>
      <c r="CE151" s="344"/>
      <c r="CF151" s="54" t="str">
        <f t="shared" si="354"/>
        <v/>
      </c>
      <c r="CG151" s="238">
        <v>0</v>
      </c>
      <c r="CH151" s="54" t="str">
        <f t="shared" si="355"/>
        <v/>
      </c>
      <c r="CI151" s="353">
        <f>+Расходы!L101/1000</f>
        <v>0</v>
      </c>
      <c r="CJ151" s="54" t="str">
        <f t="shared" si="356"/>
        <v/>
      </c>
      <c r="CK151" s="468" t="str">
        <f t="shared" si="314"/>
        <v/>
      </c>
      <c r="CL151" s="468" t="str">
        <f t="shared" si="315"/>
        <v/>
      </c>
      <c r="CM151" s="344"/>
      <c r="CN151" s="54" t="str">
        <f t="shared" si="357"/>
        <v/>
      </c>
      <c r="CO151" s="238">
        <v>0</v>
      </c>
      <c r="CP151" s="54" t="str">
        <f t="shared" si="358"/>
        <v/>
      </c>
      <c r="CQ151" s="353">
        <f>+Расходы!M101/1000</f>
        <v>0</v>
      </c>
      <c r="CR151" s="54" t="str">
        <f t="shared" si="359"/>
        <v/>
      </c>
      <c r="CS151" s="468" t="str">
        <f t="shared" si="316"/>
        <v/>
      </c>
      <c r="CT151" s="468" t="str">
        <f t="shared" si="317"/>
        <v/>
      </c>
      <c r="CU151" s="344">
        <f t="shared" si="292"/>
        <v>0</v>
      </c>
      <c r="CV151" s="54" t="str">
        <f t="shared" si="318"/>
        <v/>
      </c>
      <c r="CW151" s="238">
        <f t="shared" si="293"/>
        <v>100</v>
      </c>
      <c r="CX151" s="54">
        <f t="shared" si="319"/>
        <v>7.5409108274781666E-4</v>
      </c>
      <c r="CY151" s="353">
        <f t="shared" si="320"/>
        <v>6.5</v>
      </c>
      <c r="CZ151" s="54">
        <f t="shared" si="321"/>
        <v>1.3102450418261461E-4</v>
      </c>
      <c r="DA151" s="468">
        <f t="shared" si="322"/>
        <v>-0.93500000000000005</v>
      </c>
      <c r="DB151" s="468" t="str">
        <f t="shared" si="323"/>
        <v/>
      </c>
    </row>
    <row r="152" spans="2:106" s="103" customFormat="1" ht="13.15" customHeight="1" outlineLevel="2">
      <c r="B152" s="61" t="str">
        <f>+Расходы!A102</f>
        <v>Сантехработы</v>
      </c>
      <c r="C152" s="238"/>
      <c r="D152" s="54" t="str">
        <f t="shared" si="324"/>
        <v/>
      </c>
      <c r="E152" s="238"/>
      <c r="F152" s="54" t="str">
        <f t="shared" si="325"/>
        <v/>
      </c>
      <c r="G152" s="353">
        <f>+Расходы!B102/1000</f>
        <v>0</v>
      </c>
      <c r="H152" s="54" t="str">
        <f t="shared" si="326"/>
        <v/>
      </c>
      <c r="I152" s="468" t="str">
        <f t="shared" si="294"/>
        <v/>
      </c>
      <c r="J152" s="468" t="str">
        <f t="shared" si="295"/>
        <v/>
      </c>
      <c r="K152" s="238"/>
      <c r="L152" s="54" t="str">
        <f t="shared" si="327"/>
        <v/>
      </c>
      <c r="M152" s="238"/>
      <c r="N152" s="54" t="str">
        <f t="shared" si="328"/>
        <v/>
      </c>
      <c r="O152" s="353">
        <f>+Расходы!C102/1000</f>
        <v>0</v>
      </c>
      <c r="P152" s="54" t="str">
        <f t="shared" si="329"/>
        <v/>
      </c>
      <c r="Q152" s="468" t="str">
        <f t="shared" si="296"/>
        <v/>
      </c>
      <c r="R152" s="468" t="str">
        <f t="shared" si="297"/>
        <v/>
      </c>
      <c r="S152" s="238"/>
      <c r="T152" s="54" t="str">
        <f t="shared" si="330"/>
        <v/>
      </c>
      <c r="U152" s="238">
        <v>0</v>
      </c>
      <c r="V152" s="54" t="str">
        <f t="shared" si="331"/>
        <v/>
      </c>
      <c r="W152" s="353">
        <f>+Расходы!D102/1000</f>
        <v>0</v>
      </c>
      <c r="X152" s="54" t="str">
        <f t="shared" si="332"/>
        <v/>
      </c>
      <c r="Y152" s="468" t="str">
        <f t="shared" si="298"/>
        <v/>
      </c>
      <c r="Z152" s="468" t="str">
        <f t="shared" si="299"/>
        <v/>
      </c>
      <c r="AA152" s="238"/>
      <c r="AB152" s="54" t="str">
        <f t="shared" si="333"/>
        <v/>
      </c>
      <c r="AC152" s="238">
        <v>0</v>
      </c>
      <c r="AD152" s="54" t="str">
        <f t="shared" si="334"/>
        <v/>
      </c>
      <c r="AE152" s="353">
        <f>+Расходы!E102/1000</f>
        <v>0</v>
      </c>
      <c r="AF152" s="54" t="str">
        <f t="shared" si="335"/>
        <v/>
      </c>
      <c r="AG152" s="468" t="str">
        <f t="shared" si="300"/>
        <v/>
      </c>
      <c r="AH152" s="468" t="str">
        <f t="shared" si="301"/>
        <v/>
      </c>
      <c r="AI152" s="238"/>
      <c r="AJ152" s="54" t="str">
        <f t="shared" si="336"/>
        <v/>
      </c>
      <c r="AK152" s="238">
        <v>0</v>
      </c>
      <c r="AL152" s="54" t="str">
        <f t="shared" si="337"/>
        <v/>
      </c>
      <c r="AM152" s="353">
        <f>+Расходы!F102/1000</f>
        <v>0</v>
      </c>
      <c r="AN152" s="54" t="str">
        <f t="shared" si="338"/>
        <v/>
      </c>
      <c r="AO152" s="468" t="str">
        <f t="shared" si="302"/>
        <v/>
      </c>
      <c r="AP152" s="468" t="str">
        <f t="shared" si="303"/>
        <v/>
      </c>
      <c r="AQ152" s="344"/>
      <c r="AR152" s="54" t="str">
        <f t="shared" si="339"/>
        <v/>
      </c>
      <c r="AS152" s="238">
        <v>0</v>
      </c>
      <c r="AT152" s="54" t="str">
        <f t="shared" si="340"/>
        <v/>
      </c>
      <c r="AU152" s="353">
        <f>+Расходы!G102/1000</f>
        <v>0</v>
      </c>
      <c r="AV152" s="54" t="str">
        <f t="shared" si="341"/>
        <v/>
      </c>
      <c r="AW152" s="468" t="str">
        <f t="shared" si="304"/>
        <v/>
      </c>
      <c r="AX152" s="468" t="str">
        <f t="shared" si="305"/>
        <v/>
      </c>
      <c r="AY152" s="344"/>
      <c r="AZ152" s="54" t="str">
        <f t="shared" si="342"/>
        <v/>
      </c>
      <c r="BA152" s="238">
        <v>0</v>
      </c>
      <c r="BB152" s="54" t="str">
        <f t="shared" si="343"/>
        <v/>
      </c>
      <c r="BC152" s="353">
        <f>+Расходы!H102/1000</f>
        <v>0</v>
      </c>
      <c r="BD152" s="54" t="str">
        <f t="shared" si="344"/>
        <v/>
      </c>
      <c r="BE152" s="468" t="str">
        <f t="shared" si="306"/>
        <v/>
      </c>
      <c r="BF152" s="468" t="str">
        <f t="shared" si="307"/>
        <v/>
      </c>
      <c r="BG152" s="344"/>
      <c r="BH152" s="54" t="str">
        <f t="shared" si="345"/>
        <v/>
      </c>
      <c r="BI152" s="238">
        <v>0</v>
      </c>
      <c r="BJ152" s="54" t="str">
        <f t="shared" si="346"/>
        <v/>
      </c>
      <c r="BK152" s="353">
        <f>+Расходы!I102/1000</f>
        <v>0</v>
      </c>
      <c r="BL152" s="54" t="str">
        <f t="shared" si="347"/>
        <v/>
      </c>
      <c r="BM152" s="468" t="str">
        <f t="shared" si="308"/>
        <v/>
      </c>
      <c r="BN152" s="468" t="str">
        <f t="shared" si="309"/>
        <v/>
      </c>
      <c r="BO152" s="344"/>
      <c r="BP152" s="54" t="str">
        <f t="shared" si="348"/>
        <v/>
      </c>
      <c r="BQ152" s="238">
        <v>0</v>
      </c>
      <c r="BR152" s="54" t="str">
        <f t="shared" si="349"/>
        <v/>
      </c>
      <c r="BS152" s="353">
        <f>+Расходы!J102/1000</f>
        <v>0</v>
      </c>
      <c r="BT152" s="54" t="str">
        <f t="shared" si="350"/>
        <v/>
      </c>
      <c r="BU152" s="468" t="str">
        <f t="shared" si="310"/>
        <v/>
      </c>
      <c r="BV152" s="468" t="str">
        <f t="shared" si="311"/>
        <v/>
      </c>
      <c r="BW152" s="344"/>
      <c r="BX152" s="54" t="str">
        <f t="shared" si="351"/>
        <v/>
      </c>
      <c r="BY152" s="238">
        <v>0</v>
      </c>
      <c r="BZ152" s="54" t="str">
        <f t="shared" si="352"/>
        <v/>
      </c>
      <c r="CA152" s="353">
        <f>+Расходы!K102/1000</f>
        <v>0</v>
      </c>
      <c r="CB152" s="54" t="str">
        <f t="shared" si="353"/>
        <v/>
      </c>
      <c r="CC152" s="468" t="str">
        <f t="shared" si="312"/>
        <v/>
      </c>
      <c r="CD152" s="468" t="str">
        <f t="shared" si="313"/>
        <v/>
      </c>
      <c r="CE152" s="344"/>
      <c r="CF152" s="54" t="str">
        <f t="shared" si="354"/>
        <v/>
      </c>
      <c r="CG152" s="238">
        <v>0</v>
      </c>
      <c r="CH152" s="54" t="str">
        <f t="shared" si="355"/>
        <v/>
      </c>
      <c r="CI152" s="353">
        <f>+Расходы!L102/1000</f>
        <v>0</v>
      </c>
      <c r="CJ152" s="54" t="str">
        <f t="shared" si="356"/>
        <v/>
      </c>
      <c r="CK152" s="468" t="str">
        <f t="shared" si="314"/>
        <v/>
      </c>
      <c r="CL152" s="468" t="str">
        <f t="shared" si="315"/>
        <v/>
      </c>
      <c r="CM152" s="344"/>
      <c r="CN152" s="54" t="str">
        <f t="shared" si="357"/>
        <v/>
      </c>
      <c r="CO152" s="238">
        <v>0</v>
      </c>
      <c r="CP152" s="54" t="str">
        <f t="shared" si="358"/>
        <v/>
      </c>
      <c r="CQ152" s="353">
        <f>+Расходы!M102/1000</f>
        <v>0</v>
      </c>
      <c r="CR152" s="54" t="str">
        <f t="shared" si="359"/>
        <v/>
      </c>
      <c r="CS152" s="468" t="str">
        <f t="shared" si="316"/>
        <v/>
      </c>
      <c r="CT152" s="468" t="str">
        <f t="shared" si="317"/>
        <v/>
      </c>
      <c r="CU152" s="344">
        <f t="shared" si="292"/>
        <v>0</v>
      </c>
      <c r="CV152" s="54" t="str">
        <f t="shared" si="318"/>
        <v/>
      </c>
      <c r="CW152" s="238">
        <f t="shared" si="293"/>
        <v>0</v>
      </c>
      <c r="CX152" s="54">
        <f t="shared" si="319"/>
        <v>0</v>
      </c>
      <c r="CY152" s="353">
        <f t="shared" si="320"/>
        <v>0</v>
      </c>
      <c r="CZ152" s="54">
        <f t="shared" si="321"/>
        <v>0</v>
      </c>
      <c r="DA152" s="468" t="str">
        <f t="shared" si="322"/>
        <v/>
      </c>
      <c r="DB152" s="468" t="str">
        <f t="shared" si="323"/>
        <v/>
      </c>
    </row>
    <row r="153" spans="2:106" s="103" customFormat="1" ht="13.15" customHeight="1" outlineLevel="2">
      <c r="B153" s="61" t="str">
        <f>+Расходы!A103</f>
        <v>СМС Рассылки</v>
      </c>
      <c r="C153" s="238"/>
      <c r="D153" s="54" t="str">
        <f t="shared" si="324"/>
        <v/>
      </c>
      <c r="E153" s="238"/>
      <c r="F153" s="54" t="str">
        <f t="shared" si="325"/>
        <v/>
      </c>
      <c r="G153" s="353">
        <f>+Расходы!B103/1000</f>
        <v>0</v>
      </c>
      <c r="H153" s="54" t="str">
        <f t="shared" si="326"/>
        <v/>
      </c>
      <c r="I153" s="468" t="str">
        <f t="shared" si="294"/>
        <v/>
      </c>
      <c r="J153" s="468" t="str">
        <f t="shared" si="295"/>
        <v/>
      </c>
      <c r="K153" s="238"/>
      <c r="L153" s="54" t="str">
        <f t="shared" si="327"/>
        <v/>
      </c>
      <c r="M153" s="238"/>
      <c r="N153" s="54" t="str">
        <f t="shared" si="328"/>
        <v/>
      </c>
      <c r="O153" s="353">
        <f>+Расходы!C103/1000</f>
        <v>0</v>
      </c>
      <c r="P153" s="54" t="str">
        <f t="shared" si="329"/>
        <v/>
      </c>
      <c r="Q153" s="468" t="str">
        <f t="shared" si="296"/>
        <v/>
      </c>
      <c r="R153" s="468" t="str">
        <f t="shared" si="297"/>
        <v/>
      </c>
      <c r="S153" s="238"/>
      <c r="T153" s="54" t="str">
        <f t="shared" si="330"/>
        <v/>
      </c>
      <c r="U153" s="238">
        <v>0</v>
      </c>
      <c r="V153" s="54" t="str">
        <f t="shared" si="331"/>
        <v/>
      </c>
      <c r="W153" s="353">
        <f>+Расходы!D103/1000</f>
        <v>0</v>
      </c>
      <c r="X153" s="54" t="str">
        <f t="shared" si="332"/>
        <v/>
      </c>
      <c r="Y153" s="468" t="str">
        <f t="shared" si="298"/>
        <v/>
      </c>
      <c r="Z153" s="468" t="str">
        <f t="shared" si="299"/>
        <v/>
      </c>
      <c r="AA153" s="238"/>
      <c r="AB153" s="54" t="str">
        <f t="shared" si="333"/>
        <v/>
      </c>
      <c r="AC153" s="238">
        <v>0</v>
      </c>
      <c r="AD153" s="54" t="str">
        <f t="shared" si="334"/>
        <v/>
      </c>
      <c r="AE153" s="353">
        <f>+Расходы!E103/1000</f>
        <v>34.401400000000002</v>
      </c>
      <c r="AF153" s="54">
        <f t="shared" si="335"/>
        <v>2.5086340168596682E-3</v>
      </c>
      <c r="AG153" s="468" t="str">
        <f t="shared" si="300"/>
        <v/>
      </c>
      <c r="AH153" s="468" t="str">
        <f t="shared" si="301"/>
        <v/>
      </c>
      <c r="AI153" s="238"/>
      <c r="AJ153" s="54" t="str">
        <f t="shared" si="336"/>
        <v/>
      </c>
      <c r="AK153" s="238">
        <v>0</v>
      </c>
      <c r="AL153" s="54" t="str">
        <f t="shared" si="337"/>
        <v/>
      </c>
      <c r="AM153" s="353">
        <f>+Расходы!F103/1000</f>
        <v>37.384709999999998</v>
      </c>
      <c r="AN153" s="54">
        <f t="shared" si="338"/>
        <v>2.3792837463460829E-3</v>
      </c>
      <c r="AO153" s="468" t="str">
        <f t="shared" si="302"/>
        <v/>
      </c>
      <c r="AP153" s="468" t="str">
        <f t="shared" si="303"/>
        <v/>
      </c>
      <c r="AQ153" s="344"/>
      <c r="AR153" s="54" t="str">
        <f t="shared" si="339"/>
        <v/>
      </c>
      <c r="AS153" s="238">
        <v>35</v>
      </c>
      <c r="AT153" s="54">
        <f t="shared" si="340"/>
        <v>2.3209549071618036E-3</v>
      </c>
      <c r="AU153" s="353">
        <f>+Расходы!G103/1000</f>
        <v>27.650539999999999</v>
      </c>
      <c r="AV153" s="54">
        <f t="shared" si="341"/>
        <v>1.9399325814680351E-3</v>
      </c>
      <c r="AW153" s="468">
        <f t="shared" si="304"/>
        <v>-0.20998457142857141</v>
      </c>
      <c r="AX153" s="468" t="str">
        <f t="shared" si="305"/>
        <v/>
      </c>
      <c r="AY153" s="344"/>
      <c r="AZ153" s="54" t="str">
        <f t="shared" si="342"/>
        <v/>
      </c>
      <c r="BA153" s="238">
        <v>35</v>
      </c>
      <c r="BB153" s="54">
        <f t="shared" si="343"/>
        <v>2.2339237274613052E-3</v>
      </c>
      <c r="BC153" s="353">
        <f>+Расходы!H103/1000</f>
        <v>0</v>
      </c>
      <c r="BD153" s="54" t="str">
        <f t="shared" si="344"/>
        <v/>
      </c>
      <c r="BE153" s="468">
        <f t="shared" si="306"/>
        <v>-1</v>
      </c>
      <c r="BF153" s="468" t="str">
        <f t="shared" si="307"/>
        <v/>
      </c>
      <c r="BG153" s="344"/>
      <c r="BH153" s="54" t="str">
        <f t="shared" si="345"/>
        <v/>
      </c>
      <c r="BI153" s="238">
        <v>35</v>
      </c>
      <c r="BJ153" s="54">
        <f t="shared" si="346"/>
        <v>2.2339237274613052E-3</v>
      </c>
      <c r="BK153" s="353">
        <f>+Расходы!I103/1000</f>
        <v>0</v>
      </c>
      <c r="BL153" s="54" t="str">
        <f t="shared" si="347"/>
        <v/>
      </c>
      <c r="BM153" s="468">
        <f t="shared" si="308"/>
        <v>-1</v>
      </c>
      <c r="BN153" s="468" t="str">
        <f t="shared" si="309"/>
        <v/>
      </c>
      <c r="BO153" s="344"/>
      <c r="BP153" s="54" t="str">
        <f t="shared" si="348"/>
        <v/>
      </c>
      <c r="BQ153" s="238">
        <v>35</v>
      </c>
      <c r="BR153" s="54">
        <f t="shared" si="349"/>
        <v>2.4171270718232043E-3</v>
      </c>
      <c r="BS153" s="353">
        <f>+Расходы!J103/1000</f>
        <v>0</v>
      </c>
      <c r="BT153" s="54" t="str">
        <f t="shared" si="350"/>
        <v/>
      </c>
      <c r="BU153" s="468">
        <f t="shared" si="310"/>
        <v>-1</v>
      </c>
      <c r="BV153" s="468" t="str">
        <f t="shared" si="311"/>
        <v/>
      </c>
      <c r="BW153" s="344"/>
      <c r="BX153" s="54" t="str">
        <f t="shared" si="351"/>
        <v/>
      </c>
      <c r="BY153" s="238">
        <v>0</v>
      </c>
      <c r="BZ153" s="54" t="str">
        <f t="shared" si="352"/>
        <v/>
      </c>
      <c r="CA153" s="353">
        <f>+Расходы!K103/1000</f>
        <v>0</v>
      </c>
      <c r="CB153" s="54" t="str">
        <f t="shared" si="353"/>
        <v/>
      </c>
      <c r="CC153" s="468" t="str">
        <f t="shared" si="312"/>
        <v/>
      </c>
      <c r="CD153" s="468" t="str">
        <f t="shared" si="313"/>
        <v/>
      </c>
      <c r="CE153" s="344"/>
      <c r="CF153" s="54" t="str">
        <f t="shared" si="354"/>
        <v/>
      </c>
      <c r="CG153" s="238">
        <v>0</v>
      </c>
      <c r="CH153" s="54" t="str">
        <f t="shared" si="355"/>
        <v/>
      </c>
      <c r="CI153" s="353">
        <f>+Расходы!L103/1000</f>
        <v>0</v>
      </c>
      <c r="CJ153" s="54" t="str">
        <f t="shared" si="356"/>
        <v/>
      </c>
      <c r="CK153" s="468" t="str">
        <f t="shared" si="314"/>
        <v/>
      </c>
      <c r="CL153" s="468" t="str">
        <f t="shared" si="315"/>
        <v/>
      </c>
      <c r="CM153" s="344"/>
      <c r="CN153" s="54" t="str">
        <f t="shared" si="357"/>
        <v/>
      </c>
      <c r="CO153" s="238">
        <v>0</v>
      </c>
      <c r="CP153" s="54" t="str">
        <f t="shared" si="358"/>
        <v/>
      </c>
      <c r="CQ153" s="353">
        <f>+Расходы!M103/1000</f>
        <v>0</v>
      </c>
      <c r="CR153" s="54" t="str">
        <f t="shared" si="359"/>
        <v/>
      </c>
      <c r="CS153" s="468" t="str">
        <f t="shared" si="316"/>
        <v/>
      </c>
      <c r="CT153" s="468" t="str">
        <f t="shared" si="317"/>
        <v/>
      </c>
      <c r="CU153" s="344">
        <f t="shared" si="292"/>
        <v>0</v>
      </c>
      <c r="CV153" s="54" t="str">
        <f t="shared" si="318"/>
        <v/>
      </c>
      <c r="CW153" s="238">
        <f t="shared" si="293"/>
        <v>140</v>
      </c>
      <c r="CX153" s="54">
        <f t="shared" si="319"/>
        <v>1.0557275158469433E-3</v>
      </c>
      <c r="CY153" s="353">
        <f t="shared" si="320"/>
        <v>99.436650000000014</v>
      </c>
      <c r="CZ153" s="54">
        <f t="shared" si="321"/>
        <v>2.0044058098200286E-3</v>
      </c>
      <c r="DA153" s="468">
        <f t="shared" si="322"/>
        <v>-0.28973821428571422</v>
      </c>
      <c r="DB153" s="468" t="str">
        <f t="shared" si="323"/>
        <v/>
      </c>
    </row>
    <row r="154" spans="2:106" s="103" customFormat="1" ht="13.15" customHeight="1" outlineLevel="2">
      <c r="B154" s="61" t="str">
        <f>+Расходы!A104</f>
        <v>Страхование имущества (страховые взносы)</v>
      </c>
      <c r="C154" s="238"/>
      <c r="D154" s="54" t="str">
        <f t="shared" si="324"/>
        <v/>
      </c>
      <c r="E154" s="238"/>
      <c r="F154" s="54" t="str">
        <f t="shared" si="325"/>
        <v/>
      </c>
      <c r="G154" s="353">
        <f>+Расходы!B104/1000</f>
        <v>0</v>
      </c>
      <c r="H154" s="54" t="str">
        <f t="shared" si="326"/>
        <v/>
      </c>
      <c r="I154" s="468" t="str">
        <f t="shared" si="294"/>
        <v/>
      </c>
      <c r="J154" s="468" t="str">
        <f t="shared" si="295"/>
        <v/>
      </c>
      <c r="K154" s="238"/>
      <c r="L154" s="54" t="str">
        <f t="shared" si="327"/>
        <v/>
      </c>
      <c r="M154" s="238"/>
      <c r="N154" s="54" t="str">
        <f t="shared" si="328"/>
        <v/>
      </c>
      <c r="O154" s="353">
        <f>+Расходы!C104/1000</f>
        <v>0</v>
      </c>
      <c r="P154" s="54" t="str">
        <f t="shared" si="329"/>
        <v/>
      </c>
      <c r="Q154" s="468" t="str">
        <f t="shared" si="296"/>
        <v/>
      </c>
      <c r="R154" s="468" t="str">
        <f t="shared" si="297"/>
        <v/>
      </c>
      <c r="S154" s="238"/>
      <c r="T154" s="54" t="str">
        <f t="shared" si="330"/>
        <v/>
      </c>
      <c r="U154" s="238">
        <v>0</v>
      </c>
      <c r="V154" s="54" t="str">
        <f t="shared" si="331"/>
        <v/>
      </c>
      <c r="W154" s="353">
        <f>+Расходы!D104/1000</f>
        <v>0</v>
      </c>
      <c r="X154" s="54" t="str">
        <f t="shared" si="332"/>
        <v/>
      </c>
      <c r="Y154" s="468" t="str">
        <f t="shared" si="298"/>
        <v/>
      </c>
      <c r="Z154" s="468" t="str">
        <f t="shared" si="299"/>
        <v/>
      </c>
      <c r="AA154" s="238"/>
      <c r="AB154" s="54" t="str">
        <f t="shared" si="333"/>
        <v/>
      </c>
      <c r="AC154" s="238">
        <v>0</v>
      </c>
      <c r="AD154" s="54" t="str">
        <f t="shared" si="334"/>
        <v/>
      </c>
      <c r="AE154" s="353">
        <f>+Расходы!E104/1000</f>
        <v>7.37235</v>
      </c>
      <c r="AF154" s="54">
        <f t="shared" si="335"/>
        <v>5.3760974827173817E-4</v>
      </c>
      <c r="AG154" s="468" t="str">
        <f t="shared" si="300"/>
        <v/>
      </c>
      <c r="AH154" s="468" t="str">
        <f t="shared" si="301"/>
        <v/>
      </c>
      <c r="AI154" s="238"/>
      <c r="AJ154" s="54" t="str">
        <f t="shared" si="336"/>
        <v/>
      </c>
      <c r="AK154" s="238">
        <v>10</v>
      </c>
      <c r="AL154" s="54">
        <f t="shared" si="337"/>
        <v>7.1571714858288009E-4</v>
      </c>
      <c r="AM154" s="353">
        <f>+Расходы!F104/1000</f>
        <v>0</v>
      </c>
      <c r="AN154" s="54" t="str">
        <f t="shared" si="338"/>
        <v/>
      </c>
      <c r="AO154" s="468">
        <f t="shared" si="302"/>
        <v>-1</v>
      </c>
      <c r="AP154" s="468" t="str">
        <f t="shared" si="303"/>
        <v/>
      </c>
      <c r="AQ154" s="344"/>
      <c r="AR154" s="54" t="str">
        <f t="shared" si="339"/>
        <v/>
      </c>
      <c r="AS154" s="238">
        <v>10</v>
      </c>
      <c r="AT154" s="54">
        <f t="shared" si="340"/>
        <v>6.6312997347480103E-4</v>
      </c>
      <c r="AU154" s="353">
        <f>+Расходы!G104/1000</f>
        <v>13.145239999999999</v>
      </c>
      <c r="AV154" s="54">
        <f t="shared" si="341"/>
        <v>9.2225610665169191E-4</v>
      </c>
      <c r="AW154" s="468">
        <f t="shared" si="304"/>
        <v>0.31452400000000003</v>
      </c>
      <c r="AX154" s="468" t="str">
        <f t="shared" si="305"/>
        <v/>
      </c>
      <c r="AY154" s="344"/>
      <c r="AZ154" s="54" t="str">
        <f t="shared" si="342"/>
        <v/>
      </c>
      <c r="BA154" s="238">
        <v>10</v>
      </c>
      <c r="BB154" s="54">
        <f t="shared" si="343"/>
        <v>6.382639221318015E-4</v>
      </c>
      <c r="BC154" s="353">
        <f>+Расходы!H104/1000</f>
        <v>0</v>
      </c>
      <c r="BD154" s="54" t="str">
        <f t="shared" si="344"/>
        <v/>
      </c>
      <c r="BE154" s="468">
        <f t="shared" si="306"/>
        <v>-1</v>
      </c>
      <c r="BF154" s="468" t="str">
        <f t="shared" si="307"/>
        <v/>
      </c>
      <c r="BG154" s="344"/>
      <c r="BH154" s="54" t="str">
        <f t="shared" si="345"/>
        <v/>
      </c>
      <c r="BI154" s="238">
        <v>10</v>
      </c>
      <c r="BJ154" s="54">
        <f t="shared" si="346"/>
        <v>6.382639221318015E-4</v>
      </c>
      <c r="BK154" s="353">
        <f>+Расходы!I104/1000</f>
        <v>0</v>
      </c>
      <c r="BL154" s="54" t="str">
        <f t="shared" si="347"/>
        <v/>
      </c>
      <c r="BM154" s="468">
        <f t="shared" si="308"/>
        <v>-1</v>
      </c>
      <c r="BN154" s="468" t="str">
        <f t="shared" si="309"/>
        <v/>
      </c>
      <c r="BO154" s="344"/>
      <c r="BP154" s="54" t="str">
        <f t="shared" si="348"/>
        <v/>
      </c>
      <c r="BQ154" s="238">
        <v>10</v>
      </c>
      <c r="BR154" s="54">
        <f t="shared" si="349"/>
        <v>6.9060773480662981E-4</v>
      </c>
      <c r="BS154" s="353">
        <f>+Расходы!J104/1000</f>
        <v>0</v>
      </c>
      <c r="BT154" s="54" t="str">
        <f t="shared" si="350"/>
        <v/>
      </c>
      <c r="BU154" s="468">
        <f t="shared" si="310"/>
        <v>-1</v>
      </c>
      <c r="BV154" s="468" t="str">
        <f t="shared" si="311"/>
        <v/>
      </c>
      <c r="BW154" s="344"/>
      <c r="BX154" s="54" t="str">
        <f t="shared" si="351"/>
        <v/>
      </c>
      <c r="BY154" s="238">
        <v>0</v>
      </c>
      <c r="BZ154" s="54" t="str">
        <f t="shared" si="352"/>
        <v/>
      </c>
      <c r="CA154" s="353">
        <f>+Расходы!K104/1000</f>
        <v>0</v>
      </c>
      <c r="CB154" s="54" t="str">
        <f t="shared" si="353"/>
        <v/>
      </c>
      <c r="CC154" s="468" t="str">
        <f t="shared" si="312"/>
        <v/>
      </c>
      <c r="CD154" s="468" t="str">
        <f t="shared" si="313"/>
        <v/>
      </c>
      <c r="CE154" s="344"/>
      <c r="CF154" s="54" t="str">
        <f t="shared" si="354"/>
        <v/>
      </c>
      <c r="CG154" s="238">
        <v>0</v>
      </c>
      <c r="CH154" s="54" t="str">
        <f t="shared" si="355"/>
        <v/>
      </c>
      <c r="CI154" s="353">
        <f>+Расходы!L104/1000</f>
        <v>0</v>
      </c>
      <c r="CJ154" s="54" t="str">
        <f t="shared" si="356"/>
        <v/>
      </c>
      <c r="CK154" s="468" t="str">
        <f t="shared" si="314"/>
        <v/>
      </c>
      <c r="CL154" s="468" t="str">
        <f t="shared" si="315"/>
        <v/>
      </c>
      <c r="CM154" s="344"/>
      <c r="CN154" s="54" t="str">
        <f t="shared" si="357"/>
        <v/>
      </c>
      <c r="CO154" s="238">
        <v>0</v>
      </c>
      <c r="CP154" s="54" t="str">
        <f t="shared" si="358"/>
        <v/>
      </c>
      <c r="CQ154" s="353">
        <f>+Расходы!M104/1000</f>
        <v>0</v>
      </c>
      <c r="CR154" s="54" t="str">
        <f t="shared" si="359"/>
        <v/>
      </c>
      <c r="CS154" s="468" t="str">
        <f t="shared" si="316"/>
        <v/>
      </c>
      <c r="CT154" s="468" t="str">
        <f t="shared" si="317"/>
        <v/>
      </c>
      <c r="CU154" s="344">
        <f t="shared" si="292"/>
        <v>0</v>
      </c>
      <c r="CV154" s="54" t="str">
        <f t="shared" si="318"/>
        <v/>
      </c>
      <c r="CW154" s="238">
        <f t="shared" si="293"/>
        <v>50</v>
      </c>
      <c r="CX154" s="54">
        <f t="shared" si="319"/>
        <v>3.7704554137390833E-4</v>
      </c>
      <c r="CY154" s="353">
        <f t="shared" si="320"/>
        <v>20.517589999999998</v>
      </c>
      <c r="CZ154" s="54">
        <f t="shared" si="321"/>
        <v>4.1358570104187251E-4</v>
      </c>
      <c r="DA154" s="468">
        <f t="shared" si="322"/>
        <v>-0.58964820000000007</v>
      </c>
      <c r="DB154" s="468" t="str">
        <f t="shared" si="323"/>
        <v/>
      </c>
    </row>
    <row r="155" spans="2:106" s="103" customFormat="1" ht="13.15" customHeight="1" outlineLevel="2">
      <c r="B155" s="61" t="str">
        <f>+Расходы!A105</f>
        <v>Строительные работы</v>
      </c>
      <c r="C155" s="238"/>
      <c r="D155" s="54" t="str">
        <f t="shared" si="324"/>
        <v/>
      </c>
      <c r="E155" s="238"/>
      <c r="F155" s="54" t="str">
        <f t="shared" si="325"/>
        <v/>
      </c>
      <c r="G155" s="353">
        <f>+Расходы!B105/1000</f>
        <v>0</v>
      </c>
      <c r="H155" s="54" t="str">
        <f t="shared" si="326"/>
        <v/>
      </c>
      <c r="I155" s="468" t="str">
        <f t="shared" si="294"/>
        <v/>
      </c>
      <c r="J155" s="468" t="str">
        <f t="shared" si="295"/>
        <v/>
      </c>
      <c r="K155" s="238"/>
      <c r="L155" s="54" t="str">
        <f t="shared" si="327"/>
        <v/>
      </c>
      <c r="M155" s="238"/>
      <c r="N155" s="54" t="str">
        <f t="shared" si="328"/>
        <v/>
      </c>
      <c r="O155" s="353">
        <f>+Расходы!C105/1000</f>
        <v>0</v>
      </c>
      <c r="P155" s="54" t="str">
        <f t="shared" si="329"/>
        <v/>
      </c>
      <c r="Q155" s="468" t="str">
        <f t="shared" si="296"/>
        <v/>
      </c>
      <c r="R155" s="468" t="str">
        <f t="shared" si="297"/>
        <v/>
      </c>
      <c r="S155" s="238"/>
      <c r="T155" s="54" t="str">
        <f t="shared" si="330"/>
        <v/>
      </c>
      <c r="U155" s="238">
        <v>0</v>
      </c>
      <c r="V155" s="54" t="str">
        <f t="shared" si="331"/>
        <v/>
      </c>
      <c r="W155" s="353">
        <f>+Расходы!D105/1000</f>
        <v>0</v>
      </c>
      <c r="X155" s="54" t="str">
        <f t="shared" si="332"/>
        <v/>
      </c>
      <c r="Y155" s="468" t="str">
        <f t="shared" si="298"/>
        <v/>
      </c>
      <c r="Z155" s="468" t="str">
        <f t="shared" si="299"/>
        <v/>
      </c>
      <c r="AA155" s="238"/>
      <c r="AB155" s="54" t="str">
        <f t="shared" si="333"/>
        <v/>
      </c>
      <c r="AC155" s="238">
        <v>0</v>
      </c>
      <c r="AD155" s="54" t="str">
        <f t="shared" si="334"/>
        <v/>
      </c>
      <c r="AE155" s="353">
        <f>+Расходы!E105/1000</f>
        <v>0</v>
      </c>
      <c r="AF155" s="54" t="str">
        <f t="shared" si="335"/>
        <v/>
      </c>
      <c r="AG155" s="468" t="str">
        <f t="shared" si="300"/>
        <v/>
      </c>
      <c r="AH155" s="468" t="str">
        <f t="shared" si="301"/>
        <v/>
      </c>
      <c r="AI155" s="238"/>
      <c r="AJ155" s="54" t="str">
        <f t="shared" si="336"/>
        <v/>
      </c>
      <c r="AK155" s="238">
        <v>0</v>
      </c>
      <c r="AL155" s="54" t="str">
        <f t="shared" si="337"/>
        <v/>
      </c>
      <c r="AM155" s="353">
        <f>+Расходы!F105/1000</f>
        <v>0.248</v>
      </c>
      <c r="AN155" s="54">
        <f t="shared" si="338"/>
        <v>1.5783521367260269E-5</v>
      </c>
      <c r="AO155" s="468" t="str">
        <f t="shared" si="302"/>
        <v/>
      </c>
      <c r="AP155" s="468" t="str">
        <f t="shared" si="303"/>
        <v/>
      </c>
      <c r="AQ155" s="344"/>
      <c r="AR155" s="54" t="str">
        <f t="shared" si="339"/>
        <v/>
      </c>
      <c r="AS155" s="238">
        <v>0</v>
      </c>
      <c r="AT155" s="54" t="str">
        <f t="shared" si="340"/>
        <v/>
      </c>
      <c r="AU155" s="353">
        <f>+Расходы!G105/1000</f>
        <v>0</v>
      </c>
      <c r="AV155" s="54" t="str">
        <f t="shared" si="341"/>
        <v/>
      </c>
      <c r="AW155" s="468" t="str">
        <f t="shared" si="304"/>
        <v/>
      </c>
      <c r="AX155" s="468" t="str">
        <f t="shared" si="305"/>
        <v/>
      </c>
      <c r="AY155" s="344"/>
      <c r="AZ155" s="54" t="str">
        <f t="shared" si="342"/>
        <v/>
      </c>
      <c r="BA155" s="238">
        <v>0</v>
      </c>
      <c r="BB155" s="54" t="str">
        <f t="shared" si="343"/>
        <v/>
      </c>
      <c r="BC155" s="353">
        <f>+Расходы!H105/1000</f>
        <v>0</v>
      </c>
      <c r="BD155" s="54" t="str">
        <f t="shared" si="344"/>
        <v/>
      </c>
      <c r="BE155" s="468" t="str">
        <f t="shared" si="306"/>
        <v/>
      </c>
      <c r="BF155" s="468" t="str">
        <f t="shared" si="307"/>
        <v/>
      </c>
      <c r="BG155" s="344"/>
      <c r="BH155" s="54" t="str">
        <f t="shared" si="345"/>
        <v/>
      </c>
      <c r="BI155" s="238">
        <v>0</v>
      </c>
      <c r="BJ155" s="54" t="str">
        <f t="shared" si="346"/>
        <v/>
      </c>
      <c r="BK155" s="353">
        <f>+Расходы!I105/1000</f>
        <v>0</v>
      </c>
      <c r="BL155" s="54" t="str">
        <f t="shared" si="347"/>
        <v/>
      </c>
      <c r="BM155" s="468" t="str">
        <f t="shared" si="308"/>
        <v/>
      </c>
      <c r="BN155" s="468" t="str">
        <f t="shared" si="309"/>
        <v/>
      </c>
      <c r="BO155" s="344"/>
      <c r="BP155" s="54" t="str">
        <f t="shared" si="348"/>
        <v/>
      </c>
      <c r="BQ155" s="238">
        <v>0</v>
      </c>
      <c r="BR155" s="54" t="str">
        <f t="shared" si="349"/>
        <v/>
      </c>
      <c r="BS155" s="353">
        <f>+Расходы!J105/1000</f>
        <v>0</v>
      </c>
      <c r="BT155" s="54" t="str">
        <f t="shared" si="350"/>
        <v/>
      </c>
      <c r="BU155" s="468" t="str">
        <f t="shared" si="310"/>
        <v/>
      </c>
      <c r="BV155" s="468" t="str">
        <f t="shared" si="311"/>
        <v/>
      </c>
      <c r="BW155" s="344"/>
      <c r="BX155" s="54" t="str">
        <f t="shared" si="351"/>
        <v/>
      </c>
      <c r="BY155" s="238">
        <v>0</v>
      </c>
      <c r="BZ155" s="54" t="str">
        <f t="shared" si="352"/>
        <v/>
      </c>
      <c r="CA155" s="353">
        <f>+Расходы!K105/1000</f>
        <v>0</v>
      </c>
      <c r="CB155" s="54" t="str">
        <f t="shared" si="353"/>
        <v/>
      </c>
      <c r="CC155" s="468" t="str">
        <f t="shared" si="312"/>
        <v/>
      </c>
      <c r="CD155" s="468" t="str">
        <f t="shared" si="313"/>
        <v/>
      </c>
      <c r="CE155" s="344"/>
      <c r="CF155" s="54" t="str">
        <f t="shared" si="354"/>
        <v/>
      </c>
      <c r="CG155" s="238">
        <v>0</v>
      </c>
      <c r="CH155" s="54" t="str">
        <f t="shared" si="355"/>
        <v/>
      </c>
      <c r="CI155" s="353">
        <f>+Расходы!L105/1000</f>
        <v>0</v>
      </c>
      <c r="CJ155" s="54" t="str">
        <f t="shared" si="356"/>
        <v/>
      </c>
      <c r="CK155" s="468" t="str">
        <f t="shared" si="314"/>
        <v/>
      </c>
      <c r="CL155" s="468" t="str">
        <f t="shared" si="315"/>
        <v/>
      </c>
      <c r="CM155" s="344"/>
      <c r="CN155" s="54" t="str">
        <f t="shared" si="357"/>
        <v/>
      </c>
      <c r="CO155" s="238">
        <v>0</v>
      </c>
      <c r="CP155" s="54" t="str">
        <f t="shared" si="358"/>
        <v/>
      </c>
      <c r="CQ155" s="353">
        <f>+Расходы!M105/1000</f>
        <v>0</v>
      </c>
      <c r="CR155" s="54" t="str">
        <f t="shared" si="359"/>
        <v/>
      </c>
      <c r="CS155" s="468" t="str">
        <f t="shared" si="316"/>
        <v/>
      </c>
      <c r="CT155" s="468" t="str">
        <f t="shared" si="317"/>
        <v/>
      </c>
      <c r="CU155" s="344">
        <f t="shared" si="292"/>
        <v>0</v>
      </c>
      <c r="CV155" s="54" t="str">
        <f t="shared" si="318"/>
        <v/>
      </c>
      <c r="CW155" s="238">
        <f t="shared" si="293"/>
        <v>0</v>
      </c>
      <c r="CX155" s="54">
        <f t="shared" si="319"/>
        <v>0</v>
      </c>
      <c r="CY155" s="353">
        <f t="shared" si="320"/>
        <v>0.248</v>
      </c>
      <c r="CZ155" s="54">
        <f t="shared" si="321"/>
        <v>4.9990887749674491E-6</v>
      </c>
      <c r="DA155" s="468" t="str">
        <f t="shared" si="322"/>
        <v/>
      </c>
      <c r="DB155" s="468" t="str">
        <f t="shared" si="323"/>
        <v/>
      </c>
    </row>
    <row r="156" spans="2:106" s="103" customFormat="1" ht="13.15" customHeight="1" outlineLevel="2">
      <c r="B156" s="61" t="str">
        <f>+Расходы!A106</f>
        <v>Т/о автомобиля</v>
      </c>
      <c r="C156" s="238"/>
      <c r="D156" s="54" t="str">
        <f t="shared" si="324"/>
        <v/>
      </c>
      <c r="E156" s="238"/>
      <c r="F156" s="54" t="str">
        <f t="shared" si="325"/>
        <v/>
      </c>
      <c r="G156" s="353">
        <f>+Расходы!B106/1000</f>
        <v>0</v>
      </c>
      <c r="H156" s="54" t="str">
        <f t="shared" si="326"/>
        <v/>
      </c>
      <c r="I156" s="468" t="str">
        <f t="shared" si="294"/>
        <v/>
      </c>
      <c r="J156" s="468" t="str">
        <f t="shared" si="295"/>
        <v/>
      </c>
      <c r="K156" s="238"/>
      <c r="L156" s="54" t="str">
        <f t="shared" si="327"/>
        <v/>
      </c>
      <c r="M156" s="238"/>
      <c r="N156" s="54" t="str">
        <f t="shared" si="328"/>
        <v/>
      </c>
      <c r="O156" s="353">
        <f>+Расходы!C106/1000</f>
        <v>0</v>
      </c>
      <c r="P156" s="54" t="str">
        <f t="shared" si="329"/>
        <v/>
      </c>
      <c r="Q156" s="468" t="str">
        <f t="shared" si="296"/>
        <v/>
      </c>
      <c r="R156" s="468" t="str">
        <f t="shared" si="297"/>
        <v/>
      </c>
      <c r="S156" s="238"/>
      <c r="T156" s="54" t="str">
        <f t="shared" si="330"/>
        <v/>
      </c>
      <c r="U156" s="238">
        <v>0</v>
      </c>
      <c r="V156" s="54" t="str">
        <f t="shared" si="331"/>
        <v/>
      </c>
      <c r="W156" s="353">
        <f>+Расходы!D106/1000</f>
        <v>0</v>
      </c>
      <c r="X156" s="54" t="str">
        <f t="shared" si="332"/>
        <v/>
      </c>
      <c r="Y156" s="468" t="str">
        <f t="shared" si="298"/>
        <v/>
      </c>
      <c r="Z156" s="468" t="str">
        <f t="shared" si="299"/>
        <v/>
      </c>
      <c r="AA156" s="238"/>
      <c r="AB156" s="54" t="str">
        <f t="shared" si="333"/>
        <v/>
      </c>
      <c r="AC156" s="238">
        <v>0</v>
      </c>
      <c r="AD156" s="54" t="str">
        <f t="shared" si="334"/>
        <v/>
      </c>
      <c r="AE156" s="353">
        <f>+Расходы!E106/1000</f>
        <v>0</v>
      </c>
      <c r="AF156" s="54" t="str">
        <f t="shared" si="335"/>
        <v/>
      </c>
      <c r="AG156" s="468" t="str">
        <f t="shared" si="300"/>
        <v/>
      </c>
      <c r="AH156" s="468" t="str">
        <f t="shared" si="301"/>
        <v/>
      </c>
      <c r="AI156" s="238"/>
      <c r="AJ156" s="54" t="str">
        <f t="shared" si="336"/>
        <v/>
      </c>
      <c r="AK156" s="238">
        <v>0</v>
      </c>
      <c r="AL156" s="54" t="str">
        <f t="shared" si="337"/>
        <v/>
      </c>
      <c r="AM156" s="353">
        <f>+Расходы!F106/1000</f>
        <v>0</v>
      </c>
      <c r="AN156" s="54" t="str">
        <f t="shared" si="338"/>
        <v/>
      </c>
      <c r="AO156" s="468" t="str">
        <f t="shared" si="302"/>
        <v/>
      </c>
      <c r="AP156" s="468" t="str">
        <f t="shared" si="303"/>
        <v/>
      </c>
      <c r="AQ156" s="344"/>
      <c r="AR156" s="54" t="str">
        <f t="shared" si="339"/>
        <v/>
      </c>
      <c r="AS156" s="238">
        <v>0</v>
      </c>
      <c r="AT156" s="54" t="str">
        <f t="shared" si="340"/>
        <v/>
      </c>
      <c r="AU156" s="353">
        <f>+Расходы!G106/1000</f>
        <v>0</v>
      </c>
      <c r="AV156" s="54" t="str">
        <f t="shared" si="341"/>
        <v/>
      </c>
      <c r="AW156" s="468" t="str">
        <f t="shared" si="304"/>
        <v/>
      </c>
      <c r="AX156" s="468" t="str">
        <f t="shared" si="305"/>
        <v/>
      </c>
      <c r="AY156" s="344"/>
      <c r="AZ156" s="54" t="str">
        <f t="shared" si="342"/>
        <v/>
      </c>
      <c r="BA156" s="238">
        <v>0</v>
      </c>
      <c r="BB156" s="54" t="str">
        <f t="shared" si="343"/>
        <v/>
      </c>
      <c r="BC156" s="353">
        <f>+Расходы!H106/1000</f>
        <v>0</v>
      </c>
      <c r="BD156" s="54" t="str">
        <f t="shared" si="344"/>
        <v/>
      </c>
      <c r="BE156" s="468" t="str">
        <f t="shared" si="306"/>
        <v/>
      </c>
      <c r="BF156" s="468" t="str">
        <f t="shared" si="307"/>
        <v/>
      </c>
      <c r="BG156" s="344"/>
      <c r="BH156" s="54" t="str">
        <f t="shared" si="345"/>
        <v/>
      </c>
      <c r="BI156" s="238">
        <v>0</v>
      </c>
      <c r="BJ156" s="54" t="str">
        <f t="shared" si="346"/>
        <v/>
      </c>
      <c r="BK156" s="353">
        <f>+Расходы!I106/1000</f>
        <v>0</v>
      </c>
      <c r="BL156" s="54" t="str">
        <f t="shared" si="347"/>
        <v/>
      </c>
      <c r="BM156" s="468" t="str">
        <f t="shared" si="308"/>
        <v/>
      </c>
      <c r="BN156" s="468" t="str">
        <f t="shared" si="309"/>
        <v/>
      </c>
      <c r="BO156" s="344"/>
      <c r="BP156" s="54" t="str">
        <f t="shared" si="348"/>
        <v/>
      </c>
      <c r="BQ156" s="238">
        <v>0</v>
      </c>
      <c r="BR156" s="54" t="str">
        <f t="shared" si="349"/>
        <v/>
      </c>
      <c r="BS156" s="353">
        <f>+Расходы!J106/1000</f>
        <v>0</v>
      </c>
      <c r="BT156" s="54" t="str">
        <f t="shared" si="350"/>
        <v/>
      </c>
      <c r="BU156" s="468" t="str">
        <f t="shared" si="310"/>
        <v/>
      </c>
      <c r="BV156" s="468" t="str">
        <f t="shared" si="311"/>
        <v/>
      </c>
      <c r="BW156" s="344"/>
      <c r="BX156" s="54" t="str">
        <f t="shared" si="351"/>
        <v/>
      </c>
      <c r="BY156" s="238">
        <v>0</v>
      </c>
      <c r="BZ156" s="54" t="str">
        <f t="shared" si="352"/>
        <v/>
      </c>
      <c r="CA156" s="353">
        <f>+Расходы!K106/1000</f>
        <v>0</v>
      </c>
      <c r="CB156" s="54" t="str">
        <f t="shared" si="353"/>
        <v/>
      </c>
      <c r="CC156" s="468" t="str">
        <f t="shared" si="312"/>
        <v/>
      </c>
      <c r="CD156" s="468" t="str">
        <f t="shared" si="313"/>
        <v/>
      </c>
      <c r="CE156" s="344"/>
      <c r="CF156" s="54" t="str">
        <f t="shared" si="354"/>
        <v/>
      </c>
      <c r="CG156" s="238">
        <v>0</v>
      </c>
      <c r="CH156" s="54" t="str">
        <f t="shared" si="355"/>
        <v/>
      </c>
      <c r="CI156" s="353">
        <f>+Расходы!L106/1000</f>
        <v>0</v>
      </c>
      <c r="CJ156" s="54" t="str">
        <f t="shared" si="356"/>
        <v/>
      </c>
      <c r="CK156" s="468" t="str">
        <f t="shared" si="314"/>
        <v/>
      </c>
      <c r="CL156" s="468" t="str">
        <f t="shared" si="315"/>
        <v/>
      </c>
      <c r="CM156" s="344"/>
      <c r="CN156" s="54" t="str">
        <f t="shared" si="357"/>
        <v/>
      </c>
      <c r="CO156" s="238">
        <v>0</v>
      </c>
      <c r="CP156" s="54" t="str">
        <f t="shared" si="358"/>
        <v/>
      </c>
      <c r="CQ156" s="353">
        <f>+Расходы!M106/1000</f>
        <v>0</v>
      </c>
      <c r="CR156" s="54" t="str">
        <f t="shared" si="359"/>
        <v/>
      </c>
      <c r="CS156" s="468" t="str">
        <f t="shared" si="316"/>
        <v/>
      </c>
      <c r="CT156" s="468" t="str">
        <f t="shared" si="317"/>
        <v/>
      </c>
      <c r="CU156" s="344">
        <f t="shared" si="292"/>
        <v>0</v>
      </c>
      <c r="CV156" s="54" t="str">
        <f t="shared" si="318"/>
        <v/>
      </c>
      <c r="CW156" s="238">
        <f t="shared" si="293"/>
        <v>0</v>
      </c>
      <c r="CX156" s="54">
        <f t="shared" si="319"/>
        <v>0</v>
      </c>
      <c r="CY156" s="353">
        <f t="shared" si="320"/>
        <v>0</v>
      </c>
      <c r="CZ156" s="54">
        <f t="shared" si="321"/>
        <v>0</v>
      </c>
      <c r="DA156" s="468" t="str">
        <f t="shared" si="322"/>
        <v/>
      </c>
      <c r="DB156" s="468" t="str">
        <f t="shared" si="323"/>
        <v/>
      </c>
    </row>
    <row r="157" spans="2:106" s="103" customFormat="1" ht="13.15" customHeight="1" outlineLevel="2">
      <c r="B157" s="61" t="str">
        <f>+Расходы!A107</f>
        <v>Тайный гость</v>
      </c>
      <c r="C157" s="238"/>
      <c r="D157" s="54" t="str">
        <f t="shared" si="324"/>
        <v/>
      </c>
      <c r="E157" s="238"/>
      <c r="F157" s="54" t="str">
        <f t="shared" si="325"/>
        <v/>
      </c>
      <c r="G157" s="353">
        <f>+Расходы!B107/1000</f>
        <v>0</v>
      </c>
      <c r="H157" s="54" t="str">
        <f t="shared" si="326"/>
        <v/>
      </c>
      <c r="I157" s="468" t="str">
        <f t="shared" si="294"/>
        <v/>
      </c>
      <c r="J157" s="468" t="str">
        <f t="shared" si="295"/>
        <v/>
      </c>
      <c r="K157" s="238"/>
      <c r="L157" s="54" t="str">
        <f t="shared" si="327"/>
        <v/>
      </c>
      <c r="M157" s="238"/>
      <c r="N157" s="54" t="str">
        <f t="shared" si="328"/>
        <v/>
      </c>
      <c r="O157" s="353">
        <f>+Расходы!C107/1000</f>
        <v>0</v>
      </c>
      <c r="P157" s="54" t="str">
        <f t="shared" si="329"/>
        <v/>
      </c>
      <c r="Q157" s="468" t="str">
        <f t="shared" si="296"/>
        <v/>
      </c>
      <c r="R157" s="468" t="str">
        <f t="shared" si="297"/>
        <v/>
      </c>
      <c r="S157" s="238"/>
      <c r="T157" s="54" t="str">
        <f t="shared" si="330"/>
        <v/>
      </c>
      <c r="U157" s="238">
        <v>0</v>
      </c>
      <c r="V157" s="54" t="str">
        <f t="shared" si="331"/>
        <v/>
      </c>
      <c r="W157" s="353">
        <f>+Расходы!D107/1000</f>
        <v>0</v>
      </c>
      <c r="X157" s="54" t="str">
        <f t="shared" si="332"/>
        <v/>
      </c>
      <c r="Y157" s="468" t="str">
        <f t="shared" si="298"/>
        <v/>
      </c>
      <c r="Z157" s="468" t="str">
        <f t="shared" si="299"/>
        <v/>
      </c>
      <c r="AA157" s="238"/>
      <c r="AB157" s="54" t="str">
        <f t="shared" si="333"/>
        <v/>
      </c>
      <c r="AC157" s="238">
        <v>0</v>
      </c>
      <c r="AD157" s="54" t="str">
        <f t="shared" si="334"/>
        <v/>
      </c>
      <c r="AE157" s="353">
        <f>+Расходы!E107/1000</f>
        <v>0</v>
      </c>
      <c r="AF157" s="54" t="str">
        <f t="shared" si="335"/>
        <v/>
      </c>
      <c r="AG157" s="468" t="str">
        <f t="shared" si="300"/>
        <v/>
      </c>
      <c r="AH157" s="468" t="str">
        <f t="shared" si="301"/>
        <v/>
      </c>
      <c r="AI157" s="238"/>
      <c r="AJ157" s="54" t="str">
        <f t="shared" si="336"/>
        <v/>
      </c>
      <c r="AK157" s="238">
        <v>0</v>
      </c>
      <c r="AL157" s="54" t="str">
        <f t="shared" si="337"/>
        <v/>
      </c>
      <c r="AM157" s="353">
        <f>+Расходы!F107/1000</f>
        <v>0</v>
      </c>
      <c r="AN157" s="54" t="str">
        <f t="shared" si="338"/>
        <v/>
      </c>
      <c r="AO157" s="468" t="str">
        <f t="shared" si="302"/>
        <v/>
      </c>
      <c r="AP157" s="468" t="str">
        <f t="shared" si="303"/>
        <v/>
      </c>
      <c r="AQ157" s="344"/>
      <c r="AR157" s="54" t="str">
        <f t="shared" si="339"/>
        <v/>
      </c>
      <c r="AS157" s="238">
        <v>0</v>
      </c>
      <c r="AT157" s="54" t="str">
        <f t="shared" si="340"/>
        <v/>
      </c>
      <c r="AU157" s="353">
        <f>+Расходы!G107/1000</f>
        <v>0</v>
      </c>
      <c r="AV157" s="54" t="str">
        <f t="shared" si="341"/>
        <v/>
      </c>
      <c r="AW157" s="468" t="str">
        <f t="shared" si="304"/>
        <v/>
      </c>
      <c r="AX157" s="468" t="str">
        <f t="shared" si="305"/>
        <v/>
      </c>
      <c r="AY157" s="344"/>
      <c r="AZ157" s="54" t="str">
        <f t="shared" si="342"/>
        <v/>
      </c>
      <c r="BA157" s="238">
        <v>0</v>
      </c>
      <c r="BB157" s="54" t="str">
        <f t="shared" si="343"/>
        <v/>
      </c>
      <c r="BC157" s="353">
        <f>+Расходы!H107/1000</f>
        <v>0</v>
      </c>
      <c r="BD157" s="54" t="str">
        <f t="shared" si="344"/>
        <v/>
      </c>
      <c r="BE157" s="468" t="str">
        <f t="shared" si="306"/>
        <v/>
      </c>
      <c r="BF157" s="468" t="str">
        <f t="shared" si="307"/>
        <v/>
      </c>
      <c r="BG157" s="344"/>
      <c r="BH157" s="54" t="str">
        <f t="shared" si="345"/>
        <v/>
      </c>
      <c r="BI157" s="238">
        <v>0</v>
      </c>
      <c r="BJ157" s="54" t="str">
        <f t="shared" si="346"/>
        <v/>
      </c>
      <c r="BK157" s="353">
        <f>+Расходы!I107/1000</f>
        <v>0</v>
      </c>
      <c r="BL157" s="54" t="str">
        <f t="shared" si="347"/>
        <v/>
      </c>
      <c r="BM157" s="468" t="str">
        <f t="shared" si="308"/>
        <v/>
      </c>
      <c r="BN157" s="468" t="str">
        <f t="shared" si="309"/>
        <v/>
      </c>
      <c r="BO157" s="344"/>
      <c r="BP157" s="54" t="str">
        <f t="shared" si="348"/>
        <v/>
      </c>
      <c r="BQ157" s="238">
        <v>0</v>
      </c>
      <c r="BR157" s="54" t="str">
        <f t="shared" si="349"/>
        <v/>
      </c>
      <c r="BS157" s="353">
        <f>+Расходы!J107/1000</f>
        <v>0</v>
      </c>
      <c r="BT157" s="54" t="str">
        <f t="shared" si="350"/>
        <v/>
      </c>
      <c r="BU157" s="468" t="str">
        <f t="shared" si="310"/>
        <v/>
      </c>
      <c r="BV157" s="468" t="str">
        <f t="shared" si="311"/>
        <v/>
      </c>
      <c r="BW157" s="344"/>
      <c r="BX157" s="54" t="str">
        <f t="shared" si="351"/>
        <v/>
      </c>
      <c r="BY157" s="238">
        <v>0</v>
      </c>
      <c r="BZ157" s="54" t="str">
        <f t="shared" si="352"/>
        <v/>
      </c>
      <c r="CA157" s="353">
        <f>+Расходы!K107/1000</f>
        <v>0</v>
      </c>
      <c r="CB157" s="54" t="str">
        <f t="shared" si="353"/>
        <v/>
      </c>
      <c r="CC157" s="468" t="str">
        <f t="shared" si="312"/>
        <v/>
      </c>
      <c r="CD157" s="468" t="str">
        <f t="shared" si="313"/>
        <v/>
      </c>
      <c r="CE157" s="344"/>
      <c r="CF157" s="54" t="str">
        <f t="shared" si="354"/>
        <v/>
      </c>
      <c r="CG157" s="238">
        <v>0</v>
      </c>
      <c r="CH157" s="54" t="str">
        <f t="shared" si="355"/>
        <v/>
      </c>
      <c r="CI157" s="353">
        <f>+Расходы!L107/1000</f>
        <v>0</v>
      </c>
      <c r="CJ157" s="54" t="str">
        <f t="shared" si="356"/>
        <v/>
      </c>
      <c r="CK157" s="468" t="str">
        <f t="shared" si="314"/>
        <v/>
      </c>
      <c r="CL157" s="468" t="str">
        <f t="shared" si="315"/>
        <v/>
      </c>
      <c r="CM157" s="344"/>
      <c r="CN157" s="54" t="str">
        <f t="shared" si="357"/>
        <v/>
      </c>
      <c r="CO157" s="238">
        <v>0</v>
      </c>
      <c r="CP157" s="54" t="str">
        <f t="shared" si="358"/>
        <v/>
      </c>
      <c r="CQ157" s="353">
        <f>+Расходы!M107/1000</f>
        <v>0</v>
      </c>
      <c r="CR157" s="54" t="str">
        <f t="shared" si="359"/>
        <v/>
      </c>
      <c r="CS157" s="468" t="str">
        <f t="shared" si="316"/>
        <v/>
      </c>
      <c r="CT157" s="468" t="str">
        <f t="shared" si="317"/>
        <v/>
      </c>
      <c r="CU157" s="344">
        <f t="shared" si="292"/>
        <v>0</v>
      </c>
      <c r="CV157" s="54" t="str">
        <f t="shared" si="318"/>
        <v/>
      </c>
      <c r="CW157" s="238">
        <f t="shared" si="293"/>
        <v>0</v>
      </c>
      <c r="CX157" s="54">
        <f t="shared" si="319"/>
        <v>0</v>
      </c>
      <c r="CY157" s="353">
        <f t="shared" si="320"/>
        <v>0</v>
      </c>
      <c r="CZ157" s="54">
        <f t="shared" si="321"/>
        <v>0</v>
      </c>
      <c r="DA157" s="468" t="str">
        <f t="shared" si="322"/>
        <v/>
      </c>
      <c r="DB157" s="468" t="str">
        <f t="shared" si="323"/>
        <v/>
      </c>
    </row>
    <row r="158" spans="2:106" s="103" customFormat="1" ht="13.15" customHeight="1" outlineLevel="2">
      <c r="B158" s="61" t="str">
        <f>+Расходы!A108</f>
        <v>Телефон</v>
      </c>
      <c r="C158" s="238"/>
      <c r="D158" s="54" t="str">
        <f t="shared" si="324"/>
        <v/>
      </c>
      <c r="E158" s="238"/>
      <c r="F158" s="54" t="str">
        <f t="shared" si="325"/>
        <v/>
      </c>
      <c r="G158" s="353">
        <f>+Расходы!B108/1000</f>
        <v>0</v>
      </c>
      <c r="H158" s="54" t="str">
        <f t="shared" si="326"/>
        <v/>
      </c>
      <c r="I158" s="468" t="str">
        <f t="shared" si="294"/>
        <v/>
      </c>
      <c r="J158" s="468" t="str">
        <f t="shared" si="295"/>
        <v/>
      </c>
      <c r="K158" s="238"/>
      <c r="L158" s="54" t="str">
        <f t="shared" si="327"/>
        <v/>
      </c>
      <c r="M158" s="238"/>
      <c r="N158" s="54" t="str">
        <f t="shared" si="328"/>
        <v/>
      </c>
      <c r="O158" s="353">
        <f>+Расходы!C108/1000</f>
        <v>0</v>
      </c>
      <c r="P158" s="54" t="str">
        <f t="shared" si="329"/>
        <v/>
      </c>
      <c r="Q158" s="468" t="str">
        <f t="shared" si="296"/>
        <v/>
      </c>
      <c r="R158" s="468" t="str">
        <f t="shared" si="297"/>
        <v/>
      </c>
      <c r="S158" s="238"/>
      <c r="T158" s="54" t="str">
        <f t="shared" si="330"/>
        <v/>
      </c>
      <c r="U158" s="238">
        <v>0</v>
      </c>
      <c r="V158" s="54" t="str">
        <f t="shared" si="331"/>
        <v/>
      </c>
      <c r="W158" s="353">
        <f>+Расходы!D108/1000</f>
        <v>0</v>
      </c>
      <c r="X158" s="54" t="str">
        <f t="shared" si="332"/>
        <v/>
      </c>
      <c r="Y158" s="468" t="str">
        <f t="shared" si="298"/>
        <v/>
      </c>
      <c r="Z158" s="468" t="str">
        <f t="shared" si="299"/>
        <v/>
      </c>
      <c r="AA158" s="238"/>
      <c r="AB158" s="54" t="str">
        <f t="shared" si="333"/>
        <v/>
      </c>
      <c r="AC158" s="238">
        <v>0</v>
      </c>
      <c r="AD158" s="54" t="str">
        <f t="shared" si="334"/>
        <v/>
      </c>
      <c r="AE158" s="353">
        <f>+Расходы!E108/1000</f>
        <v>0</v>
      </c>
      <c r="AF158" s="54" t="str">
        <f t="shared" si="335"/>
        <v/>
      </c>
      <c r="AG158" s="468" t="str">
        <f t="shared" si="300"/>
        <v/>
      </c>
      <c r="AH158" s="468" t="str">
        <f t="shared" si="301"/>
        <v/>
      </c>
      <c r="AI158" s="238"/>
      <c r="AJ158" s="54" t="str">
        <f t="shared" si="336"/>
        <v/>
      </c>
      <c r="AK158" s="238">
        <v>0</v>
      </c>
      <c r="AL158" s="54" t="str">
        <f t="shared" si="337"/>
        <v/>
      </c>
      <c r="AM158" s="353">
        <f>+Расходы!F108/1000</f>
        <v>0</v>
      </c>
      <c r="AN158" s="54" t="str">
        <f t="shared" si="338"/>
        <v/>
      </c>
      <c r="AO158" s="468" t="str">
        <f t="shared" si="302"/>
        <v/>
      </c>
      <c r="AP158" s="468" t="str">
        <f t="shared" si="303"/>
        <v/>
      </c>
      <c r="AQ158" s="344"/>
      <c r="AR158" s="54" t="str">
        <f t="shared" si="339"/>
        <v/>
      </c>
      <c r="AS158" s="238">
        <v>0</v>
      </c>
      <c r="AT158" s="54" t="str">
        <f t="shared" si="340"/>
        <v/>
      </c>
      <c r="AU158" s="353">
        <f>+Расходы!G108/1000</f>
        <v>0</v>
      </c>
      <c r="AV158" s="54" t="str">
        <f t="shared" si="341"/>
        <v/>
      </c>
      <c r="AW158" s="468" t="str">
        <f t="shared" si="304"/>
        <v/>
      </c>
      <c r="AX158" s="468" t="str">
        <f t="shared" si="305"/>
        <v/>
      </c>
      <c r="AY158" s="344"/>
      <c r="AZ158" s="54" t="str">
        <f t="shared" si="342"/>
        <v/>
      </c>
      <c r="BA158" s="238">
        <v>0</v>
      </c>
      <c r="BB158" s="54" t="str">
        <f t="shared" si="343"/>
        <v/>
      </c>
      <c r="BC158" s="353">
        <f>+Расходы!H108/1000</f>
        <v>0</v>
      </c>
      <c r="BD158" s="54" t="str">
        <f t="shared" si="344"/>
        <v/>
      </c>
      <c r="BE158" s="468" t="str">
        <f t="shared" si="306"/>
        <v/>
      </c>
      <c r="BF158" s="468" t="str">
        <f t="shared" si="307"/>
        <v/>
      </c>
      <c r="BG158" s="344"/>
      <c r="BH158" s="54" t="str">
        <f t="shared" si="345"/>
        <v/>
      </c>
      <c r="BI158" s="238">
        <v>0</v>
      </c>
      <c r="BJ158" s="54" t="str">
        <f t="shared" si="346"/>
        <v/>
      </c>
      <c r="BK158" s="353">
        <f>+Расходы!I108/1000</f>
        <v>0</v>
      </c>
      <c r="BL158" s="54" t="str">
        <f t="shared" si="347"/>
        <v/>
      </c>
      <c r="BM158" s="468" t="str">
        <f t="shared" si="308"/>
        <v/>
      </c>
      <c r="BN158" s="468" t="str">
        <f t="shared" si="309"/>
        <v/>
      </c>
      <c r="BO158" s="344"/>
      <c r="BP158" s="54" t="str">
        <f t="shared" si="348"/>
        <v/>
      </c>
      <c r="BQ158" s="238">
        <v>0</v>
      </c>
      <c r="BR158" s="54" t="str">
        <f t="shared" si="349"/>
        <v/>
      </c>
      <c r="BS158" s="353">
        <f>+Расходы!J108/1000</f>
        <v>0</v>
      </c>
      <c r="BT158" s="54" t="str">
        <f t="shared" si="350"/>
        <v/>
      </c>
      <c r="BU158" s="468" t="str">
        <f t="shared" si="310"/>
        <v/>
      </c>
      <c r="BV158" s="468" t="str">
        <f t="shared" si="311"/>
        <v/>
      </c>
      <c r="BW158" s="344"/>
      <c r="BX158" s="54" t="str">
        <f t="shared" si="351"/>
        <v/>
      </c>
      <c r="BY158" s="238">
        <v>0</v>
      </c>
      <c r="BZ158" s="54" t="str">
        <f t="shared" si="352"/>
        <v/>
      </c>
      <c r="CA158" s="353">
        <f>+Расходы!K108/1000</f>
        <v>0</v>
      </c>
      <c r="CB158" s="54" t="str">
        <f t="shared" si="353"/>
        <v/>
      </c>
      <c r="CC158" s="468" t="str">
        <f t="shared" si="312"/>
        <v/>
      </c>
      <c r="CD158" s="468" t="str">
        <f t="shared" si="313"/>
        <v/>
      </c>
      <c r="CE158" s="344"/>
      <c r="CF158" s="54" t="str">
        <f t="shared" si="354"/>
        <v/>
      </c>
      <c r="CG158" s="238">
        <v>0</v>
      </c>
      <c r="CH158" s="54" t="str">
        <f t="shared" si="355"/>
        <v/>
      </c>
      <c r="CI158" s="353">
        <f>+Расходы!L108/1000</f>
        <v>0</v>
      </c>
      <c r="CJ158" s="54" t="str">
        <f t="shared" si="356"/>
        <v/>
      </c>
      <c r="CK158" s="468" t="str">
        <f t="shared" si="314"/>
        <v/>
      </c>
      <c r="CL158" s="468" t="str">
        <f t="shared" si="315"/>
        <v/>
      </c>
      <c r="CM158" s="344"/>
      <c r="CN158" s="54" t="str">
        <f t="shared" si="357"/>
        <v/>
      </c>
      <c r="CO158" s="238">
        <v>0</v>
      </c>
      <c r="CP158" s="54" t="str">
        <f t="shared" si="358"/>
        <v/>
      </c>
      <c r="CQ158" s="353">
        <f>+Расходы!M108/1000</f>
        <v>0</v>
      </c>
      <c r="CR158" s="54" t="str">
        <f t="shared" si="359"/>
        <v/>
      </c>
      <c r="CS158" s="468" t="str">
        <f t="shared" si="316"/>
        <v/>
      </c>
      <c r="CT158" s="468" t="str">
        <f t="shared" si="317"/>
        <v/>
      </c>
      <c r="CU158" s="344">
        <f t="shared" si="292"/>
        <v>0</v>
      </c>
      <c r="CV158" s="54" t="str">
        <f t="shared" si="318"/>
        <v/>
      </c>
      <c r="CW158" s="238">
        <f t="shared" si="293"/>
        <v>0</v>
      </c>
      <c r="CX158" s="54">
        <f t="shared" si="319"/>
        <v>0</v>
      </c>
      <c r="CY158" s="353">
        <f t="shared" si="320"/>
        <v>0</v>
      </c>
      <c r="CZ158" s="54">
        <f t="shared" si="321"/>
        <v>0</v>
      </c>
      <c r="DA158" s="468" t="str">
        <f t="shared" si="322"/>
        <v/>
      </c>
      <c r="DB158" s="468" t="str">
        <f t="shared" si="323"/>
        <v/>
      </c>
    </row>
    <row r="159" spans="2:106" s="103" customFormat="1" ht="13.15" customHeight="1" outlineLevel="2">
      <c r="B159" s="61" t="str">
        <f>+Расходы!A109</f>
        <v>Техническое обслуживание</v>
      </c>
      <c r="C159" s="238"/>
      <c r="D159" s="54" t="str">
        <f t="shared" si="324"/>
        <v/>
      </c>
      <c r="E159" s="238"/>
      <c r="F159" s="54" t="str">
        <f t="shared" si="325"/>
        <v/>
      </c>
      <c r="G159" s="353">
        <f>+Расходы!B109/1000</f>
        <v>0</v>
      </c>
      <c r="H159" s="54" t="str">
        <f t="shared" si="326"/>
        <v/>
      </c>
      <c r="I159" s="468" t="str">
        <f t="shared" si="294"/>
        <v/>
      </c>
      <c r="J159" s="468" t="str">
        <f t="shared" si="295"/>
        <v/>
      </c>
      <c r="K159" s="238"/>
      <c r="L159" s="54" t="str">
        <f t="shared" si="327"/>
        <v/>
      </c>
      <c r="M159" s="238"/>
      <c r="N159" s="54" t="str">
        <f t="shared" si="328"/>
        <v/>
      </c>
      <c r="O159" s="353">
        <f>+Расходы!C109/1000</f>
        <v>0</v>
      </c>
      <c r="P159" s="54" t="str">
        <f t="shared" si="329"/>
        <v/>
      </c>
      <c r="Q159" s="468" t="str">
        <f t="shared" si="296"/>
        <v/>
      </c>
      <c r="R159" s="468" t="str">
        <f t="shared" si="297"/>
        <v/>
      </c>
      <c r="S159" s="238"/>
      <c r="T159" s="54" t="str">
        <f t="shared" si="330"/>
        <v/>
      </c>
      <c r="U159" s="238">
        <v>0</v>
      </c>
      <c r="V159" s="54" t="str">
        <f t="shared" si="331"/>
        <v/>
      </c>
      <c r="W159" s="353">
        <f>+Расходы!D109/1000</f>
        <v>0</v>
      </c>
      <c r="X159" s="54" t="str">
        <f t="shared" si="332"/>
        <v/>
      </c>
      <c r="Y159" s="468" t="str">
        <f t="shared" si="298"/>
        <v/>
      </c>
      <c r="Z159" s="468" t="str">
        <f t="shared" si="299"/>
        <v/>
      </c>
      <c r="AA159" s="238"/>
      <c r="AB159" s="54" t="str">
        <f t="shared" si="333"/>
        <v/>
      </c>
      <c r="AC159" s="238">
        <v>15</v>
      </c>
      <c r="AD159" s="54">
        <f t="shared" si="334"/>
        <v>1.0971456658357616E-3</v>
      </c>
      <c r="AE159" s="353">
        <f>+Расходы!E109/1000</f>
        <v>28.94</v>
      </c>
      <c r="AF159" s="54">
        <f t="shared" si="335"/>
        <v>2.1103754047195403E-3</v>
      </c>
      <c r="AG159" s="468">
        <f t="shared" si="300"/>
        <v>0.92933333333333334</v>
      </c>
      <c r="AH159" s="468" t="str">
        <f t="shared" si="301"/>
        <v/>
      </c>
      <c r="AI159" s="238"/>
      <c r="AJ159" s="54" t="str">
        <f t="shared" si="336"/>
        <v/>
      </c>
      <c r="AK159" s="238">
        <v>15</v>
      </c>
      <c r="AL159" s="54">
        <f t="shared" si="337"/>
        <v>1.0735757228743201E-3</v>
      </c>
      <c r="AM159" s="353">
        <f>+Расходы!F109/1000</f>
        <v>45.45</v>
      </c>
      <c r="AN159" s="54">
        <f t="shared" si="338"/>
        <v>2.8925848634757225E-3</v>
      </c>
      <c r="AO159" s="468">
        <f t="shared" si="302"/>
        <v>2.0300000000000002</v>
      </c>
      <c r="AP159" s="468" t="str">
        <f t="shared" si="303"/>
        <v/>
      </c>
      <c r="AQ159" s="344"/>
      <c r="AR159" s="54" t="str">
        <f t="shared" si="339"/>
        <v/>
      </c>
      <c r="AS159" s="238">
        <v>40</v>
      </c>
      <c r="AT159" s="54">
        <f t="shared" si="340"/>
        <v>2.6525198938992041E-3</v>
      </c>
      <c r="AU159" s="353">
        <f>+Расходы!G109/1000</f>
        <v>43.02</v>
      </c>
      <c r="AV159" s="54">
        <f t="shared" si="341"/>
        <v>3.0182376060198055E-3</v>
      </c>
      <c r="AW159" s="468">
        <f t="shared" si="304"/>
        <v>7.5500000000000123E-2</v>
      </c>
      <c r="AX159" s="468" t="str">
        <f t="shared" si="305"/>
        <v/>
      </c>
      <c r="AY159" s="344"/>
      <c r="AZ159" s="54" t="str">
        <f t="shared" si="342"/>
        <v/>
      </c>
      <c r="BA159" s="238">
        <v>40</v>
      </c>
      <c r="BB159" s="54">
        <f t="shared" si="343"/>
        <v>2.553055688527206E-3</v>
      </c>
      <c r="BC159" s="353">
        <f>+Расходы!H109/1000</f>
        <v>0</v>
      </c>
      <c r="BD159" s="54" t="str">
        <f t="shared" si="344"/>
        <v/>
      </c>
      <c r="BE159" s="468">
        <f t="shared" si="306"/>
        <v>-1</v>
      </c>
      <c r="BF159" s="468" t="str">
        <f t="shared" si="307"/>
        <v/>
      </c>
      <c r="BG159" s="344"/>
      <c r="BH159" s="54" t="str">
        <f t="shared" si="345"/>
        <v/>
      </c>
      <c r="BI159" s="238">
        <v>40</v>
      </c>
      <c r="BJ159" s="54">
        <f t="shared" si="346"/>
        <v>2.553055688527206E-3</v>
      </c>
      <c r="BK159" s="353">
        <f>+Расходы!I109/1000</f>
        <v>0</v>
      </c>
      <c r="BL159" s="54" t="str">
        <f t="shared" si="347"/>
        <v/>
      </c>
      <c r="BM159" s="468">
        <f t="shared" si="308"/>
        <v>-1</v>
      </c>
      <c r="BN159" s="468" t="str">
        <f t="shared" si="309"/>
        <v/>
      </c>
      <c r="BO159" s="344"/>
      <c r="BP159" s="54" t="str">
        <f t="shared" si="348"/>
        <v/>
      </c>
      <c r="BQ159" s="238">
        <v>40</v>
      </c>
      <c r="BR159" s="54">
        <f t="shared" si="349"/>
        <v>2.7624309392265192E-3</v>
      </c>
      <c r="BS159" s="353">
        <f>+Расходы!J109/1000</f>
        <v>0</v>
      </c>
      <c r="BT159" s="54" t="str">
        <f t="shared" si="350"/>
        <v/>
      </c>
      <c r="BU159" s="468">
        <f t="shared" si="310"/>
        <v>-1</v>
      </c>
      <c r="BV159" s="468" t="str">
        <f t="shared" si="311"/>
        <v/>
      </c>
      <c r="BW159" s="344"/>
      <c r="BX159" s="54" t="str">
        <f t="shared" si="351"/>
        <v/>
      </c>
      <c r="BY159" s="238">
        <v>0</v>
      </c>
      <c r="BZ159" s="54" t="str">
        <f t="shared" si="352"/>
        <v/>
      </c>
      <c r="CA159" s="353">
        <f>+Расходы!K109/1000</f>
        <v>0</v>
      </c>
      <c r="CB159" s="54" t="str">
        <f t="shared" si="353"/>
        <v/>
      </c>
      <c r="CC159" s="468" t="str">
        <f t="shared" si="312"/>
        <v/>
      </c>
      <c r="CD159" s="468" t="str">
        <f t="shared" si="313"/>
        <v/>
      </c>
      <c r="CE159" s="344"/>
      <c r="CF159" s="54" t="str">
        <f t="shared" si="354"/>
        <v/>
      </c>
      <c r="CG159" s="238">
        <v>0</v>
      </c>
      <c r="CH159" s="54" t="str">
        <f t="shared" si="355"/>
        <v/>
      </c>
      <c r="CI159" s="353">
        <f>+Расходы!L109/1000</f>
        <v>0</v>
      </c>
      <c r="CJ159" s="54" t="str">
        <f t="shared" si="356"/>
        <v/>
      </c>
      <c r="CK159" s="468" t="str">
        <f t="shared" si="314"/>
        <v/>
      </c>
      <c r="CL159" s="468" t="str">
        <f t="shared" si="315"/>
        <v/>
      </c>
      <c r="CM159" s="344"/>
      <c r="CN159" s="54" t="str">
        <f t="shared" si="357"/>
        <v/>
      </c>
      <c r="CO159" s="238">
        <v>0</v>
      </c>
      <c r="CP159" s="54" t="str">
        <f t="shared" si="358"/>
        <v/>
      </c>
      <c r="CQ159" s="353">
        <f>+Расходы!M109/1000</f>
        <v>0</v>
      </c>
      <c r="CR159" s="54" t="str">
        <f t="shared" si="359"/>
        <v/>
      </c>
      <c r="CS159" s="468" t="str">
        <f t="shared" si="316"/>
        <v/>
      </c>
      <c r="CT159" s="468" t="str">
        <f t="shared" si="317"/>
        <v/>
      </c>
      <c r="CU159" s="344">
        <f t="shared" si="292"/>
        <v>0</v>
      </c>
      <c r="CV159" s="54" t="str">
        <f t="shared" si="318"/>
        <v/>
      </c>
      <c r="CW159" s="238">
        <f t="shared" si="293"/>
        <v>190</v>
      </c>
      <c r="CX159" s="54">
        <f t="shared" si="319"/>
        <v>1.4327730572208518E-3</v>
      </c>
      <c r="CY159" s="353">
        <f t="shared" si="320"/>
        <v>117.41</v>
      </c>
      <c r="CZ159" s="54">
        <f t="shared" si="321"/>
        <v>2.3667056978585814E-3</v>
      </c>
      <c r="DA159" s="468">
        <f t="shared" si="322"/>
        <v>-0.38205263157894742</v>
      </c>
      <c r="DB159" s="468" t="str">
        <f t="shared" si="323"/>
        <v/>
      </c>
    </row>
    <row r="160" spans="2:106" s="103" customFormat="1" ht="13.15" customHeight="1" outlineLevel="2">
      <c r="B160" s="61" t="str">
        <f>+Расходы!A110</f>
        <v>Трансформация зала, аренда под мероприятия</v>
      </c>
      <c r="C160" s="238"/>
      <c r="D160" s="54" t="str">
        <f t="shared" si="324"/>
        <v/>
      </c>
      <c r="E160" s="238"/>
      <c r="F160" s="54" t="str">
        <f t="shared" si="325"/>
        <v/>
      </c>
      <c r="G160" s="353">
        <f>+Расходы!B110/1000</f>
        <v>0</v>
      </c>
      <c r="H160" s="54" t="str">
        <f t="shared" si="326"/>
        <v/>
      </c>
      <c r="I160" s="468" t="str">
        <f t="shared" si="294"/>
        <v/>
      </c>
      <c r="J160" s="468" t="str">
        <f t="shared" si="295"/>
        <v/>
      </c>
      <c r="K160" s="238"/>
      <c r="L160" s="54" t="str">
        <f t="shared" si="327"/>
        <v/>
      </c>
      <c r="M160" s="238"/>
      <c r="N160" s="54" t="str">
        <f t="shared" si="328"/>
        <v/>
      </c>
      <c r="O160" s="353">
        <f>+Расходы!C110/1000</f>
        <v>0</v>
      </c>
      <c r="P160" s="54" t="str">
        <f t="shared" si="329"/>
        <v/>
      </c>
      <c r="Q160" s="468" t="str">
        <f t="shared" si="296"/>
        <v/>
      </c>
      <c r="R160" s="468" t="str">
        <f t="shared" si="297"/>
        <v/>
      </c>
      <c r="S160" s="238"/>
      <c r="T160" s="54" t="str">
        <f t="shared" si="330"/>
        <v/>
      </c>
      <c r="U160" s="238">
        <v>0</v>
      </c>
      <c r="V160" s="54" t="str">
        <f t="shared" si="331"/>
        <v/>
      </c>
      <c r="W160" s="353">
        <f>+Расходы!D110/1000</f>
        <v>0</v>
      </c>
      <c r="X160" s="54" t="str">
        <f t="shared" si="332"/>
        <v/>
      </c>
      <c r="Y160" s="468" t="str">
        <f t="shared" si="298"/>
        <v/>
      </c>
      <c r="Z160" s="468" t="str">
        <f t="shared" si="299"/>
        <v/>
      </c>
      <c r="AA160" s="238"/>
      <c r="AB160" s="54" t="str">
        <f t="shared" si="333"/>
        <v/>
      </c>
      <c r="AC160" s="238">
        <v>0</v>
      </c>
      <c r="AD160" s="54" t="str">
        <f t="shared" si="334"/>
        <v/>
      </c>
      <c r="AE160" s="353">
        <f>+Расходы!E110/1000</f>
        <v>0</v>
      </c>
      <c r="AF160" s="54" t="str">
        <f t="shared" si="335"/>
        <v/>
      </c>
      <c r="AG160" s="468" t="str">
        <f t="shared" si="300"/>
        <v/>
      </c>
      <c r="AH160" s="468" t="str">
        <f t="shared" si="301"/>
        <v/>
      </c>
      <c r="AI160" s="238"/>
      <c r="AJ160" s="54" t="str">
        <f t="shared" si="336"/>
        <v/>
      </c>
      <c r="AK160" s="238">
        <v>0</v>
      </c>
      <c r="AL160" s="54" t="str">
        <f t="shared" si="337"/>
        <v/>
      </c>
      <c r="AM160" s="353">
        <f>+Расходы!F110/1000</f>
        <v>0</v>
      </c>
      <c r="AN160" s="54" t="str">
        <f t="shared" si="338"/>
        <v/>
      </c>
      <c r="AO160" s="468" t="str">
        <f t="shared" si="302"/>
        <v/>
      </c>
      <c r="AP160" s="468" t="str">
        <f t="shared" si="303"/>
        <v/>
      </c>
      <c r="AQ160" s="344"/>
      <c r="AR160" s="54" t="str">
        <f t="shared" si="339"/>
        <v/>
      </c>
      <c r="AS160" s="238">
        <v>0</v>
      </c>
      <c r="AT160" s="54" t="str">
        <f t="shared" si="340"/>
        <v/>
      </c>
      <c r="AU160" s="353">
        <f>+Расходы!G110/1000</f>
        <v>0</v>
      </c>
      <c r="AV160" s="54" t="str">
        <f t="shared" si="341"/>
        <v/>
      </c>
      <c r="AW160" s="468" t="str">
        <f t="shared" si="304"/>
        <v/>
      </c>
      <c r="AX160" s="468" t="str">
        <f t="shared" si="305"/>
        <v/>
      </c>
      <c r="AY160" s="344"/>
      <c r="AZ160" s="54" t="str">
        <f t="shared" si="342"/>
        <v/>
      </c>
      <c r="BA160" s="238">
        <v>0</v>
      </c>
      <c r="BB160" s="54" t="str">
        <f t="shared" si="343"/>
        <v/>
      </c>
      <c r="BC160" s="353">
        <f>+Расходы!H110/1000</f>
        <v>0</v>
      </c>
      <c r="BD160" s="54" t="str">
        <f t="shared" si="344"/>
        <v/>
      </c>
      <c r="BE160" s="468" t="str">
        <f t="shared" si="306"/>
        <v/>
      </c>
      <c r="BF160" s="468" t="str">
        <f t="shared" si="307"/>
        <v/>
      </c>
      <c r="BG160" s="344"/>
      <c r="BH160" s="54" t="str">
        <f t="shared" si="345"/>
        <v/>
      </c>
      <c r="BI160" s="238">
        <v>0</v>
      </c>
      <c r="BJ160" s="54" t="str">
        <f t="shared" si="346"/>
        <v/>
      </c>
      <c r="BK160" s="353">
        <f>+Расходы!I110/1000</f>
        <v>0</v>
      </c>
      <c r="BL160" s="54" t="str">
        <f t="shared" si="347"/>
        <v/>
      </c>
      <c r="BM160" s="468" t="str">
        <f t="shared" si="308"/>
        <v/>
      </c>
      <c r="BN160" s="468" t="str">
        <f t="shared" si="309"/>
        <v/>
      </c>
      <c r="BO160" s="344"/>
      <c r="BP160" s="54" t="str">
        <f t="shared" si="348"/>
        <v/>
      </c>
      <c r="BQ160" s="238">
        <v>0</v>
      </c>
      <c r="BR160" s="54" t="str">
        <f t="shared" si="349"/>
        <v/>
      </c>
      <c r="BS160" s="353">
        <f>+Расходы!J110/1000</f>
        <v>0</v>
      </c>
      <c r="BT160" s="54" t="str">
        <f t="shared" si="350"/>
        <v/>
      </c>
      <c r="BU160" s="468" t="str">
        <f t="shared" si="310"/>
        <v/>
      </c>
      <c r="BV160" s="468" t="str">
        <f t="shared" si="311"/>
        <v/>
      </c>
      <c r="BW160" s="344"/>
      <c r="BX160" s="54" t="str">
        <f t="shared" si="351"/>
        <v/>
      </c>
      <c r="BY160" s="238">
        <v>0</v>
      </c>
      <c r="BZ160" s="54" t="str">
        <f t="shared" si="352"/>
        <v/>
      </c>
      <c r="CA160" s="353">
        <f>+Расходы!K110/1000</f>
        <v>0</v>
      </c>
      <c r="CB160" s="54" t="str">
        <f t="shared" si="353"/>
        <v/>
      </c>
      <c r="CC160" s="468" t="str">
        <f t="shared" si="312"/>
        <v/>
      </c>
      <c r="CD160" s="468" t="str">
        <f t="shared" si="313"/>
        <v/>
      </c>
      <c r="CE160" s="344"/>
      <c r="CF160" s="54" t="str">
        <f t="shared" si="354"/>
        <v/>
      </c>
      <c r="CG160" s="238">
        <v>0</v>
      </c>
      <c r="CH160" s="54" t="str">
        <f t="shared" si="355"/>
        <v/>
      </c>
      <c r="CI160" s="353">
        <f>+Расходы!L110/1000</f>
        <v>0</v>
      </c>
      <c r="CJ160" s="54" t="str">
        <f t="shared" si="356"/>
        <v/>
      </c>
      <c r="CK160" s="468" t="str">
        <f t="shared" si="314"/>
        <v/>
      </c>
      <c r="CL160" s="468" t="str">
        <f t="shared" si="315"/>
        <v/>
      </c>
      <c r="CM160" s="344"/>
      <c r="CN160" s="54" t="str">
        <f t="shared" si="357"/>
        <v/>
      </c>
      <c r="CO160" s="238">
        <v>0</v>
      </c>
      <c r="CP160" s="54" t="str">
        <f t="shared" si="358"/>
        <v/>
      </c>
      <c r="CQ160" s="353">
        <f>+Расходы!M110/1000</f>
        <v>0</v>
      </c>
      <c r="CR160" s="54" t="str">
        <f t="shared" si="359"/>
        <v/>
      </c>
      <c r="CS160" s="468" t="str">
        <f t="shared" si="316"/>
        <v/>
      </c>
      <c r="CT160" s="468" t="str">
        <f t="shared" si="317"/>
        <v/>
      </c>
      <c r="CU160" s="344">
        <f t="shared" si="292"/>
        <v>0</v>
      </c>
      <c r="CV160" s="54" t="str">
        <f t="shared" si="318"/>
        <v/>
      </c>
      <c r="CW160" s="238">
        <f t="shared" si="293"/>
        <v>0</v>
      </c>
      <c r="CX160" s="54">
        <f t="shared" si="319"/>
        <v>0</v>
      </c>
      <c r="CY160" s="353">
        <f t="shared" si="320"/>
        <v>0</v>
      </c>
      <c r="CZ160" s="54">
        <f t="shared" si="321"/>
        <v>0</v>
      </c>
      <c r="DA160" s="468" t="str">
        <f t="shared" si="322"/>
        <v/>
      </c>
      <c r="DB160" s="468" t="str">
        <f t="shared" si="323"/>
        <v/>
      </c>
    </row>
    <row r="161" spans="2:106" s="103" customFormat="1" ht="13.15" customHeight="1" outlineLevel="2">
      <c r="B161" s="61" t="str">
        <f>+Расходы!A111</f>
        <v>Уборка</v>
      </c>
      <c r="C161" s="238"/>
      <c r="D161" s="54" t="str">
        <f t="shared" si="324"/>
        <v/>
      </c>
      <c r="E161" s="238"/>
      <c r="F161" s="54" t="str">
        <f t="shared" si="325"/>
        <v/>
      </c>
      <c r="G161" s="353">
        <f>+Расходы!B111/1000</f>
        <v>0</v>
      </c>
      <c r="H161" s="54" t="str">
        <f t="shared" si="326"/>
        <v/>
      </c>
      <c r="I161" s="468" t="str">
        <f t="shared" si="294"/>
        <v/>
      </c>
      <c r="J161" s="468" t="str">
        <f t="shared" si="295"/>
        <v/>
      </c>
      <c r="K161" s="238"/>
      <c r="L161" s="54" t="str">
        <f t="shared" si="327"/>
        <v/>
      </c>
      <c r="M161" s="238"/>
      <c r="N161" s="54" t="str">
        <f t="shared" si="328"/>
        <v/>
      </c>
      <c r="O161" s="353">
        <f>+Расходы!C111/1000</f>
        <v>0</v>
      </c>
      <c r="P161" s="54" t="str">
        <f t="shared" si="329"/>
        <v/>
      </c>
      <c r="Q161" s="468" t="str">
        <f t="shared" si="296"/>
        <v/>
      </c>
      <c r="R161" s="468" t="str">
        <f t="shared" si="297"/>
        <v/>
      </c>
      <c r="S161" s="238"/>
      <c r="T161" s="54" t="str">
        <f t="shared" si="330"/>
        <v/>
      </c>
      <c r="U161" s="238">
        <v>0</v>
      </c>
      <c r="V161" s="54" t="str">
        <f t="shared" si="331"/>
        <v/>
      </c>
      <c r="W161" s="353">
        <f>+Расходы!D111/1000</f>
        <v>0</v>
      </c>
      <c r="X161" s="54" t="str">
        <f t="shared" si="332"/>
        <v/>
      </c>
      <c r="Y161" s="468" t="str">
        <f t="shared" si="298"/>
        <v/>
      </c>
      <c r="Z161" s="468" t="str">
        <f t="shared" si="299"/>
        <v/>
      </c>
      <c r="AA161" s="238"/>
      <c r="AB161" s="54" t="str">
        <f t="shared" si="333"/>
        <v/>
      </c>
      <c r="AC161" s="238">
        <v>15</v>
      </c>
      <c r="AD161" s="54">
        <f t="shared" si="334"/>
        <v>1.0971456658357616E-3</v>
      </c>
      <c r="AE161" s="353">
        <f>+Расходы!E111/1000</f>
        <v>27.872700000000002</v>
      </c>
      <c r="AF161" s="54">
        <f t="shared" si="335"/>
        <v>2.0325452848350494E-3</v>
      </c>
      <c r="AG161" s="468">
        <f t="shared" si="300"/>
        <v>0.85818000000000016</v>
      </c>
      <c r="AH161" s="468" t="str">
        <f t="shared" si="301"/>
        <v/>
      </c>
      <c r="AI161" s="238"/>
      <c r="AJ161" s="54" t="str">
        <f t="shared" si="336"/>
        <v/>
      </c>
      <c r="AK161" s="238">
        <v>10</v>
      </c>
      <c r="AL161" s="54">
        <f t="shared" si="337"/>
        <v>7.1571714858288009E-4</v>
      </c>
      <c r="AM161" s="353">
        <f>+Расходы!F111/1000</f>
        <v>18.872700000000002</v>
      </c>
      <c r="AN161" s="54">
        <f t="shared" si="338"/>
        <v>1.2011196117253744E-3</v>
      </c>
      <c r="AO161" s="468">
        <f t="shared" si="302"/>
        <v>0.88727000000000023</v>
      </c>
      <c r="AP161" s="468" t="str">
        <f t="shared" si="303"/>
        <v/>
      </c>
      <c r="AQ161" s="344"/>
      <c r="AR161" s="54" t="str">
        <f t="shared" si="339"/>
        <v/>
      </c>
      <c r="AS161" s="238">
        <v>20</v>
      </c>
      <c r="AT161" s="54">
        <f t="shared" si="340"/>
        <v>1.3262599469496021E-3</v>
      </c>
      <c r="AU161" s="353">
        <f>+Расходы!G111/1000</f>
        <v>18.872700000000002</v>
      </c>
      <c r="AV161" s="54">
        <f t="shared" si="341"/>
        <v>1.3240886301052995E-3</v>
      </c>
      <c r="AW161" s="468">
        <f t="shared" si="304"/>
        <v>-5.6364999999999887E-2</v>
      </c>
      <c r="AX161" s="468" t="str">
        <f t="shared" si="305"/>
        <v/>
      </c>
      <c r="AY161" s="344"/>
      <c r="AZ161" s="54" t="str">
        <f t="shared" si="342"/>
        <v/>
      </c>
      <c r="BA161" s="238">
        <v>20</v>
      </c>
      <c r="BB161" s="54">
        <f t="shared" si="343"/>
        <v>1.276527844263603E-3</v>
      </c>
      <c r="BC161" s="353">
        <f>+Расходы!H111/1000</f>
        <v>0</v>
      </c>
      <c r="BD161" s="54" t="str">
        <f t="shared" si="344"/>
        <v/>
      </c>
      <c r="BE161" s="468">
        <f t="shared" si="306"/>
        <v>-1</v>
      </c>
      <c r="BF161" s="468" t="str">
        <f t="shared" si="307"/>
        <v/>
      </c>
      <c r="BG161" s="344"/>
      <c r="BH161" s="54" t="str">
        <f t="shared" si="345"/>
        <v/>
      </c>
      <c r="BI161" s="238">
        <v>20</v>
      </c>
      <c r="BJ161" s="54">
        <f t="shared" si="346"/>
        <v>1.276527844263603E-3</v>
      </c>
      <c r="BK161" s="353">
        <f>+Расходы!I111/1000</f>
        <v>0</v>
      </c>
      <c r="BL161" s="54" t="str">
        <f t="shared" si="347"/>
        <v/>
      </c>
      <c r="BM161" s="468">
        <f t="shared" si="308"/>
        <v>-1</v>
      </c>
      <c r="BN161" s="468" t="str">
        <f t="shared" si="309"/>
        <v/>
      </c>
      <c r="BO161" s="344"/>
      <c r="BP161" s="54" t="str">
        <f t="shared" si="348"/>
        <v/>
      </c>
      <c r="BQ161" s="238">
        <v>20</v>
      </c>
      <c r="BR161" s="54">
        <f t="shared" si="349"/>
        <v>1.3812154696132596E-3</v>
      </c>
      <c r="BS161" s="353">
        <f>+Расходы!J111/1000</f>
        <v>0</v>
      </c>
      <c r="BT161" s="54" t="str">
        <f t="shared" si="350"/>
        <v/>
      </c>
      <c r="BU161" s="468">
        <f t="shared" si="310"/>
        <v>-1</v>
      </c>
      <c r="BV161" s="468" t="str">
        <f t="shared" si="311"/>
        <v/>
      </c>
      <c r="BW161" s="344"/>
      <c r="BX161" s="54" t="str">
        <f t="shared" si="351"/>
        <v/>
      </c>
      <c r="BY161" s="238">
        <v>0</v>
      </c>
      <c r="BZ161" s="54" t="str">
        <f t="shared" si="352"/>
        <v/>
      </c>
      <c r="CA161" s="353">
        <f>+Расходы!K111/1000</f>
        <v>0</v>
      </c>
      <c r="CB161" s="54" t="str">
        <f t="shared" si="353"/>
        <v/>
      </c>
      <c r="CC161" s="468" t="str">
        <f t="shared" si="312"/>
        <v/>
      </c>
      <c r="CD161" s="468" t="str">
        <f t="shared" si="313"/>
        <v/>
      </c>
      <c r="CE161" s="344"/>
      <c r="CF161" s="54" t="str">
        <f t="shared" si="354"/>
        <v/>
      </c>
      <c r="CG161" s="238">
        <v>0</v>
      </c>
      <c r="CH161" s="54" t="str">
        <f t="shared" si="355"/>
        <v/>
      </c>
      <c r="CI161" s="353">
        <f>+Расходы!L111/1000</f>
        <v>0</v>
      </c>
      <c r="CJ161" s="54" t="str">
        <f t="shared" si="356"/>
        <v/>
      </c>
      <c r="CK161" s="468" t="str">
        <f t="shared" si="314"/>
        <v/>
      </c>
      <c r="CL161" s="468" t="str">
        <f t="shared" si="315"/>
        <v/>
      </c>
      <c r="CM161" s="344"/>
      <c r="CN161" s="54" t="str">
        <f t="shared" si="357"/>
        <v/>
      </c>
      <c r="CO161" s="238">
        <v>0</v>
      </c>
      <c r="CP161" s="54" t="str">
        <f t="shared" si="358"/>
        <v/>
      </c>
      <c r="CQ161" s="353">
        <f>+Расходы!M111/1000</f>
        <v>0</v>
      </c>
      <c r="CR161" s="54" t="str">
        <f t="shared" si="359"/>
        <v/>
      </c>
      <c r="CS161" s="468" t="str">
        <f t="shared" si="316"/>
        <v/>
      </c>
      <c r="CT161" s="468" t="str">
        <f t="shared" si="317"/>
        <v/>
      </c>
      <c r="CU161" s="344">
        <f t="shared" si="292"/>
        <v>0</v>
      </c>
      <c r="CV161" s="54" t="str">
        <f t="shared" si="318"/>
        <v/>
      </c>
      <c r="CW161" s="238">
        <f t="shared" si="293"/>
        <v>105</v>
      </c>
      <c r="CX161" s="54">
        <f t="shared" si="319"/>
        <v>7.9179563688520753E-4</v>
      </c>
      <c r="CY161" s="353">
        <f t="shared" si="320"/>
        <v>65.618099999999998</v>
      </c>
      <c r="CZ161" s="54">
        <f t="shared" si="321"/>
        <v>1.3227044642931112E-3</v>
      </c>
      <c r="DA161" s="468">
        <f t="shared" si="322"/>
        <v>-0.37506571428571434</v>
      </c>
      <c r="DB161" s="468" t="str">
        <f t="shared" si="323"/>
        <v/>
      </c>
    </row>
    <row r="162" spans="2:106" s="103" customFormat="1" ht="13.15" customHeight="1" outlineLevel="2">
      <c r="B162" s="61" t="str">
        <f>+Расходы!A112</f>
        <v>Услуги дизайнера</v>
      </c>
      <c r="C162" s="238"/>
      <c r="D162" s="54" t="str">
        <f t="shared" si="324"/>
        <v/>
      </c>
      <c r="E162" s="238"/>
      <c r="F162" s="54" t="str">
        <f t="shared" si="325"/>
        <v/>
      </c>
      <c r="G162" s="353">
        <f>+Расходы!B112/1000</f>
        <v>0</v>
      </c>
      <c r="H162" s="54" t="str">
        <f t="shared" si="326"/>
        <v/>
      </c>
      <c r="I162" s="468" t="str">
        <f t="shared" si="294"/>
        <v/>
      </c>
      <c r="J162" s="468" t="str">
        <f t="shared" si="295"/>
        <v/>
      </c>
      <c r="K162" s="238"/>
      <c r="L162" s="54" t="str">
        <f t="shared" si="327"/>
        <v/>
      </c>
      <c r="M162" s="238"/>
      <c r="N162" s="54" t="str">
        <f t="shared" si="328"/>
        <v/>
      </c>
      <c r="O162" s="353">
        <f>+Расходы!C112/1000</f>
        <v>0</v>
      </c>
      <c r="P162" s="54" t="str">
        <f t="shared" si="329"/>
        <v/>
      </c>
      <c r="Q162" s="468" t="str">
        <f t="shared" si="296"/>
        <v/>
      </c>
      <c r="R162" s="468" t="str">
        <f t="shared" si="297"/>
        <v/>
      </c>
      <c r="S162" s="238"/>
      <c r="T162" s="54" t="str">
        <f t="shared" si="330"/>
        <v/>
      </c>
      <c r="U162" s="238">
        <v>0</v>
      </c>
      <c r="V162" s="54" t="str">
        <f t="shared" si="331"/>
        <v/>
      </c>
      <c r="W162" s="353">
        <f>+Расходы!D112/1000</f>
        <v>0</v>
      </c>
      <c r="X162" s="54" t="str">
        <f t="shared" si="332"/>
        <v/>
      </c>
      <c r="Y162" s="468" t="str">
        <f t="shared" si="298"/>
        <v/>
      </c>
      <c r="Z162" s="468" t="str">
        <f t="shared" si="299"/>
        <v/>
      </c>
      <c r="AA162" s="238"/>
      <c r="AB162" s="54" t="str">
        <f t="shared" si="333"/>
        <v/>
      </c>
      <c r="AC162" s="238">
        <v>0</v>
      </c>
      <c r="AD162" s="54" t="str">
        <f t="shared" si="334"/>
        <v/>
      </c>
      <c r="AE162" s="353">
        <f>+Расходы!E112/1000</f>
        <v>0</v>
      </c>
      <c r="AF162" s="54" t="str">
        <f t="shared" si="335"/>
        <v/>
      </c>
      <c r="AG162" s="468" t="str">
        <f t="shared" si="300"/>
        <v/>
      </c>
      <c r="AH162" s="468" t="str">
        <f t="shared" si="301"/>
        <v/>
      </c>
      <c r="AI162" s="238"/>
      <c r="AJ162" s="54" t="str">
        <f t="shared" si="336"/>
        <v/>
      </c>
      <c r="AK162" s="238">
        <v>0</v>
      </c>
      <c r="AL162" s="54" t="str">
        <f t="shared" si="337"/>
        <v/>
      </c>
      <c r="AM162" s="353">
        <f>+Расходы!F112/1000</f>
        <v>0</v>
      </c>
      <c r="AN162" s="54" t="str">
        <f t="shared" si="338"/>
        <v/>
      </c>
      <c r="AO162" s="468" t="str">
        <f t="shared" si="302"/>
        <v/>
      </c>
      <c r="AP162" s="468" t="str">
        <f t="shared" si="303"/>
        <v/>
      </c>
      <c r="AQ162" s="344"/>
      <c r="AR162" s="54" t="str">
        <f t="shared" si="339"/>
        <v/>
      </c>
      <c r="AS162" s="238">
        <v>0</v>
      </c>
      <c r="AT162" s="54" t="str">
        <f t="shared" si="340"/>
        <v/>
      </c>
      <c r="AU162" s="353">
        <f>+Расходы!G112/1000</f>
        <v>0</v>
      </c>
      <c r="AV162" s="54" t="str">
        <f t="shared" si="341"/>
        <v/>
      </c>
      <c r="AW162" s="468" t="str">
        <f t="shared" si="304"/>
        <v/>
      </c>
      <c r="AX162" s="468" t="str">
        <f t="shared" si="305"/>
        <v/>
      </c>
      <c r="AY162" s="344"/>
      <c r="AZ162" s="54" t="str">
        <f t="shared" si="342"/>
        <v/>
      </c>
      <c r="BA162" s="238">
        <v>0</v>
      </c>
      <c r="BB162" s="54" t="str">
        <f t="shared" si="343"/>
        <v/>
      </c>
      <c r="BC162" s="353">
        <f>+Расходы!H112/1000</f>
        <v>0</v>
      </c>
      <c r="BD162" s="54" t="str">
        <f t="shared" si="344"/>
        <v/>
      </c>
      <c r="BE162" s="468" t="str">
        <f t="shared" si="306"/>
        <v/>
      </c>
      <c r="BF162" s="468" t="str">
        <f t="shared" si="307"/>
        <v/>
      </c>
      <c r="BG162" s="344"/>
      <c r="BH162" s="54" t="str">
        <f t="shared" si="345"/>
        <v/>
      </c>
      <c r="BI162" s="238">
        <v>0</v>
      </c>
      <c r="BJ162" s="54" t="str">
        <f t="shared" si="346"/>
        <v/>
      </c>
      <c r="BK162" s="353">
        <f>+Расходы!I112/1000</f>
        <v>0</v>
      </c>
      <c r="BL162" s="54" t="str">
        <f t="shared" si="347"/>
        <v/>
      </c>
      <c r="BM162" s="468" t="str">
        <f t="shared" si="308"/>
        <v/>
      </c>
      <c r="BN162" s="468" t="str">
        <f t="shared" si="309"/>
        <v/>
      </c>
      <c r="BO162" s="344"/>
      <c r="BP162" s="54" t="str">
        <f t="shared" si="348"/>
        <v/>
      </c>
      <c r="BQ162" s="238">
        <v>0</v>
      </c>
      <c r="BR162" s="54" t="str">
        <f t="shared" si="349"/>
        <v/>
      </c>
      <c r="BS162" s="353">
        <f>+Расходы!J112/1000</f>
        <v>0</v>
      </c>
      <c r="BT162" s="54" t="str">
        <f t="shared" si="350"/>
        <v/>
      </c>
      <c r="BU162" s="468" t="str">
        <f t="shared" si="310"/>
        <v/>
      </c>
      <c r="BV162" s="468" t="str">
        <f t="shared" si="311"/>
        <v/>
      </c>
      <c r="BW162" s="344"/>
      <c r="BX162" s="54" t="str">
        <f t="shared" si="351"/>
        <v/>
      </c>
      <c r="BY162" s="238">
        <v>0</v>
      </c>
      <c r="BZ162" s="54" t="str">
        <f t="shared" si="352"/>
        <v/>
      </c>
      <c r="CA162" s="353">
        <f>+Расходы!K112/1000</f>
        <v>0</v>
      </c>
      <c r="CB162" s="54" t="str">
        <f t="shared" si="353"/>
        <v/>
      </c>
      <c r="CC162" s="468" t="str">
        <f t="shared" si="312"/>
        <v/>
      </c>
      <c r="CD162" s="468" t="str">
        <f t="shared" si="313"/>
        <v/>
      </c>
      <c r="CE162" s="344"/>
      <c r="CF162" s="54" t="str">
        <f t="shared" si="354"/>
        <v/>
      </c>
      <c r="CG162" s="238">
        <v>0</v>
      </c>
      <c r="CH162" s="54" t="str">
        <f t="shared" si="355"/>
        <v/>
      </c>
      <c r="CI162" s="353">
        <f>+Расходы!L112/1000</f>
        <v>0</v>
      </c>
      <c r="CJ162" s="54" t="str">
        <f t="shared" si="356"/>
        <v/>
      </c>
      <c r="CK162" s="468" t="str">
        <f t="shared" si="314"/>
        <v/>
      </c>
      <c r="CL162" s="468" t="str">
        <f t="shared" si="315"/>
        <v/>
      </c>
      <c r="CM162" s="344"/>
      <c r="CN162" s="54" t="str">
        <f t="shared" si="357"/>
        <v/>
      </c>
      <c r="CO162" s="238">
        <v>0</v>
      </c>
      <c r="CP162" s="54" t="str">
        <f t="shared" si="358"/>
        <v/>
      </c>
      <c r="CQ162" s="353">
        <f>+Расходы!M112/1000</f>
        <v>0</v>
      </c>
      <c r="CR162" s="54" t="str">
        <f t="shared" si="359"/>
        <v/>
      </c>
      <c r="CS162" s="468" t="str">
        <f t="shared" si="316"/>
        <v/>
      </c>
      <c r="CT162" s="468" t="str">
        <f t="shared" si="317"/>
        <v/>
      </c>
      <c r="CU162" s="344">
        <f t="shared" si="292"/>
        <v>0</v>
      </c>
      <c r="CV162" s="54" t="str">
        <f t="shared" si="318"/>
        <v/>
      </c>
      <c r="CW162" s="238">
        <f t="shared" si="293"/>
        <v>0</v>
      </c>
      <c r="CX162" s="54">
        <f t="shared" si="319"/>
        <v>0</v>
      </c>
      <c r="CY162" s="353">
        <f t="shared" si="320"/>
        <v>0</v>
      </c>
      <c r="CZ162" s="54">
        <f t="shared" si="321"/>
        <v>0</v>
      </c>
      <c r="DA162" s="468" t="str">
        <f t="shared" si="322"/>
        <v/>
      </c>
      <c r="DB162" s="468" t="str">
        <f t="shared" si="323"/>
        <v/>
      </c>
    </row>
    <row r="163" spans="2:106" s="103" customFormat="1" ht="13.15" customHeight="1" outlineLevel="2">
      <c r="B163" s="61" t="str">
        <f>+Расходы!A113</f>
        <v>Услуги комиссионеров</v>
      </c>
      <c r="C163" s="238"/>
      <c r="D163" s="54" t="str">
        <f t="shared" si="324"/>
        <v/>
      </c>
      <c r="E163" s="238"/>
      <c r="F163" s="54" t="str">
        <f t="shared" si="325"/>
        <v/>
      </c>
      <c r="G163" s="353">
        <f>+Расходы!B113/1000</f>
        <v>0</v>
      </c>
      <c r="H163" s="54" t="str">
        <f t="shared" si="326"/>
        <v/>
      </c>
      <c r="I163" s="468" t="str">
        <f t="shared" si="294"/>
        <v/>
      </c>
      <c r="J163" s="468" t="str">
        <f t="shared" si="295"/>
        <v/>
      </c>
      <c r="K163" s="238"/>
      <c r="L163" s="54" t="str">
        <f t="shared" si="327"/>
        <v/>
      </c>
      <c r="M163" s="238"/>
      <c r="N163" s="54" t="str">
        <f t="shared" si="328"/>
        <v/>
      </c>
      <c r="O163" s="353">
        <f>+Расходы!C113/1000</f>
        <v>0</v>
      </c>
      <c r="P163" s="54" t="str">
        <f t="shared" si="329"/>
        <v/>
      </c>
      <c r="Q163" s="468" t="str">
        <f t="shared" si="296"/>
        <v/>
      </c>
      <c r="R163" s="468" t="str">
        <f t="shared" si="297"/>
        <v/>
      </c>
      <c r="S163" s="238"/>
      <c r="T163" s="54" t="str">
        <f t="shared" si="330"/>
        <v/>
      </c>
      <c r="U163" s="238">
        <v>0</v>
      </c>
      <c r="V163" s="54" t="str">
        <f t="shared" si="331"/>
        <v/>
      </c>
      <c r="W163" s="353">
        <f>+Расходы!D113/1000</f>
        <v>0</v>
      </c>
      <c r="X163" s="54" t="str">
        <f t="shared" si="332"/>
        <v/>
      </c>
      <c r="Y163" s="468" t="str">
        <f t="shared" si="298"/>
        <v/>
      </c>
      <c r="Z163" s="468" t="str">
        <f t="shared" si="299"/>
        <v/>
      </c>
      <c r="AA163" s="238"/>
      <c r="AB163" s="54" t="str">
        <f t="shared" si="333"/>
        <v/>
      </c>
      <c r="AC163" s="238">
        <v>0</v>
      </c>
      <c r="AD163" s="54" t="str">
        <f t="shared" si="334"/>
        <v/>
      </c>
      <c r="AE163" s="353">
        <f>+Расходы!E113/1000</f>
        <v>0</v>
      </c>
      <c r="AF163" s="54" t="str">
        <f t="shared" si="335"/>
        <v/>
      </c>
      <c r="AG163" s="468" t="str">
        <f t="shared" si="300"/>
        <v/>
      </c>
      <c r="AH163" s="468" t="str">
        <f t="shared" si="301"/>
        <v/>
      </c>
      <c r="AI163" s="238"/>
      <c r="AJ163" s="54" t="str">
        <f t="shared" si="336"/>
        <v/>
      </c>
      <c r="AK163" s="238">
        <v>0</v>
      </c>
      <c r="AL163" s="54" t="str">
        <f t="shared" si="337"/>
        <v/>
      </c>
      <c r="AM163" s="353">
        <f>+Расходы!F113/1000</f>
        <v>0</v>
      </c>
      <c r="AN163" s="54" t="str">
        <f t="shared" si="338"/>
        <v/>
      </c>
      <c r="AO163" s="468" t="str">
        <f t="shared" si="302"/>
        <v/>
      </c>
      <c r="AP163" s="468" t="str">
        <f t="shared" si="303"/>
        <v/>
      </c>
      <c r="AQ163" s="344"/>
      <c r="AR163" s="54" t="str">
        <f t="shared" si="339"/>
        <v/>
      </c>
      <c r="AS163" s="238">
        <v>0</v>
      </c>
      <c r="AT163" s="54" t="str">
        <f t="shared" si="340"/>
        <v/>
      </c>
      <c r="AU163" s="353">
        <f>+Расходы!G113/1000</f>
        <v>0</v>
      </c>
      <c r="AV163" s="54" t="str">
        <f t="shared" si="341"/>
        <v/>
      </c>
      <c r="AW163" s="468" t="str">
        <f t="shared" si="304"/>
        <v/>
      </c>
      <c r="AX163" s="468" t="str">
        <f t="shared" si="305"/>
        <v/>
      </c>
      <c r="AY163" s="344"/>
      <c r="AZ163" s="54" t="str">
        <f t="shared" si="342"/>
        <v/>
      </c>
      <c r="BA163" s="238">
        <v>0</v>
      </c>
      <c r="BB163" s="54" t="str">
        <f t="shared" si="343"/>
        <v/>
      </c>
      <c r="BC163" s="353">
        <f>+Расходы!H113/1000</f>
        <v>0</v>
      </c>
      <c r="BD163" s="54" t="str">
        <f t="shared" si="344"/>
        <v/>
      </c>
      <c r="BE163" s="468" t="str">
        <f t="shared" si="306"/>
        <v/>
      </c>
      <c r="BF163" s="468" t="str">
        <f t="shared" si="307"/>
        <v/>
      </c>
      <c r="BG163" s="344"/>
      <c r="BH163" s="54" t="str">
        <f t="shared" si="345"/>
        <v/>
      </c>
      <c r="BI163" s="238">
        <v>0</v>
      </c>
      <c r="BJ163" s="54" t="str">
        <f t="shared" si="346"/>
        <v/>
      </c>
      <c r="BK163" s="353">
        <f>+Расходы!I113/1000</f>
        <v>0</v>
      </c>
      <c r="BL163" s="54" t="str">
        <f t="shared" si="347"/>
        <v/>
      </c>
      <c r="BM163" s="468" t="str">
        <f t="shared" si="308"/>
        <v/>
      </c>
      <c r="BN163" s="468" t="str">
        <f t="shared" si="309"/>
        <v/>
      </c>
      <c r="BO163" s="344"/>
      <c r="BP163" s="54" t="str">
        <f t="shared" si="348"/>
        <v/>
      </c>
      <c r="BQ163" s="238">
        <v>0</v>
      </c>
      <c r="BR163" s="54" t="str">
        <f t="shared" si="349"/>
        <v/>
      </c>
      <c r="BS163" s="353">
        <f>+Расходы!J113/1000</f>
        <v>0</v>
      </c>
      <c r="BT163" s="54" t="str">
        <f t="shared" si="350"/>
        <v/>
      </c>
      <c r="BU163" s="468" t="str">
        <f t="shared" si="310"/>
        <v/>
      </c>
      <c r="BV163" s="468" t="str">
        <f t="shared" si="311"/>
        <v/>
      </c>
      <c r="BW163" s="344"/>
      <c r="BX163" s="54" t="str">
        <f t="shared" si="351"/>
        <v/>
      </c>
      <c r="BY163" s="238">
        <v>0</v>
      </c>
      <c r="BZ163" s="54" t="str">
        <f t="shared" si="352"/>
        <v/>
      </c>
      <c r="CA163" s="353">
        <f>+Расходы!K113/1000</f>
        <v>0</v>
      </c>
      <c r="CB163" s="54" t="str">
        <f t="shared" si="353"/>
        <v/>
      </c>
      <c r="CC163" s="468" t="str">
        <f t="shared" si="312"/>
        <v/>
      </c>
      <c r="CD163" s="468" t="str">
        <f t="shared" si="313"/>
        <v/>
      </c>
      <c r="CE163" s="344"/>
      <c r="CF163" s="54" t="str">
        <f t="shared" si="354"/>
        <v/>
      </c>
      <c r="CG163" s="238">
        <v>0</v>
      </c>
      <c r="CH163" s="54" t="str">
        <f t="shared" si="355"/>
        <v/>
      </c>
      <c r="CI163" s="353">
        <f>+Расходы!L113/1000</f>
        <v>0</v>
      </c>
      <c r="CJ163" s="54" t="str">
        <f t="shared" si="356"/>
        <v/>
      </c>
      <c r="CK163" s="468" t="str">
        <f t="shared" si="314"/>
        <v/>
      </c>
      <c r="CL163" s="468" t="str">
        <f t="shared" si="315"/>
        <v/>
      </c>
      <c r="CM163" s="344"/>
      <c r="CN163" s="54" t="str">
        <f t="shared" si="357"/>
        <v/>
      </c>
      <c r="CO163" s="238">
        <v>0</v>
      </c>
      <c r="CP163" s="54" t="str">
        <f t="shared" si="358"/>
        <v/>
      </c>
      <c r="CQ163" s="353">
        <f>+Расходы!M113/1000</f>
        <v>0</v>
      </c>
      <c r="CR163" s="54" t="str">
        <f t="shared" si="359"/>
        <v/>
      </c>
      <c r="CS163" s="468" t="str">
        <f t="shared" si="316"/>
        <v/>
      </c>
      <c r="CT163" s="468" t="str">
        <f t="shared" si="317"/>
        <v/>
      </c>
      <c r="CU163" s="344">
        <f t="shared" si="292"/>
        <v>0</v>
      </c>
      <c r="CV163" s="54" t="str">
        <f t="shared" si="318"/>
        <v/>
      </c>
      <c r="CW163" s="238">
        <f t="shared" si="293"/>
        <v>0</v>
      </c>
      <c r="CX163" s="54">
        <f t="shared" si="319"/>
        <v>0</v>
      </c>
      <c r="CY163" s="353">
        <f t="shared" si="320"/>
        <v>0</v>
      </c>
      <c r="CZ163" s="54">
        <f t="shared" si="321"/>
        <v>0</v>
      </c>
      <c r="DA163" s="468" t="str">
        <f t="shared" si="322"/>
        <v/>
      </c>
      <c r="DB163" s="468" t="str">
        <f t="shared" si="323"/>
        <v/>
      </c>
    </row>
    <row r="164" spans="2:106" s="103" customFormat="1" ht="13.15" customHeight="1" outlineLevel="2">
      <c r="B164" s="61" t="str">
        <f>+Расходы!A114</f>
        <v>Услуги привлеченных спец-тов</v>
      </c>
      <c r="C164" s="238"/>
      <c r="D164" s="54" t="str">
        <f t="shared" si="324"/>
        <v/>
      </c>
      <c r="E164" s="238"/>
      <c r="F164" s="54" t="str">
        <f t="shared" si="325"/>
        <v/>
      </c>
      <c r="G164" s="353">
        <f>+Расходы!B114/1000</f>
        <v>0</v>
      </c>
      <c r="H164" s="54" t="str">
        <f t="shared" si="326"/>
        <v/>
      </c>
      <c r="I164" s="468" t="str">
        <f t="shared" si="294"/>
        <v/>
      </c>
      <c r="J164" s="468" t="str">
        <f t="shared" si="295"/>
        <v/>
      </c>
      <c r="K164" s="238"/>
      <c r="L164" s="54" t="str">
        <f t="shared" si="327"/>
        <v/>
      </c>
      <c r="M164" s="238"/>
      <c r="N164" s="54" t="str">
        <f t="shared" si="328"/>
        <v/>
      </c>
      <c r="O164" s="353">
        <f>+Расходы!C114/1000</f>
        <v>0</v>
      </c>
      <c r="P164" s="54" t="str">
        <f t="shared" si="329"/>
        <v/>
      </c>
      <c r="Q164" s="468" t="str">
        <f t="shared" si="296"/>
        <v/>
      </c>
      <c r="R164" s="468" t="str">
        <f t="shared" si="297"/>
        <v/>
      </c>
      <c r="S164" s="238"/>
      <c r="T164" s="54" t="str">
        <f t="shared" si="330"/>
        <v/>
      </c>
      <c r="U164" s="238">
        <v>0</v>
      </c>
      <c r="V164" s="54" t="str">
        <f t="shared" si="331"/>
        <v/>
      </c>
      <c r="W164" s="353">
        <f>+Расходы!D114/1000</f>
        <v>0</v>
      </c>
      <c r="X164" s="54" t="str">
        <f t="shared" si="332"/>
        <v/>
      </c>
      <c r="Y164" s="468" t="str">
        <f t="shared" si="298"/>
        <v/>
      </c>
      <c r="Z164" s="468" t="str">
        <f t="shared" si="299"/>
        <v/>
      </c>
      <c r="AA164" s="238"/>
      <c r="AB164" s="54" t="str">
        <f t="shared" si="333"/>
        <v/>
      </c>
      <c r="AC164" s="238">
        <v>0</v>
      </c>
      <c r="AD164" s="54" t="str">
        <f t="shared" si="334"/>
        <v/>
      </c>
      <c r="AE164" s="353">
        <f>+Расходы!E114/1000</f>
        <v>19.05</v>
      </c>
      <c r="AF164" s="54">
        <f t="shared" si="335"/>
        <v>1.3891724761543622E-3</v>
      </c>
      <c r="AG164" s="468" t="str">
        <f t="shared" si="300"/>
        <v/>
      </c>
      <c r="AH164" s="468" t="str">
        <f t="shared" si="301"/>
        <v/>
      </c>
      <c r="AI164" s="238"/>
      <c r="AJ164" s="54" t="str">
        <f t="shared" si="336"/>
        <v/>
      </c>
      <c r="AK164" s="238">
        <v>0</v>
      </c>
      <c r="AL164" s="54" t="str">
        <f t="shared" si="337"/>
        <v/>
      </c>
      <c r="AM164" s="353">
        <f>+Расходы!F114/1000</f>
        <v>11.71575</v>
      </c>
      <c r="AN164" s="54">
        <f t="shared" si="338"/>
        <v>7.4562818733257851E-4</v>
      </c>
      <c r="AO164" s="468" t="str">
        <f t="shared" si="302"/>
        <v/>
      </c>
      <c r="AP164" s="468" t="str">
        <f t="shared" si="303"/>
        <v/>
      </c>
      <c r="AQ164" s="344"/>
      <c r="AR164" s="54" t="str">
        <f t="shared" si="339"/>
        <v/>
      </c>
      <c r="AS164" s="238">
        <v>15</v>
      </c>
      <c r="AT164" s="54">
        <f t="shared" si="340"/>
        <v>9.9469496021220159E-4</v>
      </c>
      <c r="AU164" s="353">
        <f>+Расходы!G114/1000</f>
        <v>32.003</v>
      </c>
      <c r="AV164" s="54">
        <f t="shared" si="341"/>
        <v>2.245296562190884E-3</v>
      </c>
      <c r="AW164" s="468">
        <f t="shared" si="304"/>
        <v>1.1335333333333333</v>
      </c>
      <c r="AX164" s="468" t="str">
        <f t="shared" si="305"/>
        <v/>
      </c>
      <c r="AY164" s="344"/>
      <c r="AZ164" s="54" t="str">
        <f t="shared" si="342"/>
        <v/>
      </c>
      <c r="BA164" s="238">
        <v>15</v>
      </c>
      <c r="BB164" s="54">
        <f t="shared" si="343"/>
        <v>9.5739588319770225E-4</v>
      </c>
      <c r="BC164" s="353">
        <f>+Расходы!H114/1000</f>
        <v>0</v>
      </c>
      <c r="BD164" s="54" t="str">
        <f t="shared" si="344"/>
        <v/>
      </c>
      <c r="BE164" s="468">
        <f t="shared" si="306"/>
        <v>-1</v>
      </c>
      <c r="BF164" s="468" t="str">
        <f t="shared" si="307"/>
        <v/>
      </c>
      <c r="BG164" s="344"/>
      <c r="BH164" s="54" t="str">
        <f t="shared" si="345"/>
        <v/>
      </c>
      <c r="BI164" s="238">
        <v>15</v>
      </c>
      <c r="BJ164" s="54">
        <f t="shared" si="346"/>
        <v>9.5739588319770225E-4</v>
      </c>
      <c r="BK164" s="353">
        <f>+Расходы!I114/1000</f>
        <v>0</v>
      </c>
      <c r="BL164" s="54" t="str">
        <f t="shared" si="347"/>
        <v/>
      </c>
      <c r="BM164" s="468">
        <f t="shared" si="308"/>
        <v>-1</v>
      </c>
      <c r="BN164" s="468" t="str">
        <f t="shared" si="309"/>
        <v/>
      </c>
      <c r="BO164" s="344"/>
      <c r="BP164" s="54" t="str">
        <f t="shared" si="348"/>
        <v/>
      </c>
      <c r="BQ164" s="238">
        <v>15</v>
      </c>
      <c r="BR164" s="54">
        <f t="shared" si="349"/>
        <v>1.0359116022099447E-3</v>
      </c>
      <c r="BS164" s="353">
        <f>+Расходы!J114/1000</f>
        <v>0</v>
      </c>
      <c r="BT164" s="54" t="str">
        <f t="shared" si="350"/>
        <v/>
      </c>
      <c r="BU164" s="468">
        <f t="shared" si="310"/>
        <v>-1</v>
      </c>
      <c r="BV164" s="468" t="str">
        <f t="shared" si="311"/>
        <v/>
      </c>
      <c r="BW164" s="344"/>
      <c r="BX164" s="54" t="str">
        <f t="shared" si="351"/>
        <v/>
      </c>
      <c r="BY164" s="238">
        <v>0</v>
      </c>
      <c r="BZ164" s="54" t="str">
        <f t="shared" si="352"/>
        <v/>
      </c>
      <c r="CA164" s="353">
        <f>+Расходы!K114/1000</f>
        <v>0</v>
      </c>
      <c r="CB164" s="54" t="str">
        <f t="shared" si="353"/>
        <v/>
      </c>
      <c r="CC164" s="468" t="str">
        <f t="shared" si="312"/>
        <v/>
      </c>
      <c r="CD164" s="468" t="str">
        <f t="shared" si="313"/>
        <v/>
      </c>
      <c r="CE164" s="344"/>
      <c r="CF164" s="54" t="str">
        <f t="shared" si="354"/>
        <v/>
      </c>
      <c r="CG164" s="238">
        <v>0</v>
      </c>
      <c r="CH164" s="54" t="str">
        <f t="shared" si="355"/>
        <v/>
      </c>
      <c r="CI164" s="353">
        <f>+Расходы!L114/1000</f>
        <v>0</v>
      </c>
      <c r="CJ164" s="54" t="str">
        <f t="shared" si="356"/>
        <v/>
      </c>
      <c r="CK164" s="468" t="str">
        <f t="shared" si="314"/>
        <v/>
      </c>
      <c r="CL164" s="468" t="str">
        <f t="shared" si="315"/>
        <v/>
      </c>
      <c r="CM164" s="344"/>
      <c r="CN164" s="54" t="str">
        <f t="shared" si="357"/>
        <v/>
      </c>
      <c r="CO164" s="238">
        <v>0</v>
      </c>
      <c r="CP164" s="54" t="str">
        <f t="shared" si="358"/>
        <v/>
      </c>
      <c r="CQ164" s="353">
        <f>+Расходы!M114/1000</f>
        <v>0</v>
      </c>
      <c r="CR164" s="54" t="str">
        <f t="shared" si="359"/>
        <v/>
      </c>
      <c r="CS164" s="468" t="str">
        <f t="shared" si="316"/>
        <v/>
      </c>
      <c r="CT164" s="468" t="str">
        <f t="shared" si="317"/>
        <v/>
      </c>
      <c r="CU164" s="344">
        <f t="shared" si="292"/>
        <v>0</v>
      </c>
      <c r="CV164" s="54" t="str">
        <f t="shared" si="318"/>
        <v/>
      </c>
      <c r="CW164" s="238">
        <f t="shared" si="293"/>
        <v>60</v>
      </c>
      <c r="CX164" s="54">
        <f t="shared" si="319"/>
        <v>4.5245464964869002E-4</v>
      </c>
      <c r="CY164" s="353">
        <f t="shared" si="320"/>
        <v>62.768749999999997</v>
      </c>
      <c r="CZ164" s="54">
        <f t="shared" si="321"/>
        <v>1.2652683610634601E-3</v>
      </c>
      <c r="DA164" s="468">
        <f t="shared" si="322"/>
        <v>4.614583333333333E-2</v>
      </c>
      <c r="DB164" s="468" t="str">
        <f t="shared" si="323"/>
        <v/>
      </c>
    </row>
    <row r="165" spans="2:106" s="103" customFormat="1" ht="13.15" customHeight="1" outlineLevel="2">
      <c r="B165" s="61" t="str">
        <f>+Расходы!A115</f>
        <v>Услуги прочие</v>
      </c>
      <c r="C165" s="238"/>
      <c r="D165" s="54" t="str">
        <f t="shared" si="324"/>
        <v/>
      </c>
      <c r="E165" s="238"/>
      <c r="F165" s="54" t="str">
        <f t="shared" si="325"/>
        <v/>
      </c>
      <c r="G165" s="353">
        <f>+Расходы!B115/1000</f>
        <v>0</v>
      </c>
      <c r="H165" s="54" t="str">
        <f t="shared" si="326"/>
        <v/>
      </c>
      <c r="I165" s="468" t="str">
        <f t="shared" si="294"/>
        <v/>
      </c>
      <c r="J165" s="468" t="str">
        <f t="shared" si="295"/>
        <v/>
      </c>
      <c r="K165" s="238"/>
      <c r="L165" s="54" t="str">
        <f t="shared" si="327"/>
        <v/>
      </c>
      <c r="M165" s="238"/>
      <c r="N165" s="54" t="str">
        <f t="shared" si="328"/>
        <v/>
      </c>
      <c r="O165" s="353">
        <f>+Расходы!C115/1000</f>
        <v>0</v>
      </c>
      <c r="P165" s="54" t="str">
        <f t="shared" si="329"/>
        <v/>
      </c>
      <c r="Q165" s="468" t="str">
        <f t="shared" si="296"/>
        <v/>
      </c>
      <c r="R165" s="468" t="str">
        <f t="shared" si="297"/>
        <v/>
      </c>
      <c r="S165" s="238"/>
      <c r="T165" s="54" t="str">
        <f t="shared" si="330"/>
        <v/>
      </c>
      <c r="U165" s="238">
        <v>0</v>
      </c>
      <c r="V165" s="54" t="str">
        <f t="shared" si="331"/>
        <v/>
      </c>
      <c r="W165" s="353">
        <f>+Расходы!D115/1000</f>
        <v>0</v>
      </c>
      <c r="X165" s="54" t="str">
        <f t="shared" si="332"/>
        <v/>
      </c>
      <c r="Y165" s="468" t="str">
        <f t="shared" si="298"/>
        <v/>
      </c>
      <c r="Z165" s="468" t="str">
        <f t="shared" si="299"/>
        <v/>
      </c>
      <c r="AA165" s="238"/>
      <c r="AB165" s="54" t="str">
        <f t="shared" si="333"/>
        <v/>
      </c>
      <c r="AC165" s="238">
        <v>0</v>
      </c>
      <c r="AD165" s="54" t="str">
        <f t="shared" si="334"/>
        <v/>
      </c>
      <c r="AE165" s="353">
        <f>+Расходы!E115/1000</f>
        <v>0</v>
      </c>
      <c r="AF165" s="54" t="str">
        <f t="shared" si="335"/>
        <v/>
      </c>
      <c r="AG165" s="468" t="str">
        <f t="shared" si="300"/>
        <v/>
      </c>
      <c r="AH165" s="468" t="str">
        <f t="shared" si="301"/>
        <v/>
      </c>
      <c r="AI165" s="238"/>
      <c r="AJ165" s="54" t="str">
        <f t="shared" si="336"/>
        <v/>
      </c>
      <c r="AK165" s="238">
        <v>0</v>
      </c>
      <c r="AL165" s="54" t="str">
        <f t="shared" si="337"/>
        <v/>
      </c>
      <c r="AM165" s="353">
        <f>+Расходы!F115/1000</f>
        <v>0</v>
      </c>
      <c r="AN165" s="54" t="str">
        <f t="shared" si="338"/>
        <v/>
      </c>
      <c r="AO165" s="468" t="str">
        <f t="shared" si="302"/>
        <v/>
      </c>
      <c r="AP165" s="468" t="str">
        <f t="shared" si="303"/>
        <v/>
      </c>
      <c r="AQ165" s="344"/>
      <c r="AR165" s="54" t="str">
        <f t="shared" si="339"/>
        <v/>
      </c>
      <c r="AS165" s="238">
        <v>0</v>
      </c>
      <c r="AT165" s="54" t="str">
        <f t="shared" si="340"/>
        <v/>
      </c>
      <c r="AU165" s="353">
        <f>+Расходы!G115/1000</f>
        <v>0</v>
      </c>
      <c r="AV165" s="54" t="str">
        <f t="shared" si="341"/>
        <v/>
      </c>
      <c r="AW165" s="468" t="str">
        <f t="shared" si="304"/>
        <v/>
      </c>
      <c r="AX165" s="468" t="str">
        <f t="shared" si="305"/>
        <v/>
      </c>
      <c r="AY165" s="344"/>
      <c r="AZ165" s="54" t="str">
        <f t="shared" si="342"/>
        <v/>
      </c>
      <c r="BA165" s="238">
        <v>0</v>
      </c>
      <c r="BB165" s="54" t="str">
        <f t="shared" si="343"/>
        <v/>
      </c>
      <c r="BC165" s="353">
        <f>+Расходы!H115/1000</f>
        <v>0</v>
      </c>
      <c r="BD165" s="54" t="str">
        <f t="shared" si="344"/>
        <v/>
      </c>
      <c r="BE165" s="468" t="str">
        <f t="shared" si="306"/>
        <v/>
      </c>
      <c r="BF165" s="468" t="str">
        <f t="shared" si="307"/>
        <v/>
      </c>
      <c r="BG165" s="344"/>
      <c r="BH165" s="54" t="str">
        <f t="shared" si="345"/>
        <v/>
      </c>
      <c r="BI165" s="238">
        <v>0</v>
      </c>
      <c r="BJ165" s="54" t="str">
        <f t="shared" si="346"/>
        <v/>
      </c>
      <c r="BK165" s="353">
        <f>+Расходы!I115/1000</f>
        <v>0</v>
      </c>
      <c r="BL165" s="54" t="str">
        <f t="shared" si="347"/>
        <v/>
      </c>
      <c r="BM165" s="468" t="str">
        <f t="shared" si="308"/>
        <v/>
      </c>
      <c r="BN165" s="468" t="str">
        <f t="shared" si="309"/>
        <v/>
      </c>
      <c r="BO165" s="344"/>
      <c r="BP165" s="54" t="str">
        <f t="shared" si="348"/>
        <v/>
      </c>
      <c r="BQ165" s="238">
        <v>0</v>
      </c>
      <c r="BR165" s="54" t="str">
        <f t="shared" si="349"/>
        <v/>
      </c>
      <c r="BS165" s="353">
        <f>+Расходы!J115/1000</f>
        <v>0</v>
      </c>
      <c r="BT165" s="54" t="str">
        <f t="shared" si="350"/>
        <v/>
      </c>
      <c r="BU165" s="468" t="str">
        <f t="shared" si="310"/>
        <v/>
      </c>
      <c r="BV165" s="468" t="str">
        <f t="shared" si="311"/>
        <v/>
      </c>
      <c r="BW165" s="344"/>
      <c r="BX165" s="54" t="str">
        <f t="shared" si="351"/>
        <v/>
      </c>
      <c r="BY165" s="238">
        <v>0</v>
      </c>
      <c r="BZ165" s="54" t="str">
        <f t="shared" si="352"/>
        <v/>
      </c>
      <c r="CA165" s="353">
        <f>+Расходы!K115/1000</f>
        <v>0</v>
      </c>
      <c r="CB165" s="54" t="str">
        <f t="shared" si="353"/>
        <v/>
      </c>
      <c r="CC165" s="468" t="str">
        <f t="shared" si="312"/>
        <v/>
      </c>
      <c r="CD165" s="468" t="str">
        <f t="shared" si="313"/>
        <v/>
      </c>
      <c r="CE165" s="344"/>
      <c r="CF165" s="54" t="str">
        <f t="shared" si="354"/>
        <v/>
      </c>
      <c r="CG165" s="238">
        <v>0</v>
      </c>
      <c r="CH165" s="54" t="str">
        <f t="shared" si="355"/>
        <v/>
      </c>
      <c r="CI165" s="353">
        <f>+Расходы!L115/1000</f>
        <v>0</v>
      </c>
      <c r="CJ165" s="54" t="str">
        <f t="shared" si="356"/>
        <v/>
      </c>
      <c r="CK165" s="468" t="str">
        <f t="shared" si="314"/>
        <v/>
      </c>
      <c r="CL165" s="468" t="str">
        <f t="shared" si="315"/>
        <v/>
      </c>
      <c r="CM165" s="344"/>
      <c r="CN165" s="54" t="str">
        <f t="shared" si="357"/>
        <v/>
      </c>
      <c r="CO165" s="238">
        <v>0</v>
      </c>
      <c r="CP165" s="54" t="str">
        <f t="shared" si="358"/>
        <v/>
      </c>
      <c r="CQ165" s="353">
        <f>+Расходы!M115/1000</f>
        <v>0</v>
      </c>
      <c r="CR165" s="54" t="str">
        <f t="shared" si="359"/>
        <v/>
      </c>
      <c r="CS165" s="468" t="str">
        <f t="shared" si="316"/>
        <v/>
      </c>
      <c r="CT165" s="468" t="str">
        <f t="shared" si="317"/>
        <v/>
      </c>
      <c r="CU165" s="344">
        <f t="shared" si="292"/>
        <v>0</v>
      </c>
      <c r="CV165" s="54" t="str">
        <f t="shared" si="318"/>
        <v/>
      </c>
      <c r="CW165" s="238">
        <f t="shared" si="293"/>
        <v>0</v>
      </c>
      <c r="CX165" s="54">
        <f t="shared" si="319"/>
        <v>0</v>
      </c>
      <c r="CY165" s="353">
        <f t="shared" si="320"/>
        <v>0</v>
      </c>
      <c r="CZ165" s="54">
        <f t="shared" si="321"/>
        <v>0</v>
      </c>
      <c r="DA165" s="468" t="str">
        <f t="shared" si="322"/>
        <v/>
      </c>
      <c r="DB165" s="468" t="str">
        <f t="shared" si="323"/>
        <v/>
      </c>
    </row>
    <row r="166" spans="2:106" s="103" customFormat="1" ht="13.15" customHeight="1" outlineLevel="2">
      <c r="B166" s="61" t="str">
        <f>+Расходы!A116</f>
        <v>Франшизный платеж</v>
      </c>
      <c r="C166" s="238"/>
      <c r="D166" s="54" t="str">
        <f t="shared" si="324"/>
        <v/>
      </c>
      <c r="E166" s="238"/>
      <c r="F166" s="54" t="str">
        <f t="shared" si="325"/>
        <v/>
      </c>
      <c r="G166" s="353">
        <f>+Расходы!B116/1000</f>
        <v>0</v>
      </c>
      <c r="H166" s="54" t="str">
        <f t="shared" si="326"/>
        <v/>
      </c>
      <c r="I166" s="468" t="str">
        <f t="shared" si="294"/>
        <v/>
      </c>
      <c r="J166" s="468" t="str">
        <f t="shared" si="295"/>
        <v/>
      </c>
      <c r="K166" s="238"/>
      <c r="L166" s="54" t="str">
        <f t="shared" si="327"/>
        <v/>
      </c>
      <c r="M166" s="238"/>
      <c r="N166" s="54" t="str">
        <f t="shared" si="328"/>
        <v/>
      </c>
      <c r="O166" s="353">
        <f>+Расходы!C116/1000</f>
        <v>0</v>
      </c>
      <c r="P166" s="54" t="str">
        <f t="shared" si="329"/>
        <v/>
      </c>
      <c r="Q166" s="468" t="str">
        <f t="shared" si="296"/>
        <v/>
      </c>
      <c r="R166" s="468" t="str">
        <f t="shared" si="297"/>
        <v/>
      </c>
      <c r="S166" s="238"/>
      <c r="T166" s="54" t="str">
        <f t="shared" si="330"/>
        <v/>
      </c>
      <c r="U166" s="238">
        <v>0</v>
      </c>
      <c r="V166" s="54" t="str">
        <f t="shared" si="331"/>
        <v/>
      </c>
      <c r="W166" s="353">
        <f>+Расходы!D116/1000</f>
        <v>0</v>
      </c>
      <c r="X166" s="54" t="str">
        <f t="shared" si="332"/>
        <v/>
      </c>
      <c r="Y166" s="468" t="str">
        <f t="shared" si="298"/>
        <v/>
      </c>
      <c r="Z166" s="468" t="str">
        <f t="shared" si="299"/>
        <v/>
      </c>
      <c r="AA166" s="238"/>
      <c r="AB166" s="54" t="str">
        <f t="shared" si="333"/>
        <v/>
      </c>
      <c r="AC166" s="238">
        <v>0</v>
      </c>
      <c r="AD166" s="54" t="str">
        <f t="shared" si="334"/>
        <v/>
      </c>
      <c r="AE166" s="353">
        <f>+Расходы!E116/1000</f>
        <v>0</v>
      </c>
      <c r="AF166" s="54" t="str">
        <f t="shared" si="335"/>
        <v/>
      </c>
      <c r="AG166" s="468" t="str">
        <f t="shared" si="300"/>
        <v/>
      </c>
      <c r="AH166" s="468" t="str">
        <f t="shared" si="301"/>
        <v/>
      </c>
      <c r="AI166" s="238"/>
      <c r="AJ166" s="54" t="str">
        <f t="shared" si="336"/>
        <v/>
      </c>
      <c r="AK166" s="238">
        <v>0</v>
      </c>
      <c r="AL166" s="54" t="str">
        <f t="shared" si="337"/>
        <v/>
      </c>
      <c r="AM166" s="353">
        <f>+Расходы!F116/1000</f>
        <v>0</v>
      </c>
      <c r="AN166" s="54" t="str">
        <f t="shared" si="338"/>
        <v/>
      </c>
      <c r="AO166" s="468" t="str">
        <f t="shared" si="302"/>
        <v/>
      </c>
      <c r="AP166" s="468" t="str">
        <f t="shared" si="303"/>
        <v/>
      </c>
      <c r="AQ166" s="344"/>
      <c r="AR166" s="54" t="str">
        <f t="shared" si="339"/>
        <v/>
      </c>
      <c r="AS166" s="238">
        <v>0</v>
      </c>
      <c r="AT166" s="54" t="str">
        <f t="shared" si="340"/>
        <v/>
      </c>
      <c r="AU166" s="353">
        <f>+Расходы!G116/1000</f>
        <v>0</v>
      </c>
      <c r="AV166" s="54" t="str">
        <f t="shared" si="341"/>
        <v/>
      </c>
      <c r="AW166" s="468" t="str">
        <f t="shared" si="304"/>
        <v/>
      </c>
      <c r="AX166" s="468" t="str">
        <f t="shared" si="305"/>
        <v/>
      </c>
      <c r="AY166" s="344"/>
      <c r="AZ166" s="54" t="str">
        <f t="shared" si="342"/>
        <v/>
      </c>
      <c r="BA166" s="238">
        <v>0</v>
      </c>
      <c r="BB166" s="54" t="str">
        <f t="shared" si="343"/>
        <v/>
      </c>
      <c r="BC166" s="353">
        <f>+Расходы!H116/1000</f>
        <v>0</v>
      </c>
      <c r="BD166" s="54" t="str">
        <f t="shared" si="344"/>
        <v/>
      </c>
      <c r="BE166" s="468" t="str">
        <f t="shared" si="306"/>
        <v/>
      </c>
      <c r="BF166" s="468" t="str">
        <f t="shared" si="307"/>
        <v/>
      </c>
      <c r="BG166" s="344"/>
      <c r="BH166" s="54" t="str">
        <f t="shared" si="345"/>
        <v/>
      </c>
      <c r="BI166" s="238">
        <v>0</v>
      </c>
      <c r="BJ166" s="54" t="str">
        <f t="shared" si="346"/>
        <v/>
      </c>
      <c r="BK166" s="353">
        <f>+Расходы!I116/1000</f>
        <v>0</v>
      </c>
      <c r="BL166" s="54" t="str">
        <f t="shared" si="347"/>
        <v/>
      </c>
      <c r="BM166" s="468" t="str">
        <f t="shared" si="308"/>
        <v/>
      </c>
      <c r="BN166" s="468" t="str">
        <f t="shared" si="309"/>
        <v/>
      </c>
      <c r="BO166" s="344"/>
      <c r="BP166" s="54" t="str">
        <f t="shared" si="348"/>
        <v/>
      </c>
      <c r="BQ166" s="238">
        <v>0</v>
      </c>
      <c r="BR166" s="54" t="str">
        <f t="shared" si="349"/>
        <v/>
      </c>
      <c r="BS166" s="353">
        <f>+Расходы!J116/1000</f>
        <v>0</v>
      </c>
      <c r="BT166" s="54" t="str">
        <f t="shared" si="350"/>
        <v/>
      </c>
      <c r="BU166" s="468" t="str">
        <f t="shared" si="310"/>
        <v/>
      </c>
      <c r="BV166" s="468" t="str">
        <f t="shared" si="311"/>
        <v/>
      </c>
      <c r="BW166" s="344"/>
      <c r="BX166" s="54" t="str">
        <f t="shared" si="351"/>
        <v/>
      </c>
      <c r="BY166" s="238">
        <v>0</v>
      </c>
      <c r="BZ166" s="54" t="str">
        <f t="shared" si="352"/>
        <v/>
      </c>
      <c r="CA166" s="353">
        <f>+Расходы!K116/1000</f>
        <v>0</v>
      </c>
      <c r="CB166" s="54" t="str">
        <f t="shared" si="353"/>
        <v/>
      </c>
      <c r="CC166" s="468" t="str">
        <f t="shared" si="312"/>
        <v/>
      </c>
      <c r="CD166" s="468" t="str">
        <f t="shared" si="313"/>
        <v/>
      </c>
      <c r="CE166" s="344"/>
      <c r="CF166" s="54" t="str">
        <f t="shared" si="354"/>
        <v/>
      </c>
      <c r="CG166" s="238">
        <v>0</v>
      </c>
      <c r="CH166" s="54" t="str">
        <f t="shared" si="355"/>
        <v/>
      </c>
      <c r="CI166" s="353">
        <f>+Расходы!L116/1000</f>
        <v>0</v>
      </c>
      <c r="CJ166" s="54" t="str">
        <f t="shared" si="356"/>
        <v/>
      </c>
      <c r="CK166" s="468" t="str">
        <f t="shared" si="314"/>
        <v/>
      </c>
      <c r="CL166" s="468" t="str">
        <f t="shared" si="315"/>
        <v/>
      </c>
      <c r="CM166" s="344"/>
      <c r="CN166" s="54" t="str">
        <f t="shared" si="357"/>
        <v/>
      </c>
      <c r="CO166" s="238">
        <v>0</v>
      </c>
      <c r="CP166" s="54" t="str">
        <f t="shared" si="358"/>
        <v/>
      </c>
      <c r="CQ166" s="353">
        <f>+Расходы!M116/1000</f>
        <v>0</v>
      </c>
      <c r="CR166" s="54" t="str">
        <f t="shared" si="359"/>
        <v/>
      </c>
      <c r="CS166" s="468" t="str">
        <f t="shared" si="316"/>
        <v/>
      </c>
      <c r="CT166" s="468" t="str">
        <f t="shared" si="317"/>
        <v/>
      </c>
      <c r="CU166" s="344">
        <f t="shared" si="292"/>
        <v>0</v>
      </c>
      <c r="CV166" s="54" t="str">
        <f t="shared" si="318"/>
        <v/>
      </c>
      <c r="CW166" s="238">
        <f t="shared" si="293"/>
        <v>0</v>
      </c>
      <c r="CX166" s="54">
        <f t="shared" si="319"/>
        <v>0</v>
      </c>
      <c r="CY166" s="353">
        <f t="shared" si="320"/>
        <v>0</v>
      </c>
      <c r="CZ166" s="54">
        <f t="shared" si="321"/>
        <v>0</v>
      </c>
      <c r="DA166" s="468" t="str">
        <f t="shared" si="322"/>
        <v/>
      </c>
      <c r="DB166" s="468" t="str">
        <f t="shared" si="323"/>
        <v/>
      </c>
    </row>
    <row r="167" spans="2:106" s="103" customFormat="1" ht="13.15" customHeight="1" outlineLevel="2">
      <c r="B167" s="61" t="str">
        <f>+Расходы!A117</f>
        <v>Химчистка</v>
      </c>
      <c r="C167" s="238"/>
      <c r="D167" s="54" t="str">
        <f t="shared" si="324"/>
        <v/>
      </c>
      <c r="E167" s="238"/>
      <c r="F167" s="54" t="str">
        <f t="shared" si="325"/>
        <v/>
      </c>
      <c r="G167" s="353">
        <f>+Расходы!B117/1000</f>
        <v>0</v>
      </c>
      <c r="H167" s="54" t="str">
        <f t="shared" si="326"/>
        <v/>
      </c>
      <c r="I167" s="468" t="str">
        <f t="shared" si="294"/>
        <v/>
      </c>
      <c r="J167" s="468" t="str">
        <f t="shared" si="295"/>
        <v/>
      </c>
      <c r="K167" s="238"/>
      <c r="L167" s="54" t="str">
        <f t="shared" si="327"/>
        <v/>
      </c>
      <c r="M167" s="238"/>
      <c r="N167" s="54" t="str">
        <f t="shared" si="328"/>
        <v/>
      </c>
      <c r="O167" s="353">
        <f>+Расходы!C117/1000</f>
        <v>0</v>
      </c>
      <c r="P167" s="54" t="str">
        <f t="shared" si="329"/>
        <v/>
      </c>
      <c r="Q167" s="468" t="str">
        <f t="shared" si="296"/>
        <v/>
      </c>
      <c r="R167" s="468" t="str">
        <f t="shared" si="297"/>
        <v/>
      </c>
      <c r="S167" s="238"/>
      <c r="T167" s="54" t="str">
        <f t="shared" si="330"/>
        <v/>
      </c>
      <c r="U167" s="238">
        <v>0</v>
      </c>
      <c r="V167" s="54" t="str">
        <f t="shared" si="331"/>
        <v/>
      </c>
      <c r="W167" s="353">
        <f>+Расходы!D117/1000</f>
        <v>0</v>
      </c>
      <c r="X167" s="54" t="str">
        <f t="shared" si="332"/>
        <v/>
      </c>
      <c r="Y167" s="468" t="str">
        <f t="shared" si="298"/>
        <v/>
      </c>
      <c r="Z167" s="468" t="str">
        <f t="shared" si="299"/>
        <v/>
      </c>
      <c r="AA167" s="238"/>
      <c r="AB167" s="54" t="str">
        <f t="shared" si="333"/>
        <v/>
      </c>
      <c r="AC167" s="238">
        <v>0</v>
      </c>
      <c r="AD167" s="54" t="str">
        <f t="shared" si="334"/>
        <v/>
      </c>
      <c r="AE167" s="353">
        <f>+Расходы!E117/1000</f>
        <v>0</v>
      </c>
      <c r="AF167" s="54" t="str">
        <f t="shared" si="335"/>
        <v/>
      </c>
      <c r="AG167" s="468" t="str">
        <f t="shared" si="300"/>
        <v/>
      </c>
      <c r="AH167" s="468" t="str">
        <f t="shared" si="301"/>
        <v/>
      </c>
      <c r="AI167" s="238"/>
      <c r="AJ167" s="54" t="str">
        <f t="shared" si="336"/>
        <v/>
      </c>
      <c r="AK167" s="238">
        <v>0</v>
      </c>
      <c r="AL167" s="54" t="str">
        <f t="shared" si="337"/>
        <v/>
      </c>
      <c r="AM167" s="353">
        <f>+Расходы!F117/1000</f>
        <v>0</v>
      </c>
      <c r="AN167" s="54" t="str">
        <f t="shared" si="338"/>
        <v/>
      </c>
      <c r="AO167" s="468" t="str">
        <f t="shared" si="302"/>
        <v/>
      </c>
      <c r="AP167" s="468" t="str">
        <f t="shared" si="303"/>
        <v/>
      </c>
      <c r="AQ167" s="344"/>
      <c r="AR167" s="54" t="str">
        <f t="shared" si="339"/>
        <v/>
      </c>
      <c r="AS167" s="238">
        <v>36</v>
      </c>
      <c r="AT167" s="54">
        <f t="shared" si="340"/>
        <v>2.3872679045092837E-3</v>
      </c>
      <c r="AU167" s="353">
        <f>+Расходы!G117/1000</f>
        <v>1.0620000000000001</v>
      </c>
      <c r="AV167" s="54">
        <f t="shared" si="341"/>
        <v>7.4508794458229508E-5</v>
      </c>
      <c r="AW167" s="468">
        <f t="shared" si="304"/>
        <v>-0.97050000000000003</v>
      </c>
      <c r="AX167" s="468" t="str">
        <f t="shared" si="305"/>
        <v/>
      </c>
      <c r="AY167" s="344"/>
      <c r="AZ167" s="54" t="str">
        <f t="shared" si="342"/>
        <v/>
      </c>
      <c r="BA167" s="238">
        <v>36</v>
      </c>
      <c r="BB167" s="54">
        <f t="shared" si="343"/>
        <v>2.2977501196744855E-3</v>
      </c>
      <c r="BC167" s="353">
        <f>+Расходы!H117/1000</f>
        <v>0</v>
      </c>
      <c r="BD167" s="54" t="str">
        <f t="shared" si="344"/>
        <v/>
      </c>
      <c r="BE167" s="468">
        <f t="shared" si="306"/>
        <v>-1</v>
      </c>
      <c r="BF167" s="468" t="str">
        <f t="shared" si="307"/>
        <v/>
      </c>
      <c r="BG167" s="344"/>
      <c r="BH167" s="54" t="str">
        <f t="shared" si="345"/>
        <v/>
      </c>
      <c r="BI167" s="238">
        <v>36</v>
      </c>
      <c r="BJ167" s="54">
        <f t="shared" si="346"/>
        <v>2.2977501196744855E-3</v>
      </c>
      <c r="BK167" s="353">
        <f>+Расходы!I117/1000</f>
        <v>0</v>
      </c>
      <c r="BL167" s="54" t="str">
        <f t="shared" si="347"/>
        <v/>
      </c>
      <c r="BM167" s="468">
        <f t="shared" si="308"/>
        <v>-1</v>
      </c>
      <c r="BN167" s="468" t="str">
        <f t="shared" si="309"/>
        <v/>
      </c>
      <c r="BO167" s="344"/>
      <c r="BP167" s="54" t="str">
        <f t="shared" si="348"/>
        <v/>
      </c>
      <c r="BQ167" s="238">
        <v>36</v>
      </c>
      <c r="BR167" s="54">
        <f t="shared" si="349"/>
        <v>2.4861878453038672E-3</v>
      </c>
      <c r="BS167" s="353">
        <f>+Расходы!J117/1000</f>
        <v>0</v>
      </c>
      <c r="BT167" s="54" t="str">
        <f t="shared" si="350"/>
        <v/>
      </c>
      <c r="BU167" s="468">
        <f t="shared" si="310"/>
        <v>-1</v>
      </c>
      <c r="BV167" s="468" t="str">
        <f t="shared" si="311"/>
        <v/>
      </c>
      <c r="BW167" s="344"/>
      <c r="BX167" s="54" t="str">
        <f t="shared" si="351"/>
        <v/>
      </c>
      <c r="BY167" s="238">
        <v>0</v>
      </c>
      <c r="BZ167" s="54" t="str">
        <f t="shared" si="352"/>
        <v/>
      </c>
      <c r="CA167" s="353">
        <f>+Расходы!K117/1000</f>
        <v>0</v>
      </c>
      <c r="CB167" s="54" t="str">
        <f t="shared" si="353"/>
        <v/>
      </c>
      <c r="CC167" s="468" t="str">
        <f t="shared" si="312"/>
        <v/>
      </c>
      <c r="CD167" s="468" t="str">
        <f t="shared" si="313"/>
        <v/>
      </c>
      <c r="CE167" s="344"/>
      <c r="CF167" s="54" t="str">
        <f t="shared" si="354"/>
        <v/>
      </c>
      <c r="CG167" s="238">
        <v>0</v>
      </c>
      <c r="CH167" s="54" t="str">
        <f t="shared" si="355"/>
        <v/>
      </c>
      <c r="CI167" s="353">
        <f>+Расходы!L117/1000</f>
        <v>0</v>
      </c>
      <c r="CJ167" s="54" t="str">
        <f t="shared" si="356"/>
        <v/>
      </c>
      <c r="CK167" s="468" t="str">
        <f t="shared" si="314"/>
        <v/>
      </c>
      <c r="CL167" s="468" t="str">
        <f t="shared" si="315"/>
        <v/>
      </c>
      <c r="CM167" s="344"/>
      <c r="CN167" s="54" t="str">
        <f t="shared" si="357"/>
        <v/>
      </c>
      <c r="CO167" s="238">
        <v>0</v>
      </c>
      <c r="CP167" s="54" t="str">
        <f t="shared" si="358"/>
        <v/>
      </c>
      <c r="CQ167" s="353">
        <f>+Расходы!M117/1000</f>
        <v>0</v>
      </c>
      <c r="CR167" s="54" t="str">
        <f t="shared" si="359"/>
        <v/>
      </c>
      <c r="CS167" s="468" t="str">
        <f t="shared" si="316"/>
        <v/>
      </c>
      <c r="CT167" s="468" t="str">
        <f t="shared" si="317"/>
        <v/>
      </c>
      <c r="CU167" s="344">
        <f t="shared" si="292"/>
        <v>0</v>
      </c>
      <c r="CV167" s="54" t="str">
        <f t="shared" si="318"/>
        <v/>
      </c>
      <c r="CW167" s="238">
        <f t="shared" si="293"/>
        <v>144</v>
      </c>
      <c r="CX167" s="54">
        <f t="shared" si="319"/>
        <v>1.085891159156856E-3</v>
      </c>
      <c r="CY167" s="353">
        <f t="shared" si="320"/>
        <v>1.0620000000000001</v>
      </c>
      <c r="CZ167" s="54">
        <f t="shared" si="321"/>
        <v>2.1407388221836419E-5</v>
      </c>
      <c r="DA167" s="468">
        <f t="shared" si="322"/>
        <v>-0.99262499999999998</v>
      </c>
      <c r="DB167" s="468" t="str">
        <f t="shared" si="323"/>
        <v/>
      </c>
    </row>
    <row r="168" spans="2:106" s="103" customFormat="1" ht="13.15" customHeight="1" outlineLevel="2">
      <c r="B168" s="61" t="str">
        <f>+Расходы!A118</f>
        <v>Чистка канализации</v>
      </c>
      <c r="C168" s="238"/>
      <c r="D168" s="54" t="str">
        <f t="shared" si="324"/>
        <v/>
      </c>
      <c r="E168" s="238"/>
      <c r="F168" s="54" t="str">
        <f t="shared" si="325"/>
        <v/>
      </c>
      <c r="G168" s="353">
        <f>+Расходы!B118/1000</f>
        <v>0</v>
      </c>
      <c r="H168" s="54" t="str">
        <f t="shared" si="326"/>
        <v/>
      </c>
      <c r="I168" s="468" t="str">
        <f t="shared" si="294"/>
        <v/>
      </c>
      <c r="J168" s="468" t="str">
        <f t="shared" si="295"/>
        <v/>
      </c>
      <c r="K168" s="238"/>
      <c r="L168" s="54" t="str">
        <f t="shared" si="327"/>
        <v/>
      </c>
      <c r="M168" s="238"/>
      <c r="N168" s="54" t="str">
        <f t="shared" si="328"/>
        <v/>
      </c>
      <c r="O168" s="353">
        <f>+Расходы!C118/1000</f>
        <v>0</v>
      </c>
      <c r="P168" s="54" t="str">
        <f t="shared" si="329"/>
        <v/>
      </c>
      <c r="Q168" s="468" t="str">
        <f t="shared" si="296"/>
        <v/>
      </c>
      <c r="R168" s="468" t="str">
        <f t="shared" si="297"/>
        <v/>
      </c>
      <c r="S168" s="238"/>
      <c r="T168" s="54" t="str">
        <f t="shared" si="330"/>
        <v/>
      </c>
      <c r="U168" s="238">
        <v>0</v>
      </c>
      <c r="V168" s="54" t="str">
        <f t="shared" si="331"/>
        <v/>
      </c>
      <c r="W168" s="353">
        <f>+Расходы!D118/1000</f>
        <v>0</v>
      </c>
      <c r="X168" s="54" t="str">
        <f t="shared" si="332"/>
        <v/>
      </c>
      <c r="Y168" s="468" t="str">
        <f t="shared" si="298"/>
        <v/>
      </c>
      <c r="Z168" s="468" t="str">
        <f t="shared" si="299"/>
        <v/>
      </c>
      <c r="AA168" s="238"/>
      <c r="AB168" s="54" t="str">
        <f t="shared" si="333"/>
        <v/>
      </c>
      <c r="AC168" s="238">
        <v>0</v>
      </c>
      <c r="AD168" s="54" t="str">
        <f t="shared" si="334"/>
        <v/>
      </c>
      <c r="AE168" s="353">
        <f>+Расходы!E118/1000</f>
        <v>0</v>
      </c>
      <c r="AF168" s="54" t="str">
        <f t="shared" si="335"/>
        <v/>
      </c>
      <c r="AG168" s="468" t="str">
        <f t="shared" si="300"/>
        <v/>
      </c>
      <c r="AH168" s="468" t="str">
        <f t="shared" si="301"/>
        <v/>
      </c>
      <c r="AI168" s="238"/>
      <c r="AJ168" s="54" t="str">
        <f t="shared" si="336"/>
        <v/>
      </c>
      <c r="AK168" s="238">
        <v>0</v>
      </c>
      <c r="AL168" s="54" t="str">
        <f t="shared" si="337"/>
        <v/>
      </c>
      <c r="AM168" s="353">
        <f>+Расходы!F118/1000</f>
        <v>0</v>
      </c>
      <c r="AN168" s="54" t="str">
        <f t="shared" si="338"/>
        <v/>
      </c>
      <c r="AO168" s="468" t="str">
        <f t="shared" si="302"/>
        <v/>
      </c>
      <c r="AP168" s="468" t="str">
        <f t="shared" si="303"/>
        <v/>
      </c>
      <c r="AQ168" s="344"/>
      <c r="AR168" s="54" t="str">
        <f t="shared" si="339"/>
        <v/>
      </c>
      <c r="AS168" s="238">
        <v>0</v>
      </c>
      <c r="AT168" s="54" t="str">
        <f t="shared" si="340"/>
        <v/>
      </c>
      <c r="AU168" s="353">
        <f>+Расходы!G118/1000</f>
        <v>0</v>
      </c>
      <c r="AV168" s="54" t="str">
        <f t="shared" si="341"/>
        <v/>
      </c>
      <c r="AW168" s="468" t="str">
        <f t="shared" si="304"/>
        <v/>
      </c>
      <c r="AX168" s="468" t="str">
        <f t="shared" si="305"/>
        <v/>
      </c>
      <c r="AY168" s="344"/>
      <c r="AZ168" s="54" t="str">
        <f t="shared" si="342"/>
        <v/>
      </c>
      <c r="BA168" s="238">
        <v>0</v>
      </c>
      <c r="BB168" s="54" t="str">
        <f t="shared" si="343"/>
        <v/>
      </c>
      <c r="BC168" s="353">
        <f>+Расходы!H118/1000</f>
        <v>0</v>
      </c>
      <c r="BD168" s="54" t="str">
        <f t="shared" si="344"/>
        <v/>
      </c>
      <c r="BE168" s="468" t="str">
        <f t="shared" si="306"/>
        <v/>
      </c>
      <c r="BF168" s="468" t="str">
        <f t="shared" si="307"/>
        <v/>
      </c>
      <c r="BG168" s="344"/>
      <c r="BH168" s="54" t="str">
        <f t="shared" si="345"/>
        <v/>
      </c>
      <c r="BI168" s="238">
        <v>0</v>
      </c>
      <c r="BJ168" s="54" t="str">
        <f t="shared" si="346"/>
        <v/>
      </c>
      <c r="BK168" s="353">
        <f>+Расходы!I118/1000</f>
        <v>0</v>
      </c>
      <c r="BL168" s="54" t="str">
        <f t="shared" si="347"/>
        <v/>
      </c>
      <c r="BM168" s="468" t="str">
        <f t="shared" si="308"/>
        <v/>
      </c>
      <c r="BN168" s="468" t="str">
        <f t="shared" si="309"/>
        <v/>
      </c>
      <c r="BO168" s="344"/>
      <c r="BP168" s="54" t="str">
        <f t="shared" si="348"/>
        <v/>
      </c>
      <c r="BQ168" s="238">
        <v>0</v>
      </c>
      <c r="BR168" s="54" t="str">
        <f t="shared" si="349"/>
        <v/>
      </c>
      <c r="BS168" s="353">
        <f>+Расходы!J118/1000</f>
        <v>0</v>
      </c>
      <c r="BT168" s="54" t="str">
        <f t="shared" si="350"/>
        <v/>
      </c>
      <c r="BU168" s="468" t="str">
        <f t="shared" si="310"/>
        <v/>
      </c>
      <c r="BV168" s="468" t="str">
        <f t="shared" si="311"/>
        <v/>
      </c>
      <c r="BW168" s="344"/>
      <c r="BX168" s="54" t="str">
        <f t="shared" si="351"/>
        <v/>
      </c>
      <c r="BY168" s="238">
        <v>0</v>
      </c>
      <c r="BZ168" s="54" t="str">
        <f t="shared" si="352"/>
        <v/>
      </c>
      <c r="CA168" s="353">
        <f>+Расходы!K118/1000</f>
        <v>0</v>
      </c>
      <c r="CB168" s="54" t="str">
        <f t="shared" si="353"/>
        <v/>
      </c>
      <c r="CC168" s="468" t="str">
        <f t="shared" si="312"/>
        <v/>
      </c>
      <c r="CD168" s="468" t="str">
        <f t="shared" si="313"/>
        <v/>
      </c>
      <c r="CE168" s="344"/>
      <c r="CF168" s="54" t="str">
        <f t="shared" si="354"/>
        <v/>
      </c>
      <c r="CG168" s="238">
        <v>0</v>
      </c>
      <c r="CH168" s="54" t="str">
        <f t="shared" si="355"/>
        <v/>
      </c>
      <c r="CI168" s="353">
        <f>+Расходы!L118/1000</f>
        <v>0</v>
      </c>
      <c r="CJ168" s="54" t="str">
        <f t="shared" si="356"/>
        <v/>
      </c>
      <c r="CK168" s="468" t="str">
        <f t="shared" si="314"/>
        <v/>
      </c>
      <c r="CL168" s="468" t="str">
        <f t="shared" si="315"/>
        <v/>
      </c>
      <c r="CM168" s="344"/>
      <c r="CN168" s="54" t="str">
        <f t="shared" si="357"/>
        <v/>
      </c>
      <c r="CO168" s="238">
        <v>0</v>
      </c>
      <c r="CP168" s="54" t="str">
        <f t="shared" si="358"/>
        <v/>
      </c>
      <c r="CQ168" s="353">
        <f>+Расходы!M118/1000</f>
        <v>0</v>
      </c>
      <c r="CR168" s="54" t="str">
        <f t="shared" si="359"/>
        <v/>
      </c>
      <c r="CS168" s="468" t="str">
        <f t="shared" si="316"/>
        <v/>
      </c>
      <c r="CT168" s="468" t="str">
        <f t="shared" si="317"/>
        <v/>
      </c>
      <c r="CU168" s="344">
        <f t="shared" si="292"/>
        <v>0</v>
      </c>
      <c r="CV168" s="54" t="str">
        <f t="shared" si="318"/>
        <v/>
      </c>
      <c r="CW168" s="238">
        <f t="shared" si="293"/>
        <v>0</v>
      </c>
      <c r="CX168" s="54">
        <f t="shared" si="319"/>
        <v>0</v>
      </c>
      <c r="CY168" s="353">
        <f t="shared" si="320"/>
        <v>0</v>
      </c>
      <c r="CZ168" s="54">
        <f t="shared" si="321"/>
        <v>0</v>
      </c>
      <c r="DA168" s="468" t="str">
        <f t="shared" si="322"/>
        <v/>
      </c>
      <c r="DB168" s="468" t="str">
        <f t="shared" si="323"/>
        <v/>
      </c>
    </row>
    <row r="169" spans="2:106" s="103" customFormat="1" ht="13.15" customHeight="1" outlineLevel="2">
      <c r="B169" s="61" t="str">
        <f>+Расходы!A119</f>
        <v>Чистка ковриков</v>
      </c>
      <c r="C169" s="238"/>
      <c r="D169" s="54" t="str">
        <f t="shared" si="324"/>
        <v/>
      </c>
      <c r="E169" s="238"/>
      <c r="F169" s="54" t="str">
        <f t="shared" si="325"/>
        <v/>
      </c>
      <c r="G169" s="353">
        <f>+Расходы!B119/1000</f>
        <v>0</v>
      </c>
      <c r="H169" s="54" t="str">
        <f t="shared" si="326"/>
        <v/>
      </c>
      <c r="I169" s="468" t="str">
        <f t="shared" si="294"/>
        <v/>
      </c>
      <c r="J169" s="468" t="str">
        <f t="shared" si="295"/>
        <v/>
      </c>
      <c r="K169" s="238"/>
      <c r="L169" s="54" t="str">
        <f t="shared" si="327"/>
        <v/>
      </c>
      <c r="M169" s="238"/>
      <c r="N169" s="54" t="str">
        <f t="shared" si="328"/>
        <v/>
      </c>
      <c r="O169" s="353">
        <f>+Расходы!C119/1000</f>
        <v>0</v>
      </c>
      <c r="P169" s="54" t="str">
        <f t="shared" si="329"/>
        <v/>
      </c>
      <c r="Q169" s="468" t="str">
        <f t="shared" si="296"/>
        <v/>
      </c>
      <c r="R169" s="468" t="str">
        <f t="shared" si="297"/>
        <v/>
      </c>
      <c r="S169" s="238"/>
      <c r="T169" s="54" t="str">
        <f t="shared" si="330"/>
        <v/>
      </c>
      <c r="U169" s="238">
        <v>0</v>
      </c>
      <c r="V169" s="54" t="str">
        <f t="shared" si="331"/>
        <v/>
      </c>
      <c r="W169" s="353">
        <f>+Расходы!D119/1000</f>
        <v>0</v>
      </c>
      <c r="X169" s="54" t="str">
        <f t="shared" si="332"/>
        <v/>
      </c>
      <c r="Y169" s="468" t="str">
        <f t="shared" si="298"/>
        <v/>
      </c>
      <c r="Z169" s="468" t="str">
        <f t="shared" si="299"/>
        <v/>
      </c>
      <c r="AA169" s="238"/>
      <c r="AB169" s="54" t="str">
        <f t="shared" si="333"/>
        <v/>
      </c>
      <c r="AC169" s="238">
        <v>0</v>
      </c>
      <c r="AD169" s="54" t="str">
        <f t="shared" si="334"/>
        <v/>
      </c>
      <c r="AE169" s="353">
        <f>+Расходы!E119/1000</f>
        <v>0</v>
      </c>
      <c r="AF169" s="54" t="str">
        <f t="shared" si="335"/>
        <v/>
      </c>
      <c r="AG169" s="468" t="str">
        <f t="shared" si="300"/>
        <v/>
      </c>
      <c r="AH169" s="468" t="str">
        <f t="shared" si="301"/>
        <v/>
      </c>
      <c r="AI169" s="238"/>
      <c r="AJ169" s="54" t="str">
        <f t="shared" si="336"/>
        <v/>
      </c>
      <c r="AK169" s="238">
        <v>0</v>
      </c>
      <c r="AL169" s="54" t="str">
        <f t="shared" si="337"/>
        <v/>
      </c>
      <c r="AM169" s="353">
        <f>+Расходы!F119/1000</f>
        <v>0</v>
      </c>
      <c r="AN169" s="54" t="str">
        <f t="shared" si="338"/>
        <v/>
      </c>
      <c r="AO169" s="468" t="str">
        <f t="shared" si="302"/>
        <v/>
      </c>
      <c r="AP169" s="468" t="str">
        <f t="shared" si="303"/>
        <v/>
      </c>
      <c r="AQ169" s="344"/>
      <c r="AR169" s="54" t="str">
        <f t="shared" si="339"/>
        <v/>
      </c>
      <c r="AS169" s="238">
        <v>0</v>
      </c>
      <c r="AT169" s="54" t="str">
        <f t="shared" si="340"/>
        <v/>
      </c>
      <c r="AU169" s="353">
        <f>+Расходы!G119/1000</f>
        <v>0</v>
      </c>
      <c r="AV169" s="54" t="str">
        <f t="shared" si="341"/>
        <v/>
      </c>
      <c r="AW169" s="468" t="str">
        <f t="shared" si="304"/>
        <v/>
      </c>
      <c r="AX169" s="468" t="str">
        <f t="shared" si="305"/>
        <v/>
      </c>
      <c r="AY169" s="344"/>
      <c r="AZ169" s="54" t="str">
        <f t="shared" si="342"/>
        <v/>
      </c>
      <c r="BA169" s="238">
        <v>0</v>
      </c>
      <c r="BB169" s="54" t="str">
        <f t="shared" si="343"/>
        <v/>
      </c>
      <c r="BC169" s="353">
        <f>+Расходы!H119/1000</f>
        <v>0</v>
      </c>
      <c r="BD169" s="54" t="str">
        <f t="shared" si="344"/>
        <v/>
      </c>
      <c r="BE169" s="468" t="str">
        <f t="shared" si="306"/>
        <v/>
      </c>
      <c r="BF169" s="468" t="str">
        <f t="shared" si="307"/>
        <v/>
      </c>
      <c r="BG169" s="344"/>
      <c r="BH169" s="54" t="str">
        <f t="shared" si="345"/>
        <v/>
      </c>
      <c r="BI169" s="238">
        <v>0</v>
      </c>
      <c r="BJ169" s="54" t="str">
        <f t="shared" si="346"/>
        <v/>
      </c>
      <c r="BK169" s="353">
        <f>+Расходы!I119/1000</f>
        <v>0</v>
      </c>
      <c r="BL169" s="54" t="str">
        <f t="shared" si="347"/>
        <v/>
      </c>
      <c r="BM169" s="468" t="str">
        <f t="shared" si="308"/>
        <v/>
      </c>
      <c r="BN169" s="468" t="str">
        <f t="shared" si="309"/>
        <v/>
      </c>
      <c r="BO169" s="344"/>
      <c r="BP169" s="54" t="str">
        <f t="shared" si="348"/>
        <v/>
      </c>
      <c r="BQ169" s="238">
        <v>0</v>
      </c>
      <c r="BR169" s="54" t="str">
        <f t="shared" si="349"/>
        <v/>
      </c>
      <c r="BS169" s="353">
        <f>+Расходы!J119/1000</f>
        <v>0</v>
      </c>
      <c r="BT169" s="54" t="str">
        <f t="shared" si="350"/>
        <v/>
      </c>
      <c r="BU169" s="468" t="str">
        <f t="shared" si="310"/>
        <v/>
      </c>
      <c r="BV169" s="468" t="str">
        <f t="shared" si="311"/>
        <v/>
      </c>
      <c r="BW169" s="344"/>
      <c r="BX169" s="54" t="str">
        <f t="shared" si="351"/>
        <v/>
      </c>
      <c r="BY169" s="238">
        <v>0</v>
      </c>
      <c r="BZ169" s="54" t="str">
        <f t="shared" si="352"/>
        <v/>
      </c>
      <c r="CA169" s="353">
        <f>+Расходы!K119/1000</f>
        <v>0</v>
      </c>
      <c r="CB169" s="54" t="str">
        <f t="shared" si="353"/>
        <v/>
      </c>
      <c r="CC169" s="468" t="str">
        <f t="shared" si="312"/>
        <v/>
      </c>
      <c r="CD169" s="468" t="str">
        <f t="shared" si="313"/>
        <v/>
      </c>
      <c r="CE169" s="344"/>
      <c r="CF169" s="54" t="str">
        <f t="shared" si="354"/>
        <v/>
      </c>
      <c r="CG169" s="238">
        <v>0</v>
      </c>
      <c r="CH169" s="54" t="str">
        <f t="shared" si="355"/>
        <v/>
      </c>
      <c r="CI169" s="353">
        <f>+Расходы!L119/1000</f>
        <v>0</v>
      </c>
      <c r="CJ169" s="54" t="str">
        <f t="shared" si="356"/>
        <v/>
      </c>
      <c r="CK169" s="468" t="str">
        <f t="shared" si="314"/>
        <v/>
      </c>
      <c r="CL169" s="468" t="str">
        <f t="shared" si="315"/>
        <v/>
      </c>
      <c r="CM169" s="344"/>
      <c r="CN169" s="54" t="str">
        <f t="shared" si="357"/>
        <v/>
      </c>
      <c r="CO169" s="238">
        <v>0</v>
      </c>
      <c r="CP169" s="54" t="str">
        <f t="shared" si="358"/>
        <v/>
      </c>
      <c r="CQ169" s="353">
        <f>+Расходы!M119/1000</f>
        <v>0</v>
      </c>
      <c r="CR169" s="54" t="str">
        <f t="shared" si="359"/>
        <v/>
      </c>
      <c r="CS169" s="468" t="str">
        <f t="shared" si="316"/>
        <v/>
      </c>
      <c r="CT169" s="468" t="str">
        <f t="shared" si="317"/>
        <v/>
      </c>
      <c r="CU169" s="344">
        <f t="shared" si="292"/>
        <v>0</v>
      </c>
      <c r="CV169" s="54" t="str">
        <f t="shared" si="318"/>
        <v/>
      </c>
      <c r="CW169" s="238">
        <f t="shared" si="293"/>
        <v>0</v>
      </c>
      <c r="CX169" s="54">
        <f t="shared" si="319"/>
        <v>0</v>
      </c>
      <c r="CY169" s="353">
        <f t="shared" si="320"/>
        <v>0</v>
      </c>
      <c r="CZ169" s="54">
        <f t="shared" si="321"/>
        <v>0</v>
      </c>
      <c r="DA169" s="468" t="str">
        <f t="shared" si="322"/>
        <v/>
      </c>
      <c r="DB169" s="468" t="str">
        <f t="shared" si="323"/>
        <v/>
      </c>
    </row>
    <row r="170" spans="2:106" s="103" customFormat="1" ht="13.15" customHeight="1" outlineLevel="2">
      <c r="B170" s="61" t="str">
        <f>+Расходы!A120</f>
        <v>Электроработы</v>
      </c>
      <c r="C170" s="238"/>
      <c r="D170" s="54" t="str">
        <f t="shared" si="324"/>
        <v/>
      </c>
      <c r="E170" s="238"/>
      <c r="F170" s="54" t="str">
        <f t="shared" si="325"/>
        <v/>
      </c>
      <c r="G170" s="353">
        <f>+Расходы!B120/1000</f>
        <v>0</v>
      </c>
      <c r="H170" s="54" t="str">
        <f t="shared" si="326"/>
        <v/>
      </c>
      <c r="I170" s="468" t="str">
        <f t="shared" si="294"/>
        <v/>
      </c>
      <c r="J170" s="468" t="str">
        <f t="shared" si="295"/>
        <v/>
      </c>
      <c r="K170" s="238"/>
      <c r="L170" s="54" t="str">
        <f t="shared" si="327"/>
        <v/>
      </c>
      <c r="M170" s="238"/>
      <c r="N170" s="54" t="str">
        <f t="shared" si="328"/>
        <v/>
      </c>
      <c r="O170" s="353">
        <f>+Расходы!C120/1000</f>
        <v>0</v>
      </c>
      <c r="P170" s="54" t="str">
        <f t="shared" si="329"/>
        <v/>
      </c>
      <c r="Q170" s="468" t="str">
        <f t="shared" si="296"/>
        <v/>
      </c>
      <c r="R170" s="468" t="str">
        <f t="shared" si="297"/>
        <v/>
      </c>
      <c r="S170" s="238"/>
      <c r="T170" s="54" t="str">
        <f t="shared" si="330"/>
        <v/>
      </c>
      <c r="U170" s="238">
        <v>0</v>
      </c>
      <c r="V170" s="54" t="str">
        <f t="shared" si="331"/>
        <v/>
      </c>
      <c r="W170" s="353">
        <f>+Расходы!D120/1000</f>
        <v>0</v>
      </c>
      <c r="X170" s="54" t="str">
        <f t="shared" si="332"/>
        <v/>
      </c>
      <c r="Y170" s="468" t="str">
        <f t="shared" si="298"/>
        <v/>
      </c>
      <c r="Z170" s="468" t="str">
        <f t="shared" si="299"/>
        <v/>
      </c>
      <c r="AA170" s="238"/>
      <c r="AB170" s="54" t="str">
        <f t="shared" si="333"/>
        <v/>
      </c>
      <c r="AC170" s="238">
        <v>0</v>
      </c>
      <c r="AD170" s="54" t="str">
        <f t="shared" si="334"/>
        <v/>
      </c>
      <c r="AE170" s="353">
        <f>+Расходы!E120/1000</f>
        <v>0</v>
      </c>
      <c r="AF170" s="54" t="str">
        <f t="shared" si="335"/>
        <v/>
      </c>
      <c r="AG170" s="468" t="str">
        <f t="shared" si="300"/>
        <v/>
      </c>
      <c r="AH170" s="468" t="str">
        <f t="shared" si="301"/>
        <v/>
      </c>
      <c r="AI170" s="238"/>
      <c r="AJ170" s="54" t="str">
        <f t="shared" si="336"/>
        <v/>
      </c>
      <c r="AK170" s="238">
        <v>0</v>
      </c>
      <c r="AL170" s="54" t="str">
        <f t="shared" si="337"/>
        <v/>
      </c>
      <c r="AM170" s="353">
        <f>+Расходы!F120/1000</f>
        <v>17.998799999999999</v>
      </c>
      <c r="AN170" s="54">
        <f t="shared" si="338"/>
        <v>1.1455017918751778E-3</v>
      </c>
      <c r="AO170" s="468" t="str">
        <f t="shared" si="302"/>
        <v/>
      </c>
      <c r="AP170" s="468" t="str">
        <f t="shared" si="303"/>
        <v/>
      </c>
      <c r="AQ170" s="344"/>
      <c r="AR170" s="54" t="str">
        <f t="shared" si="339"/>
        <v/>
      </c>
      <c r="AS170" s="238">
        <v>0</v>
      </c>
      <c r="AT170" s="54" t="str">
        <f t="shared" si="340"/>
        <v/>
      </c>
      <c r="AU170" s="353">
        <f>+Расходы!G120/1000</f>
        <v>0</v>
      </c>
      <c r="AV170" s="54" t="str">
        <f t="shared" si="341"/>
        <v/>
      </c>
      <c r="AW170" s="468" t="str">
        <f t="shared" si="304"/>
        <v/>
      </c>
      <c r="AX170" s="468" t="str">
        <f t="shared" si="305"/>
        <v/>
      </c>
      <c r="AY170" s="344"/>
      <c r="AZ170" s="54" t="str">
        <f t="shared" si="342"/>
        <v/>
      </c>
      <c r="BA170" s="238">
        <v>0</v>
      </c>
      <c r="BB170" s="54" t="str">
        <f t="shared" si="343"/>
        <v/>
      </c>
      <c r="BC170" s="353">
        <f>+Расходы!H120/1000</f>
        <v>0</v>
      </c>
      <c r="BD170" s="54" t="str">
        <f t="shared" si="344"/>
        <v/>
      </c>
      <c r="BE170" s="468" t="str">
        <f t="shared" si="306"/>
        <v/>
      </c>
      <c r="BF170" s="468" t="str">
        <f t="shared" si="307"/>
        <v/>
      </c>
      <c r="BG170" s="344"/>
      <c r="BH170" s="54" t="str">
        <f t="shared" si="345"/>
        <v/>
      </c>
      <c r="BI170" s="238">
        <v>0</v>
      </c>
      <c r="BJ170" s="54" t="str">
        <f t="shared" si="346"/>
        <v/>
      </c>
      <c r="BK170" s="353">
        <f>+Расходы!I120/1000</f>
        <v>0</v>
      </c>
      <c r="BL170" s="54" t="str">
        <f t="shared" si="347"/>
        <v/>
      </c>
      <c r="BM170" s="468" t="str">
        <f t="shared" si="308"/>
        <v/>
      </c>
      <c r="BN170" s="468" t="str">
        <f t="shared" si="309"/>
        <v/>
      </c>
      <c r="BO170" s="344"/>
      <c r="BP170" s="54" t="str">
        <f t="shared" si="348"/>
        <v/>
      </c>
      <c r="BQ170" s="238">
        <v>0</v>
      </c>
      <c r="BR170" s="54" t="str">
        <f t="shared" si="349"/>
        <v/>
      </c>
      <c r="BS170" s="353">
        <f>+Расходы!J120/1000</f>
        <v>0</v>
      </c>
      <c r="BT170" s="54" t="str">
        <f t="shared" si="350"/>
        <v/>
      </c>
      <c r="BU170" s="468" t="str">
        <f t="shared" si="310"/>
        <v/>
      </c>
      <c r="BV170" s="468" t="str">
        <f t="shared" si="311"/>
        <v/>
      </c>
      <c r="BW170" s="344"/>
      <c r="BX170" s="54" t="str">
        <f t="shared" si="351"/>
        <v/>
      </c>
      <c r="BY170" s="238">
        <v>0</v>
      </c>
      <c r="BZ170" s="54" t="str">
        <f t="shared" si="352"/>
        <v/>
      </c>
      <c r="CA170" s="353">
        <f>+Расходы!K120/1000</f>
        <v>0</v>
      </c>
      <c r="CB170" s="54" t="str">
        <f t="shared" si="353"/>
        <v/>
      </c>
      <c r="CC170" s="468" t="str">
        <f t="shared" si="312"/>
        <v/>
      </c>
      <c r="CD170" s="468" t="str">
        <f t="shared" si="313"/>
        <v/>
      </c>
      <c r="CE170" s="344"/>
      <c r="CF170" s="54" t="str">
        <f t="shared" si="354"/>
        <v/>
      </c>
      <c r="CG170" s="238">
        <v>0</v>
      </c>
      <c r="CH170" s="54" t="str">
        <f t="shared" si="355"/>
        <v/>
      </c>
      <c r="CI170" s="353">
        <f>+Расходы!L120/1000</f>
        <v>0</v>
      </c>
      <c r="CJ170" s="54" t="str">
        <f t="shared" si="356"/>
        <v/>
      </c>
      <c r="CK170" s="468" t="str">
        <f t="shared" si="314"/>
        <v/>
      </c>
      <c r="CL170" s="468" t="str">
        <f t="shared" si="315"/>
        <v/>
      </c>
      <c r="CM170" s="344"/>
      <c r="CN170" s="54" t="str">
        <f t="shared" si="357"/>
        <v/>
      </c>
      <c r="CO170" s="238">
        <v>0</v>
      </c>
      <c r="CP170" s="54" t="str">
        <f t="shared" si="358"/>
        <v/>
      </c>
      <c r="CQ170" s="353">
        <f>+Расходы!M120/1000</f>
        <v>0</v>
      </c>
      <c r="CR170" s="54" t="str">
        <f t="shared" si="359"/>
        <v/>
      </c>
      <c r="CS170" s="468" t="str">
        <f t="shared" si="316"/>
        <v/>
      </c>
      <c r="CT170" s="468" t="str">
        <f t="shared" si="317"/>
        <v/>
      </c>
      <c r="CU170" s="344">
        <f t="shared" si="292"/>
        <v>0</v>
      </c>
      <c r="CV170" s="54" t="str">
        <f t="shared" si="318"/>
        <v/>
      </c>
      <c r="CW170" s="238">
        <f t="shared" si="293"/>
        <v>0</v>
      </c>
      <c r="CX170" s="54">
        <f t="shared" si="319"/>
        <v>0</v>
      </c>
      <c r="CY170" s="353">
        <f t="shared" si="320"/>
        <v>17.998799999999999</v>
      </c>
      <c r="CZ170" s="54">
        <f t="shared" si="321"/>
        <v>3.6281289936646824E-4</v>
      </c>
      <c r="DA170" s="468" t="str">
        <f t="shared" si="322"/>
        <v/>
      </c>
      <c r="DB170" s="468" t="str">
        <f t="shared" si="323"/>
        <v/>
      </c>
    </row>
    <row r="171" spans="2:106" s="103" customFormat="1" ht="13.9" customHeight="1" outlineLevel="1">
      <c r="B171" s="58" t="str">
        <f>+Расходы!A121</f>
        <v>Хозрасходы</v>
      </c>
      <c r="C171" s="480">
        <f>SUM(C172:C196)</f>
        <v>0</v>
      </c>
      <c r="D171" s="51" t="str">
        <f t="shared" si="324"/>
        <v/>
      </c>
      <c r="E171" s="480">
        <f>SUM(E172:E196)</f>
        <v>0</v>
      </c>
      <c r="F171" s="51" t="str">
        <f t="shared" si="325"/>
        <v/>
      </c>
      <c r="G171" s="354">
        <f>+Расходы!B121/1000</f>
        <v>0</v>
      </c>
      <c r="H171" s="51" t="str">
        <f t="shared" si="326"/>
        <v/>
      </c>
      <c r="I171" s="478" t="str">
        <f t="shared" si="294"/>
        <v/>
      </c>
      <c r="J171" s="478" t="str">
        <f t="shared" si="295"/>
        <v/>
      </c>
      <c r="K171" s="480">
        <f>SUM(K172:K196)</f>
        <v>0</v>
      </c>
      <c r="L171" s="51" t="str">
        <f t="shared" si="327"/>
        <v/>
      </c>
      <c r="M171" s="480">
        <f>SUM(M172:M196)</f>
        <v>0</v>
      </c>
      <c r="N171" s="51" t="str">
        <f t="shared" si="328"/>
        <v/>
      </c>
      <c r="O171" s="354">
        <f>+Расходы!C121/1000</f>
        <v>0</v>
      </c>
      <c r="P171" s="51" t="str">
        <f t="shared" si="329"/>
        <v/>
      </c>
      <c r="Q171" s="478" t="str">
        <f t="shared" si="296"/>
        <v/>
      </c>
      <c r="R171" s="478" t="str">
        <f t="shared" si="297"/>
        <v/>
      </c>
      <c r="S171" s="480">
        <f>SUM(S172:S196)</f>
        <v>0</v>
      </c>
      <c r="T171" s="51" t="str">
        <f t="shared" si="330"/>
        <v/>
      </c>
      <c r="U171" s="480">
        <f>SUM(U172:U196)</f>
        <v>0</v>
      </c>
      <c r="V171" s="51" t="str">
        <f t="shared" si="331"/>
        <v/>
      </c>
      <c r="W171" s="354">
        <f>+Расходы!D121/1000</f>
        <v>37.048960000000001</v>
      </c>
      <c r="X171" s="51">
        <f t="shared" si="332"/>
        <v>6.2478220543348119E-3</v>
      </c>
      <c r="Y171" s="478" t="str">
        <f t="shared" si="298"/>
        <v/>
      </c>
      <c r="Z171" s="478" t="str">
        <f t="shared" si="299"/>
        <v/>
      </c>
      <c r="AA171" s="480">
        <f>SUM(AA172:AA196)</f>
        <v>0</v>
      </c>
      <c r="AB171" s="51" t="str">
        <f t="shared" si="333"/>
        <v/>
      </c>
      <c r="AC171" s="480">
        <f>SUM(AC172:AC196)</f>
        <v>387</v>
      </c>
      <c r="AD171" s="51">
        <f t="shared" si="334"/>
        <v>2.8306358178562651E-2</v>
      </c>
      <c r="AE171" s="354">
        <f>+Расходы!E121/1000</f>
        <v>352.19666000000001</v>
      </c>
      <c r="AF171" s="51">
        <f t="shared" si="335"/>
        <v>2.568303969897617E-2</v>
      </c>
      <c r="AG171" s="478">
        <f t="shared" si="300"/>
        <v>-8.9931111111111073E-2</v>
      </c>
      <c r="AH171" s="478" t="str">
        <f t="shared" si="301"/>
        <v/>
      </c>
      <c r="AI171" s="480">
        <f>SUM(AI172:AI196)</f>
        <v>0</v>
      </c>
      <c r="AJ171" s="51" t="str">
        <f t="shared" si="336"/>
        <v/>
      </c>
      <c r="AK171" s="480">
        <f>SUM(AK172:AK196)</f>
        <v>435</v>
      </c>
      <c r="AL171" s="51">
        <f t="shared" si="337"/>
        <v>3.113369596335528E-2</v>
      </c>
      <c r="AM171" s="354">
        <f>+Расходы!F121/1000</f>
        <v>621.12013999999999</v>
      </c>
      <c r="AN171" s="51">
        <f t="shared" si="338"/>
        <v>3.9530092747281004E-2</v>
      </c>
      <c r="AO171" s="478">
        <f t="shared" si="302"/>
        <v>0.42786239080459776</v>
      </c>
      <c r="AP171" s="478" t="str">
        <f t="shared" si="303"/>
        <v/>
      </c>
      <c r="AQ171" s="481">
        <f>SUM(AQ172:AQ196)</f>
        <v>0</v>
      </c>
      <c r="AR171" s="51" t="str">
        <f t="shared" si="339"/>
        <v/>
      </c>
      <c r="AS171" s="480">
        <f>SUM(AS172:AS196)</f>
        <v>472</v>
      </c>
      <c r="AT171" s="51">
        <f t="shared" si="340"/>
        <v>3.1299734748010608E-2</v>
      </c>
      <c r="AU171" s="354">
        <f>+Расходы!G121/1000</f>
        <v>364.82377000000002</v>
      </c>
      <c r="AV171" s="51">
        <f t="shared" si="341"/>
        <v>2.5595649051230129E-2</v>
      </c>
      <c r="AW171" s="478">
        <f t="shared" si="304"/>
        <v>-0.22706828389830502</v>
      </c>
      <c r="AX171" s="478" t="str">
        <f t="shared" si="305"/>
        <v/>
      </c>
      <c r="AY171" s="481">
        <f>SUM(AY172:AY196)</f>
        <v>0</v>
      </c>
      <c r="AZ171" s="51" t="str">
        <f t="shared" si="342"/>
        <v/>
      </c>
      <c r="BA171" s="480">
        <f>SUM(BA172:BA196)</f>
        <v>392</v>
      </c>
      <c r="BB171" s="51">
        <f t="shared" si="343"/>
        <v>2.5019945747566618E-2</v>
      </c>
      <c r="BC171" s="354">
        <f>+Расходы!H121/1000</f>
        <v>0</v>
      </c>
      <c r="BD171" s="51" t="str">
        <f t="shared" si="344"/>
        <v/>
      </c>
      <c r="BE171" s="478">
        <f t="shared" si="306"/>
        <v>-1</v>
      </c>
      <c r="BF171" s="478" t="str">
        <f t="shared" si="307"/>
        <v/>
      </c>
      <c r="BG171" s="481">
        <f>SUM(BG172:BG196)</f>
        <v>0</v>
      </c>
      <c r="BH171" s="51" t="str">
        <f t="shared" si="345"/>
        <v/>
      </c>
      <c r="BI171" s="480">
        <f>SUM(BI172:BI196)</f>
        <v>392</v>
      </c>
      <c r="BJ171" s="51">
        <f t="shared" si="346"/>
        <v>2.5019945747566618E-2</v>
      </c>
      <c r="BK171" s="354">
        <f>+Расходы!I121/1000</f>
        <v>0</v>
      </c>
      <c r="BL171" s="51" t="str">
        <f t="shared" si="347"/>
        <v/>
      </c>
      <c r="BM171" s="478">
        <f t="shared" si="308"/>
        <v>-1</v>
      </c>
      <c r="BN171" s="478" t="str">
        <f t="shared" si="309"/>
        <v/>
      </c>
      <c r="BO171" s="481">
        <f>SUM(BO172:BO196)</f>
        <v>0</v>
      </c>
      <c r="BP171" s="51" t="str">
        <f t="shared" si="348"/>
        <v/>
      </c>
      <c r="BQ171" s="480">
        <f>SUM(BQ172:BQ196)</f>
        <v>412</v>
      </c>
      <c r="BR171" s="51">
        <f t="shared" si="349"/>
        <v>2.8453038674033149E-2</v>
      </c>
      <c r="BS171" s="354">
        <f>+Расходы!J121/1000</f>
        <v>0</v>
      </c>
      <c r="BT171" s="51" t="str">
        <f t="shared" si="350"/>
        <v/>
      </c>
      <c r="BU171" s="478">
        <f t="shared" si="310"/>
        <v>-1</v>
      </c>
      <c r="BV171" s="478" t="str">
        <f t="shared" si="311"/>
        <v/>
      </c>
      <c r="BW171" s="481">
        <f>SUM(BW172:BW196)</f>
        <v>0</v>
      </c>
      <c r="BX171" s="51" t="str">
        <f t="shared" si="351"/>
        <v/>
      </c>
      <c r="BY171" s="480">
        <f>SUM(BY172:BY196)</f>
        <v>0</v>
      </c>
      <c r="BZ171" s="51" t="str">
        <f t="shared" si="352"/>
        <v/>
      </c>
      <c r="CA171" s="354">
        <f>+Расходы!K121/1000</f>
        <v>0</v>
      </c>
      <c r="CB171" s="51" t="str">
        <f t="shared" si="353"/>
        <v/>
      </c>
      <c r="CC171" s="478" t="str">
        <f t="shared" si="312"/>
        <v/>
      </c>
      <c r="CD171" s="478" t="str">
        <f t="shared" si="313"/>
        <v/>
      </c>
      <c r="CE171" s="481">
        <f>SUM(CE172:CE196)</f>
        <v>0</v>
      </c>
      <c r="CF171" s="51" t="str">
        <f t="shared" si="354"/>
        <v/>
      </c>
      <c r="CG171" s="480">
        <f>SUM(CG172:CG196)</f>
        <v>0</v>
      </c>
      <c r="CH171" s="51" t="str">
        <f t="shared" si="355"/>
        <v/>
      </c>
      <c r="CI171" s="354">
        <f>+Расходы!L121/1000</f>
        <v>0</v>
      </c>
      <c r="CJ171" s="51" t="str">
        <f t="shared" si="356"/>
        <v/>
      </c>
      <c r="CK171" s="478" t="str">
        <f t="shared" si="314"/>
        <v/>
      </c>
      <c r="CL171" s="478" t="str">
        <f t="shared" si="315"/>
        <v/>
      </c>
      <c r="CM171" s="481">
        <f>SUM(CM172:CM196)</f>
        <v>0</v>
      </c>
      <c r="CN171" s="51" t="str">
        <f t="shared" si="357"/>
        <v/>
      </c>
      <c r="CO171" s="480">
        <f>SUM(CO172:CO196)</f>
        <v>0</v>
      </c>
      <c r="CP171" s="51" t="str">
        <f t="shared" si="358"/>
        <v/>
      </c>
      <c r="CQ171" s="354">
        <f>+Расходы!M121/1000</f>
        <v>0</v>
      </c>
      <c r="CR171" s="51" t="str">
        <f t="shared" si="359"/>
        <v/>
      </c>
      <c r="CS171" s="478" t="str">
        <f t="shared" si="316"/>
        <v/>
      </c>
      <c r="CT171" s="478" t="str">
        <f t="shared" si="317"/>
        <v/>
      </c>
      <c r="CU171" s="481">
        <f t="shared" si="292"/>
        <v>0</v>
      </c>
      <c r="CV171" s="51" t="str">
        <f t="shared" si="318"/>
        <v/>
      </c>
      <c r="CW171" s="480">
        <f t="shared" si="293"/>
        <v>2490</v>
      </c>
      <c r="CX171" s="51">
        <f t="shared" si="319"/>
        <v>1.8776867960420635E-2</v>
      </c>
      <c r="CY171" s="354">
        <f t="shared" si="320"/>
        <v>1375.1895300000001</v>
      </c>
      <c r="CZ171" s="51">
        <f t="shared" si="321"/>
        <v>2.7720542511595819E-2</v>
      </c>
      <c r="DA171" s="478">
        <f t="shared" si="322"/>
        <v>-0.44771504819277108</v>
      </c>
      <c r="DB171" s="478" t="str">
        <f t="shared" si="323"/>
        <v/>
      </c>
    </row>
    <row r="172" spans="2:106" s="103" customFormat="1" ht="13.15" customHeight="1" outlineLevel="2">
      <c r="B172" s="61" t="str">
        <f>+Расходы!A122</f>
        <v>Антиковидные расходы (перчатки, маски, санитайзер)</v>
      </c>
      <c r="C172" s="238"/>
      <c r="D172" s="54" t="str">
        <f t="shared" si="324"/>
        <v/>
      </c>
      <c r="E172" s="238"/>
      <c r="F172" s="54" t="str">
        <f t="shared" si="325"/>
        <v/>
      </c>
      <c r="G172" s="353">
        <f>+Расходы!B122/1000</f>
        <v>0</v>
      </c>
      <c r="H172" s="54" t="str">
        <f t="shared" si="326"/>
        <v/>
      </c>
      <c r="I172" s="468" t="str">
        <f t="shared" si="294"/>
        <v/>
      </c>
      <c r="J172" s="468" t="str">
        <f t="shared" si="295"/>
        <v/>
      </c>
      <c r="K172" s="238"/>
      <c r="L172" s="54" t="str">
        <f t="shared" si="327"/>
        <v/>
      </c>
      <c r="M172" s="238"/>
      <c r="N172" s="54" t="str">
        <f t="shared" si="328"/>
        <v/>
      </c>
      <c r="O172" s="353">
        <f>+Расходы!C122/1000</f>
        <v>0</v>
      </c>
      <c r="P172" s="54" t="str">
        <f t="shared" si="329"/>
        <v/>
      </c>
      <c r="Q172" s="468" t="str">
        <f t="shared" si="296"/>
        <v/>
      </c>
      <c r="R172" s="468" t="str">
        <f t="shared" si="297"/>
        <v/>
      </c>
      <c r="S172" s="238"/>
      <c r="T172" s="54" t="str">
        <f t="shared" si="330"/>
        <v/>
      </c>
      <c r="U172" s="238">
        <v>0</v>
      </c>
      <c r="V172" s="54" t="str">
        <f t="shared" si="331"/>
        <v/>
      </c>
      <c r="W172" s="353">
        <f>+Расходы!D122/1000</f>
        <v>0</v>
      </c>
      <c r="X172" s="54" t="str">
        <f t="shared" si="332"/>
        <v/>
      </c>
      <c r="Y172" s="468" t="str">
        <f t="shared" si="298"/>
        <v/>
      </c>
      <c r="Z172" s="468" t="str">
        <f t="shared" si="299"/>
        <v/>
      </c>
      <c r="AA172" s="238"/>
      <c r="AB172" s="54" t="str">
        <f t="shared" si="333"/>
        <v/>
      </c>
      <c r="AC172" s="238">
        <v>0</v>
      </c>
      <c r="AD172" s="54" t="str">
        <f t="shared" si="334"/>
        <v/>
      </c>
      <c r="AE172" s="353">
        <f>+Расходы!E122/1000</f>
        <v>0</v>
      </c>
      <c r="AF172" s="54" t="str">
        <f t="shared" si="335"/>
        <v/>
      </c>
      <c r="AG172" s="468" t="str">
        <f t="shared" si="300"/>
        <v/>
      </c>
      <c r="AH172" s="468" t="str">
        <f t="shared" si="301"/>
        <v/>
      </c>
      <c r="AI172" s="238"/>
      <c r="AJ172" s="54" t="str">
        <f t="shared" si="336"/>
        <v/>
      </c>
      <c r="AK172" s="238">
        <v>0</v>
      </c>
      <c r="AL172" s="54" t="str">
        <f t="shared" si="337"/>
        <v/>
      </c>
      <c r="AM172" s="353">
        <f>+Расходы!F122/1000</f>
        <v>0</v>
      </c>
      <c r="AN172" s="54" t="str">
        <f t="shared" si="338"/>
        <v/>
      </c>
      <c r="AO172" s="468" t="str">
        <f t="shared" si="302"/>
        <v/>
      </c>
      <c r="AP172" s="468" t="str">
        <f t="shared" si="303"/>
        <v/>
      </c>
      <c r="AQ172" s="344"/>
      <c r="AR172" s="54" t="str">
        <f t="shared" si="339"/>
        <v/>
      </c>
      <c r="AS172" s="238">
        <v>0</v>
      </c>
      <c r="AT172" s="54" t="str">
        <f t="shared" si="340"/>
        <v/>
      </c>
      <c r="AU172" s="353">
        <f>+Расходы!G122/1000</f>
        <v>0</v>
      </c>
      <c r="AV172" s="54" t="str">
        <f t="shared" si="341"/>
        <v/>
      </c>
      <c r="AW172" s="468" t="str">
        <f t="shared" si="304"/>
        <v/>
      </c>
      <c r="AX172" s="468" t="str">
        <f t="shared" si="305"/>
        <v/>
      </c>
      <c r="AY172" s="344"/>
      <c r="AZ172" s="54" t="str">
        <f t="shared" si="342"/>
        <v/>
      </c>
      <c r="BA172" s="238">
        <v>0</v>
      </c>
      <c r="BB172" s="54" t="str">
        <f t="shared" si="343"/>
        <v/>
      </c>
      <c r="BC172" s="353">
        <f>+Расходы!H122/1000</f>
        <v>0</v>
      </c>
      <c r="BD172" s="54" t="str">
        <f t="shared" si="344"/>
        <v/>
      </c>
      <c r="BE172" s="468" t="str">
        <f t="shared" si="306"/>
        <v/>
      </c>
      <c r="BF172" s="468" t="str">
        <f t="shared" si="307"/>
        <v/>
      </c>
      <c r="BG172" s="344"/>
      <c r="BH172" s="54" t="str">
        <f t="shared" si="345"/>
        <v/>
      </c>
      <c r="BI172" s="238">
        <v>0</v>
      </c>
      <c r="BJ172" s="54" t="str">
        <f t="shared" si="346"/>
        <v/>
      </c>
      <c r="BK172" s="353">
        <f>+Расходы!I122/1000</f>
        <v>0</v>
      </c>
      <c r="BL172" s="54" t="str">
        <f t="shared" si="347"/>
        <v/>
      </c>
      <c r="BM172" s="468" t="str">
        <f t="shared" si="308"/>
        <v/>
      </c>
      <c r="BN172" s="468" t="str">
        <f t="shared" si="309"/>
        <v/>
      </c>
      <c r="BO172" s="344"/>
      <c r="BP172" s="54" t="str">
        <f t="shared" si="348"/>
        <v/>
      </c>
      <c r="BQ172" s="238">
        <v>0</v>
      </c>
      <c r="BR172" s="54" t="str">
        <f t="shared" si="349"/>
        <v/>
      </c>
      <c r="BS172" s="353">
        <f>+Расходы!J122/1000</f>
        <v>0</v>
      </c>
      <c r="BT172" s="54" t="str">
        <f t="shared" si="350"/>
        <v/>
      </c>
      <c r="BU172" s="468" t="str">
        <f t="shared" si="310"/>
        <v/>
      </c>
      <c r="BV172" s="468" t="str">
        <f t="shared" si="311"/>
        <v/>
      </c>
      <c r="BW172" s="344"/>
      <c r="BX172" s="54" t="str">
        <f t="shared" si="351"/>
        <v/>
      </c>
      <c r="BY172" s="238">
        <v>0</v>
      </c>
      <c r="BZ172" s="54" t="str">
        <f t="shared" si="352"/>
        <v/>
      </c>
      <c r="CA172" s="353">
        <f>+Расходы!K122/1000</f>
        <v>0</v>
      </c>
      <c r="CB172" s="54" t="str">
        <f t="shared" si="353"/>
        <v/>
      </c>
      <c r="CC172" s="468" t="str">
        <f t="shared" si="312"/>
        <v/>
      </c>
      <c r="CD172" s="468" t="str">
        <f t="shared" si="313"/>
        <v/>
      </c>
      <c r="CE172" s="344"/>
      <c r="CF172" s="54" t="str">
        <f t="shared" si="354"/>
        <v/>
      </c>
      <c r="CG172" s="238">
        <v>0</v>
      </c>
      <c r="CH172" s="54" t="str">
        <f t="shared" si="355"/>
        <v/>
      </c>
      <c r="CI172" s="353">
        <f>+Расходы!L122/1000</f>
        <v>0</v>
      </c>
      <c r="CJ172" s="54" t="str">
        <f t="shared" si="356"/>
        <v/>
      </c>
      <c r="CK172" s="468" t="str">
        <f t="shared" si="314"/>
        <v/>
      </c>
      <c r="CL172" s="468" t="str">
        <f t="shared" si="315"/>
        <v/>
      </c>
      <c r="CM172" s="344"/>
      <c r="CN172" s="54" t="str">
        <f t="shared" si="357"/>
        <v/>
      </c>
      <c r="CO172" s="238">
        <v>0</v>
      </c>
      <c r="CP172" s="54" t="str">
        <f t="shared" si="358"/>
        <v/>
      </c>
      <c r="CQ172" s="353">
        <f>+Расходы!M122/1000</f>
        <v>0</v>
      </c>
      <c r="CR172" s="54" t="str">
        <f t="shared" si="359"/>
        <v/>
      </c>
      <c r="CS172" s="468" t="str">
        <f t="shared" si="316"/>
        <v/>
      </c>
      <c r="CT172" s="468" t="str">
        <f t="shared" si="317"/>
        <v/>
      </c>
      <c r="CU172" s="344">
        <f t="shared" si="292"/>
        <v>0</v>
      </c>
      <c r="CV172" s="54" t="str">
        <f t="shared" si="318"/>
        <v/>
      </c>
      <c r="CW172" s="238">
        <f t="shared" si="293"/>
        <v>0</v>
      </c>
      <c r="CX172" s="54">
        <f t="shared" si="319"/>
        <v>0</v>
      </c>
      <c r="CY172" s="353">
        <f t="shared" si="320"/>
        <v>0</v>
      </c>
      <c r="CZ172" s="54">
        <f t="shared" si="321"/>
        <v>0</v>
      </c>
      <c r="DA172" s="468" t="str">
        <f t="shared" si="322"/>
        <v/>
      </c>
      <c r="DB172" s="468" t="str">
        <f t="shared" si="323"/>
        <v/>
      </c>
    </row>
    <row r="173" spans="2:106" s="103" customFormat="1" ht="13.15" customHeight="1" outlineLevel="2">
      <c r="B173" s="61" t="str">
        <f>+Расходы!A123</f>
        <v>Бейджи, номерки, таблички, монетницы</v>
      </c>
      <c r="C173" s="238"/>
      <c r="D173" s="54" t="str">
        <f t="shared" si="324"/>
        <v/>
      </c>
      <c r="E173" s="238"/>
      <c r="F173" s="54" t="str">
        <f t="shared" si="325"/>
        <v/>
      </c>
      <c r="G173" s="353">
        <f>+Расходы!B123/1000</f>
        <v>0</v>
      </c>
      <c r="H173" s="54" t="str">
        <f t="shared" si="326"/>
        <v/>
      </c>
      <c r="I173" s="468" t="str">
        <f t="shared" si="294"/>
        <v/>
      </c>
      <c r="J173" s="468" t="str">
        <f t="shared" si="295"/>
        <v/>
      </c>
      <c r="K173" s="238"/>
      <c r="L173" s="54" t="str">
        <f t="shared" si="327"/>
        <v/>
      </c>
      <c r="M173" s="238"/>
      <c r="N173" s="54" t="str">
        <f t="shared" si="328"/>
        <v/>
      </c>
      <c r="O173" s="353">
        <f>+Расходы!C123/1000</f>
        <v>0</v>
      </c>
      <c r="P173" s="54" t="str">
        <f t="shared" si="329"/>
        <v/>
      </c>
      <c r="Q173" s="468" t="str">
        <f t="shared" si="296"/>
        <v/>
      </c>
      <c r="R173" s="468" t="str">
        <f t="shared" si="297"/>
        <v/>
      </c>
      <c r="S173" s="238"/>
      <c r="T173" s="54" t="str">
        <f t="shared" si="330"/>
        <v/>
      </c>
      <c r="U173" s="238">
        <v>0</v>
      </c>
      <c r="V173" s="54" t="str">
        <f t="shared" si="331"/>
        <v/>
      </c>
      <c r="W173" s="353">
        <f>+Расходы!D123/1000</f>
        <v>0</v>
      </c>
      <c r="X173" s="54" t="str">
        <f t="shared" si="332"/>
        <v/>
      </c>
      <c r="Y173" s="468" t="str">
        <f t="shared" si="298"/>
        <v/>
      </c>
      <c r="Z173" s="468" t="str">
        <f t="shared" si="299"/>
        <v/>
      </c>
      <c r="AA173" s="238"/>
      <c r="AB173" s="54" t="str">
        <f t="shared" si="333"/>
        <v/>
      </c>
      <c r="AC173" s="238">
        <v>15</v>
      </c>
      <c r="AD173" s="54">
        <f t="shared" si="334"/>
        <v>1.0971456658357616E-3</v>
      </c>
      <c r="AE173" s="353">
        <f>+Расходы!E123/1000</f>
        <v>0</v>
      </c>
      <c r="AF173" s="54" t="str">
        <f t="shared" si="335"/>
        <v/>
      </c>
      <c r="AG173" s="468">
        <f t="shared" si="300"/>
        <v>-1</v>
      </c>
      <c r="AH173" s="468" t="str">
        <f t="shared" si="301"/>
        <v/>
      </c>
      <c r="AI173" s="238"/>
      <c r="AJ173" s="54" t="str">
        <f t="shared" si="336"/>
        <v/>
      </c>
      <c r="AK173" s="238">
        <v>5</v>
      </c>
      <c r="AL173" s="54">
        <f t="shared" si="337"/>
        <v>3.5785857429144005E-4</v>
      </c>
      <c r="AM173" s="353">
        <f>+Расходы!F123/1000</f>
        <v>0</v>
      </c>
      <c r="AN173" s="54" t="str">
        <f t="shared" si="338"/>
        <v/>
      </c>
      <c r="AO173" s="468">
        <f t="shared" si="302"/>
        <v>-1</v>
      </c>
      <c r="AP173" s="468" t="str">
        <f t="shared" si="303"/>
        <v/>
      </c>
      <c r="AQ173" s="344"/>
      <c r="AR173" s="54" t="str">
        <f t="shared" si="339"/>
        <v/>
      </c>
      <c r="AS173" s="238">
        <v>5</v>
      </c>
      <c r="AT173" s="54">
        <f t="shared" si="340"/>
        <v>3.3156498673740051E-4</v>
      </c>
      <c r="AU173" s="353">
        <f>+Расходы!G123/1000</f>
        <v>0</v>
      </c>
      <c r="AV173" s="54" t="str">
        <f t="shared" si="341"/>
        <v/>
      </c>
      <c r="AW173" s="468">
        <f t="shared" si="304"/>
        <v>-1</v>
      </c>
      <c r="AX173" s="468" t="str">
        <f t="shared" si="305"/>
        <v/>
      </c>
      <c r="AY173" s="344"/>
      <c r="AZ173" s="54" t="str">
        <f t="shared" si="342"/>
        <v/>
      </c>
      <c r="BA173" s="238">
        <v>5</v>
      </c>
      <c r="BB173" s="54">
        <f t="shared" si="343"/>
        <v>3.1913196106590075E-4</v>
      </c>
      <c r="BC173" s="353">
        <f>+Расходы!H123/1000</f>
        <v>0</v>
      </c>
      <c r="BD173" s="54" t="str">
        <f t="shared" si="344"/>
        <v/>
      </c>
      <c r="BE173" s="468">
        <f t="shared" si="306"/>
        <v>-1</v>
      </c>
      <c r="BF173" s="468" t="str">
        <f t="shared" si="307"/>
        <v/>
      </c>
      <c r="BG173" s="344"/>
      <c r="BH173" s="54" t="str">
        <f t="shared" si="345"/>
        <v/>
      </c>
      <c r="BI173" s="238">
        <v>5</v>
      </c>
      <c r="BJ173" s="54">
        <f t="shared" si="346"/>
        <v>3.1913196106590075E-4</v>
      </c>
      <c r="BK173" s="353">
        <f>+Расходы!I123/1000</f>
        <v>0</v>
      </c>
      <c r="BL173" s="54" t="str">
        <f t="shared" si="347"/>
        <v/>
      </c>
      <c r="BM173" s="468">
        <f t="shared" si="308"/>
        <v>-1</v>
      </c>
      <c r="BN173" s="468" t="str">
        <f t="shared" si="309"/>
        <v/>
      </c>
      <c r="BO173" s="344"/>
      <c r="BP173" s="54" t="str">
        <f t="shared" si="348"/>
        <v/>
      </c>
      <c r="BQ173" s="238">
        <v>5</v>
      </c>
      <c r="BR173" s="54">
        <f t="shared" si="349"/>
        <v>3.453038674033149E-4</v>
      </c>
      <c r="BS173" s="353">
        <f>+Расходы!J123/1000</f>
        <v>0</v>
      </c>
      <c r="BT173" s="54" t="str">
        <f t="shared" si="350"/>
        <v/>
      </c>
      <c r="BU173" s="468">
        <f t="shared" si="310"/>
        <v>-1</v>
      </c>
      <c r="BV173" s="468" t="str">
        <f t="shared" si="311"/>
        <v/>
      </c>
      <c r="BW173" s="344"/>
      <c r="BX173" s="54" t="str">
        <f t="shared" si="351"/>
        <v/>
      </c>
      <c r="BY173" s="238">
        <v>0</v>
      </c>
      <c r="BZ173" s="54" t="str">
        <f t="shared" si="352"/>
        <v/>
      </c>
      <c r="CA173" s="353">
        <f>+Расходы!K123/1000</f>
        <v>0</v>
      </c>
      <c r="CB173" s="54" t="str">
        <f t="shared" si="353"/>
        <v/>
      </c>
      <c r="CC173" s="468" t="str">
        <f t="shared" si="312"/>
        <v/>
      </c>
      <c r="CD173" s="468" t="str">
        <f t="shared" si="313"/>
        <v/>
      </c>
      <c r="CE173" s="344"/>
      <c r="CF173" s="54" t="str">
        <f t="shared" si="354"/>
        <v/>
      </c>
      <c r="CG173" s="238">
        <v>0</v>
      </c>
      <c r="CH173" s="54" t="str">
        <f t="shared" si="355"/>
        <v/>
      </c>
      <c r="CI173" s="353">
        <f>+Расходы!L123/1000</f>
        <v>0</v>
      </c>
      <c r="CJ173" s="54" t="str">
        <f t="shared" si="356"/>
        <v/>
      </c>
      <c r="CK173" s="468" t="str">
        <f t="shared" si="314"/>
        <v/>
      </c>
      <c r="CL173" s="468" t="str">
        <f t="shared" si="315"/>
        <v/>
      </c>
      <c r="CM173" s="344"/>
      <c r="CN173" s="54" t="str">
        <f t="shared" si="357"/>
        <v/>
      </c>
      <c r="CO173" s="238">
        <v>0</v>
      </c>
      <c r="CP173" s="54" t="str">
        <f t="shared" si="358"/>
        <v/>
      </c>
      <c r="CQ173" s="353">
        <f>+Расходы!M123/1000</f>
        <v>0</v>
      </c>
      <c r="CR173" s="54" t="str">
        <f t="shared" si="359"/>
        <v/>
      </c>
      <c r="CS173" s="468" t="str">
        <f t="shared" si="316"/>
        <v/>
      </c>
      <c r="CT173" s="468" t="str">
        <f t="shared" si="317"/>
        <v/>
      </c>
      <c r="CU173" s="344">
        <f t="shared" si="292"/>
        <v>0</v>
      </c>
      <c r="CV173" s="54" t="str">
        <f t="shared" si="318"/>
        <v/>
      </c>
      <c r="CW173" s="238">
        <f t="shared" si="293"/>
        <v>40</v>
      </c>
      <c r="CX173" s="54">
        <f t="shared" si="319"/>
        <v>3.0163643309912669E-4</v>
      </c>
      <c r="CY173" s="353">
        <f t="shared" si="320"/>
        <v>0</v>
      </c>
      <c r="CZ173" s="54">
        <f t="shared" si="321"/>
        <v>0</v>
      </c>
      <c r="DA173" s="468">
        <f t="shared" si="322"/>
        <v>-1</v>
      </c>
      <c r="DB173" s="468" t="str">
        <f t="shared" si="323"/>
        <v/>
      </c>
    </row>
    <row r="174" spans="2:106" s="103" customFormat="1" ht="13.15" customHeight="1" outlineLevel="2">
      <c r="B174" s="61" t="str">
        <f>+Расходы!A124</f>
        <v>Бонусные карты</v>
      </c>
      <c r="C174" s="238"/>
      <c r="D174" s="54" t="str">
        <f t="shared" si="324"/>
        <v/>
      </c>
      <c r="E174" s="238"/>
      <c r="F174" s="54" t="str">
        <f t="shared" si="325"/>
        <v/>
      </c>
      <c r="G174" s="353">
        <f>+Расходы!B124/1000</f>
        <v>0</v>
      </c>
      <c r="H174" s="54" t="str">
        <f t="shared" si="326"/>
        <v/>
      </c>
      <c r="I174" s="468" t="str">
        <f t="shared" si="294"/>
        <v/>
      </c>
      <c r="J174" s="468" t="str">
        <f t="shared" si="295"/>
        <v/>
      </c>
      <c r="K174" s="238"/>
      <c r="L174" s="54" t="str">
        <f t="shared" si="327"/>
        <v/>
      </c>
      <c r="M174" s="238"/>
      <c r="N174" s="54" t="str">
        <f t="shared" si="328"/>
        <v/>
      </c>
      <c r="O174" s="353">
        <f>+Расходы!C124/1000</f>
        <v>0</v>
      </c>
      <c r="P174" s="54" t="str">
        <f t="shared" si="329"/>
        <v/>
      </c>
      <c r="Q174" s="468" t="str">
        <f t="shared" si="296"/>
        <v/>
      </c>
      <c r="R174" s="468" t="str">
        <f t="shared" si="297"/>
        <v/>
      </c>
      <c r="S174" s="238"/>
      <c r="T174" s="54" t="str">
        <f t="shared" si="330"/>
        <v/>
      </c>
      <c r="U174" s="238">
        <v>0</v>
      </c>
      <c r="V174" s="54" t="str">
        <f t="shared" si="331"/>
        <v/>
      </c>
      <c r="W174" s="353">
        <f>+Расходы!D124/1000</f>
        <v>8.06</v>
      </c>
      <c r="X174" s="54">
        <f t="shared" si="332"/>
        <v>1.3592134774616774E-3</v>
      </c>
      <c r="Y174" s="468" t="str">
        <f t="shared" si="298"/>
        <v/>
      </c>
      <c r="Z174" s="468" t="str">
        <f t="shared" si="299"/>
        <v/>
      </c>
      <c r="AA174" s="238"/>
      <c r="AB174" s="54" t="str">
        <f t="shared" si="333"/>
        <v/>
      </c>
      <c r="AC174" s="238">
        <v>10</v>
      </c>
      <c r="AD174" s="54">
        <f t="shared" si="334"/>
        <v>7.3143044389050783E-4</v>
      </c>
      <c r="AE174" s="353">
        <f>+Расходы!E124/1000</f>
        <v>0</v>
      </c>
      <c r="AF174" s="54" t="str">
        <f t="shared" si="335"/>
        <v/>
      </c>
      <c r="AG174" s="468">
        <f t="shared" si="300"/>
        <v>-1</v>
      </c>
      <c r="AH174" s="468" t="str">
        <f t="shared" si="301"/>
        <v/>
      </c>
      <c r="AI174" s="238"/>
      <c r="AJ174" s="54" t="str">
        <f t="shared" si="336"/>
        <v/>
      </c>
      <c r="AK174" s="238">
        <v>0</v>
      </c>
      <c r="AL174" s="54" t="str">
        <f t="shared" si="337"/>
        <v/>
      </c>
      <c r="AM174" s="353">
        <f>+Расходы!F124/1000</f>
        <v>0</v>
      </c>
      <c r="AN174" s="54" t="str">
        <f t="shared" si="338"/>
        <v/>
      </c>
      <c r="AO174" s="468" t="str">
        <f t="shared" si="302"/>
        <v/>
      </c>
      <c r="AP174" s="468" t="str">
        <f t="shared" si="303"/>
        <v/>
      </c>
      <c r="AQ174" s="344"/>
      <c r="AR174" s="54" t="str">
        <f t="shared" si="339"/>
        <v/>
      </c>
      <c r="AS174" s="238">
        <v>0</v>
      </c>
      <c r="AT174" s="54" t="str">
        <f t="shared" si="340"/>
        <v/>
      </c>
      <c r="AU174" s="353">
        <f>+Расходы!G124/1000</f>
        <v>0</v>
      </c>
      <c r="AV174" s="54" t="str">
        <f t="shared" si="341"/>
        <v/>
      </c>
      <c r="AW174" s="468" t="str">
        <f t="shared" si="304"/>
        <v/>
      </c>
      <c r="AX174" s="468" t="str">
        <f t="shared" si="305"/>
        <v/>
      </c>
      <c r="AY174" s="344"/>
      <c r="AZ174" s="54" t="str">
        <f t="shared" si="342"/>
        <v/>
      </c>
      <c r="BA174" s="238">
        <v>0</v>
      </c>
      <c r="BB174" s="54" t="str">
        <f t="shared" si="343"/>
        <v/>
      </c>
      <c r="BC174" s="353">
        <f>+Расходы!H124/1000</f>
        <v>0</v>
      </c>
      <c r="BD174" s="54" t="str">
        <f t="shared" si="344"/>
        <v/>
      </c>
      <c r="BE174" s="468" t="str">
        <f t="shared" si="306"/>
        <v/>
      </c>
      <c r="BF174" s="468" t="str">
        <f t="shared" si="307"/>
        <v/>
      </c>
      <c r="BG174" s="344"/>
      <c r="BH174" s="54" t="str">
        <f t="shared" si="345"/>
        <v/>
      </c>
      <c r="BI174" s="238">
        <v>0</v>
      </c>
      <c r="BJ174" s="54" t="str">
        <f t="shared" si="346"/>
        <v/>
      </c>
      <c r="BK174" s="353">
        <f>+Расходы!I124/1000</f>
        <v>0</v>
      </c>
      <c r="BL174" s="54" t="str">
        <f t="shared" si="347"/>
        <v/>
      </c>
      <c r="BM174" s="468" t="str">
        <f t="shared" si="308"/>
        <v/>
      </c>
      <c r="BN174" s="468" t="str">
        <f t="shared" si="309"/>
        <v/>
      </c>
      <c r="BO174" s="344"/>
      <c r="BP174" s="54" t="str">
        <f t="shared" si="348"/>
        <v/>
      </c>
      <c r="BQ174" s="238">
        <v>0</v>
      </c>
      <c r="BR174" s="54" t="str">
        <f t="shared" si="349"/>
        <v/>
      </c>
      <c r="BS174" s="353">
        <f>+Расходы!J124/1000</f>
        <v>0</v>
      </c>
      <c r="BT174" s="54" t="str">
        <f t="shared" si="350"/>
        <v/>
      </c>
      <c r="BU174" s="468" t="str">
        <f t="shared" si="310"/>
        <v/>
      </c>
      <c r="BV174" s="468" t="str">
        <f t="shared" si="311"/>
        <v/>
      </c>
      <c r="BW174" s="344"/>
      <c r="BX174" s="54" t="str">
        <f t="shared" si="351"/>
        <v/>
      </c>
      <c r="BY174" s="238">
        <v>0</v>
      </c>
      <c r="BZ174" s="54" t="str">
        <f t="shared" si="352"/>
        <v/>
      </c>
      <c r="CA174" s="353">
        <f>+Расходы!K124/1000</f>
        <v>0</v>
      </c>
      <c r="CB174" s="54" t="str">
        <f t="shared" si="353"/>
        <v/>
      </c>
      <c r="CC174" s="468" t="str">
        <f t="shared" si="312"/>
        <v/>
      </c>
      <c r="CD174" s="468" t="str">
        <f t="shared" si="313"/>
        <v/>
      </c>
      <c r="CE174" s="344"/>
      <c r="CF174" s="54" t="str">
        <f t="shared" si="354"/>
        <v/>
      </c>
      <c r="CG174" s="238">
        <v>0</v>
      </c>
      <c r="CH174" s="54" t="str">
        <f t="shared" si="355"/>
        <v/>
      </c>
      <c r="CI174" s="353">
        <f>+Расходы!L124/1000</f>
        <v>0</v>
      </c>
      <c r="CJ174" s="54" t="str">
        <f t="shared" si="356"/>
        <v/>
      </c>
      <c r="CK174" s="468" t="str">
        <f t="shared" si="314"/>
        <v/>
      </c>
      <c r="CL174" s="468" t="str">
        <f t="shared" si="315"/>
        <v/>
      </c>
      <c r="CM174" s="344"/>
      <c r="CN174" s="54" t="str">
        <f t="shared" si="357"/>
        <v/>
      </c>
      <c r="CO174" s="238">
        <v>0</v>
      </c>
      <c r="CP174" s="54" t="str">
        <f t="shared" si="358"/>
        <v/>
      </c>
      <c r="CQ174" s="353">
        <f>+Расходы!M124/1000</f>
        <v>0</v>
      </c>
      <c r="CR174" s="54" t="str">
        <f t="shared" si="359"/>
        <v/>
      </c>
      <c r="CS174" s="468" t="str">
        <f t="shared" si="316"/>
        <v/>
      </c>
      <c r="CT174" s="468" t="str">
        <f t="shared" si="317"/>
        <v/>
      </c>
      <c r="CU174" s="344">
        <f t="shared" si="292"/>
        <v>0</v>
      </c>
      <c r="CV174" s="54" t="str">
        <f t="shared" si="318"/>
        <v/>
      </c>
      <c r="CW174" s="238">
        <f t="shared" si="293"/>
        <v>10</v>
      </c>
      <c r="CX174" s="54">
        <f t="shared" si="319"/>
        <v>7.5409108274781674E-5</v>
      </c>
      <c r="CY174" s="353">
        <f t="shared" si="320"/>
        <v>8.06</v>
      </c>
      <c r="CZ174" s="54">
        <f t="shared" si="321"/>
        <v>1.6247038518644213E-4</v>
      </c>
      <c r="DA174" s="468">
        <f t="shared" si="322"/>
        <v>-0.19399999999999995</v>
      </c>
      <c r="DB174" s="468" t="str">
        <f t="shared" si="323"/>
        <v/>
      </c>
    </row>
    <row r="175" spans="2:106" s="103" customFormat="1" ht="13.15" customHeight="1" outlineLevel="2">
      <c r="B175" s="61" t="str">
        <f>+Расходы!A125</f>
        <v>Бытовая химия</v>
      </c>
      <c r="C175" s="238"/>
      <c r="D175" s="54" t="str">
        <f t="shared" si="324"/>
        <v/>
      </c>
      <c r="E175" s="238"/>
      <c r="F175" s="54" t="str">
        <f t="shared" si="325"/>
        <v/>
      </c>
      <c r="G175" s="353">
        <f>+Расходы!B125/1000</f>
        <v>0</v>
      </c>
      <c r="H175" s="54" t="str">
        <f t="shared" si="326"/>
        <v/>
      </c>
      <c r="I175" s="468" t="str">
        <f t="shared" si="294"/>
        <v/>
      </c>
      <c r="J175" s="468" t="str">
        <f t="shared" si="295"/>
        <v/>
      </c>
      <c r="K175" s="238"/>
      <c r="L175" s="54" t="str">
        <f t="shared" si="327"/>
        <v/>
      </c>
      <c r="M175" s="238"/>
      <c r="N175" s="54" t="str">
        <f t="shared" si="328"/>
        <v/>
      </c>
      <c r="O175" s="353">
        <f>+Расходы!C125/1000</f>
        <v>0</v>
      </c>
      <c r="P175" s="54" t="str">
        <f t="shared" si="329"/>
        <v/>
      </c>
      <c r="Q175" s="468" t="str">
        <f t="shared" si="296"/>
        <v/>
      </c>
      <c r="R175" s="468" t="str">
        <f t="shared" si="297"/>
        <v/>
      </c>
      <c r="S175" s="238"/>
      <c r="T175" s="54" t="str">
        <f t="shared" si="330"/>
        <v/>
      </c>
      <c r="U175" s="238">
        <v>0</v>
      </c>
      <c r="V175" s="54" t="str">
        <f t="shared" si="331"/>
        <v/>
      </c>
      <c r="W175" s="353">
        <f>+Расходы!D125/1000</f>
        <v>6.2030000000000003</v>
      </c>
      <c r="X175" s="54">
        <f t="shared" si="332"/>
        <v>1.046054739540296E-3</v>
      </c>
      <c r="Y175" s="468" t="str">
        <f t="shared" si="298"/>
        <v/>
      </c>
      <c r="Z175" s="468" t="str">
        <f t="shared" si="299"/>
        <v/>
      </c>
      <c r="AA175" s="238"/>
      <c r="AB175" s="54" t="str">
        <f t="shared" si="333"/>
        <v/>
      </c>
      <c r="AC175" s="238">
        <v>60</v>
      </c>
      <c r="AD175" s="54">
        <f t="shared" si="334"/>
        <v>4.3885826633430465E-3</v>
      </c>
      <c r="AE175" s="353">
        <f>+Расходы!E125/1000</f>
        <v>49.458709999999996</v>
      </c>
      <c r="AF175" s="54">
        <f t="shared" si="335"/>
        <v>3.606649797275617E-3</v>
      </c>
      <c r="AG175" s="468">
        <f t="shared" si="300"/>
        <v>-0.17568816666666676</v>
      </c>
      <c r="AH175" s="468" t="str">
        <f t="shared" si="301"/>
        <v/>
      </c>
      <c r="AI175" s="238"/>
      <c r="AJ175" s="54" t="str">
        <f t="shared" si="336"/>
        <v/>
      </c>
      <c r="AK175" s="238">
        <v>80</v>
      </c>
      <c r="AL175" s="54">
        <f t="shared" si="337"/>
        <v>5.7257371886630408E-3</v>
      </c>
      <c r="AM175" s="353">
        <f>+Расходы!F125/1000</f>
        <v>46.65793</v>
      </c>
      <c r="AN175" s="54">
        <f t="shared" si="338"/>
        <v>2.969461431883604E-3</v>
      </c>
      <c r="AO175" s="468">
        <f t="shared" si="302"/>
        <v>-0.41677587500000002</v>
      </c>
      <c r="AP175" s="468" t="str">
        <f t="shared" si="303"/>
        <v/>
      </c>
      <c r="AQ175" s="344"/>
      <c r="AR175" s="54" t="str">
        <f t="shared" si="339"/>
        <v/>
      </c>
      <c r="AS175" s="238">
        <v>80</v>
      </c>
      <c r="AT175" s="54">
        <f t="shared" si="340"/>
        <v>5.3050397877984082E-3</v>
      </c>
      <c r="AU175" s="353">
        <f>+Расходы!G125/1000</f>
        <v>20.060140000000001</v>
      </c>
      <c r="AV175" s="54">
        <f t="shared" si="341"/>
        <v>1.4073981620181808E-3</v>
      </c>
      <c r="AW175" s="468">
        <f t="shared" si="304"/>
        <v>-0.74924824999999995</v>
      </c>
      <c r="AX175" s="468" t="str">
        <f t="shared" si="305"/>
        <v/>
      </c>
      <c r="AY175" s="344"/>
      <c r="AZ175" s="54" t="str">
        <f t="shared" si="342"/>
        <v/>
      </c>
      <c r="BA175" s="238">
        <v>80</v>
      </c>
      <c r="BB175" s="54">
        <f t="shared" si="343"/>
        <v>5.106111377054412E-3</v>
      </c>
      <c r="BC175" s="353">
        <f>+Расходы!H125/1000</f>
        <v>0</v>
      </c>
      <c r="BD175" s="54" t="str">
        <f t="shared" si="344"/>
        <v/>
      </c>
      <c r="BE175" s="468">
        <f t="shared" si="306"/>
        <v>-1</v>
      </c>
      <c r="BF175" s="468" t="str">
        <f t="shared" si="307"/>
        <v/>
      </c>
      <c r="BG175" s="344"/>
      <c r="BH175" s="54" t="str">
        <f t="shared" si="345"/>
        <v/>
      </c>
      <c r="BI175" s="238">
        <v>80</v>
      </c>
      <c r="BJ175" s="54">
        <f t="shared" si="346"/>
        <v>5.106111377054412E-3</v>
      </c>
      <c r="BK175" s="353">
        <f>+Расходы!I125/1000</f>
        <v>0</v>
      </c>
      <c r="BL175" s="54" t="str">
        <f t="shared" si="347"/>
        <v/>
      </c>
      <c r="BM175" s="468">
        <f t="shared" si="308"/>
        <v>-1</v>
      </c>
      <c r="BN175" s="468" t="str">
        <f t="shared" si="309"/>
        <v/>
      </c>
      <c r="BO175" s="344"/>
      <c r="BP175" s="54" t="str">
        <f t="shared" si="348"/>
        <v/>
      </c>
      <c r="BQ175" s="238">
        <v>80</v>
      </c>
      <c r="BR175" s="54">
        <f t="shared" si="349"/>
        <v>5.5248618784530384E-3</v>
      </c>
      <c r="BS175" s="353">
        <f>+Расходы!J125/1000</f>
        <v>0</v>
      </c>
      <c r="BT175" s="54" t="str">
        <f t="shared" si="350"/>
        <v/>
      </c>
      <c r="BU175" s="468">
        <f t="shared" si="310"/>
        <v>-1</v>
      </c>
      <c r="BV175" s="468" t="str">
        <f t="shared" si="311"/>
        <v/>
      </c>
      <c r="BW175" s="344"/>
      <c r="BX175" s="54" t="str">
        <f t="shared" si="351"/>
        <v/>
      </c>
      <c r="BY175" s="238">
        <v>0</v>
      </c>
      <c r="BZ175" s="54" t="str">
        <f t="shared" si="352"/>
        <v/>
      </c>
      <c r="CA175" s="353">
        <f>+Расходы!K125/1000</f>
        <v>0</v>
      </c>
      <c r="CB175" s="54" t="str">
        <f t="shared" si="353"/>
        <v/>
      </c>
      <c r="CC175" s="468" t="str">
        <f t="shared" si="312"/>
        <v/>
      </c>
      <c r="CD175" s="468" t="str">
        <f t="shared" si="313"/>
        <v/>
      </c>
      <c r="CE175" s="344"/>
      <c r="CF175" s="54" t="str">
        <f t="shared" si="354"/>
        <v/>
      </c>
      <c r="CG175" s="238">
        <v>0</v>
      </c>
      <c r="CH175" s="54" t="str">
        <f t="shared" si="355"/>
        <v/>
      </c>
      <c r="CI175" s="353">
        <f>+Расходы!L125/1000</f>
        <v>0</v>
      </c>
      <c r="CJ175" s="54" t="str">
        <f t="shared" si="356"/>
        <v/>
      </c>
      <c r="CK175" s="468" t="str">
        <f t="shared" si="314"/>
        <v/>
      </c>
      <c r="CL175" s="468" t="str">
        <f t="shared" si="315"/>
        <v/>
      </c>
      <c r="CM175" s="344"/>
      <c r="CN175" s="54" t="str">
        <f t="shared" si="357"/>
        <v/>
      </c>
      <c r="CO175" s="238">
        <v>0</v>
      </c>
      <c r="CP175" s="54" t="str">
        <f t="shared" si="358"/>
        <v/>
      </c>
      <c r="CQ175" s="353">
        <f>+Расходы!M125/1000</f>
        <v>0</v>
      </c>
      <c r="CR175" s="54" t="str">
        <f t="shared" si="359"/>
        <v/>
      </c>
      <c r="CS175" s="468" t="str">
        <f t="shared" si="316"/>
        <v/>
      </c>
      <c r="CT175" s="468" t="str">
        <f t="shared" si="317"/>
        <v/>
      </c>
      <c r="CU175" s="344">
        <f t="shared" si="292"/>
        <v>0</v>
      </c>
      <c r="CV175" s="54" t="str">
        <f t="shared" si="318"/>
        <v/>
      </c>
      <c r="CW175" s="238">
        <f t="shared" si="293"/>
        <v>460</v>
      </c>
      <c r="CX175" s="54">
        <f t="shared" si="319"/>
        <v>3.4688189806399566E-3</v>
      </c>
      <c r="CY175" s="353">
        <f t="shared" si="320"/>
        <v>122.37978</v>
      </c>
      <c r="CZ175" s="54">
        <f t="shared" si="321"/>
        <v>2.4668846148426854E-3</v>
      </c>
      <c r="DA175" s="468">
        <f t="shared" si="322"/>
        <v>-0.73395699999999997</v>
      </c>
      <c r="DB175" s="468" t="str">
        <f t="shared" si="323"/>
        <v/>
      </c>
    </row>
    <row r="176" spans="2:106" s="103" customFormat="1" ht="13.15" customHeight="1" outlineLevel="2">
      <c r="B176" s="61" t="str">
        <f>+Расходы!A126</f>
        <v>Вода питьевая</v>
      </c>
      <c r="C176" s="238"/>
      <c r="D176" s="54" t="str">
        <f t="shared" si="324"/>
        <v/>
      </c>
      <c r="E176" s="238"/>
      <c r="F176" s="54" t="str">
        <f t="shared" si="325"/>
        <v/>
      </c>
      <c r="G176" s="353">
        <f>+Расходы!B126/1000</f>
        <v>0</v>
      </c>
      <c r="H176" s="54" t="str">
        <f t="shared" si="326"/>
        <v/>
      </c>
      <c r="I176" s="468" t="str">
        <f t="shared" si="294"/>
        <v/>
      </c>
      <c r="J176" s="468" t="str">
        <f t="shared" si="295"/>
        <v/>
      </c>
      <c r="K176" s="238"/>
      <c r="L176" s="54" t="str">
        <f t="shared" si="327"/>
        <v/>
      </c>
      <c r="M176" s="238"/>
      <c r="N176" s="54" t="str">
        <f t="shared" si="328"/>
        <v/>
      </c>
      <c r="O176" s="353">
        <f>+Расходы!C126/1000</f>
        <v>0</v>
      </c>
      <c r="P176" s="54" t="str">
        <f t="shared" si="329"/>
        <v/>
      </c>
      <c r="Q176" s="468" t="str">
        <f t="shared" si="296"/>
        <v/>
      </c>
      <c r="R176" s="468" t="str">
        <f t="shared" si="297"/>
        <v/>
      </c>
      <c r="S176" s="238"/>
      <c r="T176" s="54" t="str">
        <f t="shared" si="330"/>
        <v/>
      </c>
      <c r="U176" s="238">
        <v>0</v>
      </c>
      <c r="V176" s="54" t="str">
        <f t="shared" si="331"/>
        <v/>
      </c>
      <c r="W176" s="353">
        <f>+Расходы!D126/1000</f>
        <v>0</v>
      </c>
      <c r="X176" s="54" t="str">
        <f t="shared" si="332"/>
        <v/>
      </c>
      <c r="Y176" s="468" t="str">
        <f t="shared" si="298"/>
        <v/>
      </c>
      <c r="Z176" s="468" t="str">
        <f t="shared" si="299"/>
        <v/>
      </c>
      <c r="AA176" s="238"/>
      <c r="AB176" s="54" t="str">
        <f t="shared" si="333"/>
        <v/>
      </c>
      <c r="AC176" s="238">
        <v>0</v>
      </c>
      <c r="AD176" s="54" t="str">
        <f t="shared" si="334"/>
        <v/>
      </c>
      <c r="AE176" s="353">
        <f>+Расходы!E126/1000</f>
        <v>0</v>
      </c>
      <c r="AF176" s="54" t="str">
        <f t="shared" si="335"/>
        <v/>
      </c>
      <c r="AG176" s="468" t="str">
        <f t="shared" si="300"/>
        <v/>
      </c>
      <c r="AH176" s="468" t="str">
        <f t="shared" si="301"/>
        <v/>
      </c>
      <c r="AI176" s="238"/>
      <c r="AJ176" s="54" t="str">
        <f t="shared" si="336"/>
        <v/>
      </c>
      <c r="AK176" s="238">
        <v>0</v>
      </c>
      <c r="AL176" s="54" t="str">
        <f t="shared" si="337"/>
        <v/>
      </c>
      <c r="AM176" s="353">
        <f>+Расходы!F126/1000</f>
        <v>0</v>
      </c>
      <c r="AN176" s="54" t="str">
        <f t="shared" si="338"/>
        <v/>
      </c>
      <c r="AO176" s="468" t="str">
        <f t="shared" si="302"/>
        <v/>
      </c>
      <c r="AP176" s="468" t="str">
        <f t="shared" si="303"/>
        <v/>
      </c>
      <c r="AQ176" s="344"/>
      <c r="AR176" s="54" t="str">
        <f t="shared" si="339"/>
        <v/>
      </c>
      <c r="AS176" s="238">
        <v>0</v>
      </c>
      <c r="AT176" s="54" t="str">
        <f t="shared" si="340"/>
        <v/>
      </c>
      <c r="AU176" s="353">
        <f>+Расходы!G126/1000</f>
        <v>0</v>
      </c>
      <c r="AV176" s="54" t="str">
        <f t="shared" si="341"/>
        <v/>
      </c>
      <c r="AW176" s="468" t="str">
        <f t="shared" si="304"/>
        <v/>
      </c>
      <c r="AX176" s="468" t="str">
        <f t="shared" si="305"/>
        <v/>
      </c>
      <c r="AY176" s="344"/>
      <c r="AZ176" s="54" t="str">
        <f t="shared" si="342"/>
        <v/>
      </c>
      <c r="BA176" s="238">
        <v>0</v>
      </c>
      <c r="BB176" s="54" t="str">
        <f t="shared" si="343"/>
        <v/>
      </c>
      <c r="BC176" s="353">
        <f>+Расходы!H126/1000</f>
        <v>0</v>
      </c>
      <c r="BD176" s="54" t="str">
        <f t="shared" si="344"/>
        <v/>
      </c>
      <c r="BE176" s="468" t="str">
        <f t="shared" si="306"/>
        <v/>
      </c>
      <c r="BF176" s="468" t="str">
        <f t="shared" si="307"/>
        <v/>
      </c>
      <c r="BG176" s="344"/>
      <c r="BH176" s="54" t="str">
        <f t="shared" si="345"/>
        <v/>
      </c>
      <c r="BI176" s="238">
        <v>0</v>
      </c>
      <c r="BJ176" s="54" t="str">
        <f t="shared" si="346"/>
        <v/>
      </c>
      <c r="BK176" s="353">
        <f>+Расходы!I126/1000</f>
        <v>0</v>
      </c>
      <c r="BL176" s="54" t="str">
        <f t="shared" si="347"/>
        <v/>
      </c>
      <c r="BM176" s="468" t="str">
        <f t="shared" si="308"/>
        <v/>
      </c>
      <c r="BN176" s="468" t="str">
        <f t="shared" si="309"/>
        <v/>
      </c>
      <c r="BO176" s="344"/>
      <c r="BP176" s="54" t="str">
        <f t="shared" si="348"/>
        <v/>
      </c>
      <c r="BQ176" s="238">
        <v>0</v>
      </c>
      <c r="BR176" s="54" t="str">
        <f t="shared" si="349"/>
        <v/>
      </c>
      <c r="BS176" s="353">
        <f>+Расходы!J126/1000</f>
        <v>0</v>
      </c>
      <c r="BT176" s="54" t="str">
        <f t="shared" si="350"/>
        <v/>
      </c>
      <c r="BU176" s="468" t="str">
        <f t="shared" si="310"/>
        <v/>
      </c>
      <c r="BV176" s="468" t="str">
        <f t="shared" si="311"/>
        <v/>
      </c>
      <c r="BW176" s="344"/>
      <c r="BX176" s="54" t="str">
        <f t="shared" si="351"/>
        <v/>
      </c>
      <c r="BY176" s="238">
        <v>0</v>
      </c>
      <c r="BZ176" s="54" t="str">
        <f t="shared" si="352"/>
        <v/>
      </c>
      <c r="CA176" s="353">
        <f>+Расходы!K126/1000</f>
        <v>0</v>
      </c>
      <c r="CB176" s="54" t="str">
        <f t="shared" si="353"/>
        <v/>
      </c>
      <c r="CC176" s="468" t="str">
        <f t="shared" si="312"/>
        <v/>
      </c>
      <c r="CD176" s="468" t="str">
        <f t="shared" si="313"/>
        <v/>
      </c>
      <c r="CE176" s="344"/>
      <c r="CF176" s="54" t="str">
        <f t="shared" si="354"/>
        <v/>
      </c>
      <c r="CG176" s="238">
        <v>0</v>
      </c>
      <c r="CH176" s="54" t="str">
        <f t="shared" si="355"/>
        <v/>
      </c>
      <c r="CI176" s="353">
        <f>+Расходы!L126/1000</f>
        <v>0</v>
      </c>
      <c r="CJ176" s="54" t="str">
        <f t="shared" si="356"/>
        <v/>
      </c>
      <c r="CK176" s="468" t="str">
        <f t="shared" si="314"/>
        <v/>
      </c>
      <c r="CL176" s="468" t="str">
        <f t="shared" si="315"/>
        <v/>
      </c>
      <c r="CM176" s="344"/>
      <c r="CN176" s="54" t="str">
        <f t="shared" si="357"/>
        <v/>
      </c>
      <c r="CO176" s="238">
        <v>0</v>
      </c>
      <c r="CP176" s="54" t="str">
        <f t="shared" si="358"/>
        <v/>
      </c>
      <c r="CQ176" s="353">
        <f>+Расходы!M126/1000</f>
        <v>0</v>
      </c>
      <c r="CR176" s="54" t="str">
        <f t="shared" si="359"/>
        <v/>
      </c>
      <c r="CS176" s="468" t="str">
        <f t="shared" si="316"/>
        <v/>
      </c>
      <c r="CT176" s="468" t="str">
        <f t="shared" si="317"/>
        <v/>
      </c>
      <c r="CU176" s="344">
        <f t="shared" si="292"/>
        <v>0</v>
      </c>
      <c r="CV176" s="54" t="str">
        <f t="shared" si="318"/>
        <v/>
      </c>
      <c r="CW176" s="238">
        <f t="shared" si="293"/>
        <v>0</v>
      </c>
      <c r="CX176" s="54">
        <f t="shared" si="319"/>
        <v>0</v>
      </c>
      <c r="CY176" s="353">
        <f t="shared" si="320"/>
        <v>0</v>
      </c>
      <c r="CZ176" s="54">
        <f t="shared" si="321"/>
        <v>0</v>
      </c>
      <c r="DA176" s="468" t="str">
        <f t="shared" si="322"/>
        <v/>
      </c>
      <c r="DB176" s="468" t="str">
        <f t="shared" si="323"/>
        <v/>
      </c>
    </row>
    <row r="177" spans="2:106" s="103" customFormat="1" ht="13.15" customHeight="1" outlineLevel="2">
      <c r="B177" s="61" t="str">
        <f>+Расходы!A127</f>
        <v>Декор</v>
      </c>
      <c r="C177" s="238"/>
      <c r="D177" s="54" t="str">
        <f t="shared" si="324"/>
        <v/>
      </c>
      <c r="E177" s="238"/>
      <c r="F177" s="54" t="str">
        <f t="shared" si="325"/>
        <v/>
      </c>
      <c r="G177" s="353">
        <f>+Расходы!B127/1000</f>
        <v>0</v>
      </c>
      <c r="H177" s="54" t="str">
        <f t="shared" si="326"/>
        <v/>
      </c>
      <c r="I177" s="468" t="str">
        <f t="shared" si="294"/>
        <v/>
      </c>
      <c r="J177" s="468" t="str">
        <f t="shared" si="295"/>
        <v/>
      </c>
      <c r="K177" s="238"/>
      <c r="L177" s="54" t="str">
        <f t="shared" si="327"/>
        <v/>
      </c>
      <c r="M177" s="238"/>
      <c r="N177" s="54" t="str">
        <f t="shared" si="328"/>
        <v/>
      </c>
      <c r="O177" s="353">
        <f>+Расходы!C127/1000</f>
        <v>0</v>
      </c>
      <c r="P177" s="54" t="str">
        <f t="shared" si="329"/>
        <v/>
      </c>
      <c r="Q177" s="468" t="str">
        <f t="shared" si="296"/>
        <v/>
      </c>
      <c r="R177" s="468" t="str">
        <f t="shared" si="297"/>
        <v/>
      </c>
      <c r="S177" s="238"/>
      <c r="T177" s="54" t="str">
        <f t="shared" si="330"/>
        <v/>
      </c>
      <c r="U177" s="238">
        <v>0</v>
      </c>
      <c r="V177" s="54" t="str">
        <f t="shared" si="331"/>
        <v/>
      </c>
      <c r="W177" s="353">
        <f>+Расходы!D127/1000</f>
        <v>4</v>
      </c>
      <c r="X177" s="54">
        <f t="shared" si="332"/>
        <v>6.74547631494629E-4</v>
      </c>
      <c r="Y177" s="468" t="str">
        <f t="shared" si="298"/>
        <v/>
      </c>
      <c r="Z177" s="468" t="str">
        <f t="shared" si="299"/>
        <v/>
      </c>
      <c r="AA177" s="238"/>
      <c r="AB177" s="54" t="str">
        <f t="shared" si="333"/>
        <v/>
      </c>
      <c r="AC177" s="238">
        <v>20</v>
      </c>
      <c r="AD177" s="54">
        <f t="shared" si="334"/>
        <v>1.4628608877810157E-3</v>
      </c>
      <c r="AE177" s="353">
        <f>+Расходы!E127/1000</f>
        <v>5.25</v>
      </c>
      <c r="AF177" s="54">
        <f t="shared" si="335"/>
        <v>3.8284280838899744E-4</v>
      </c>
      <c r="AG177" s="468">
        <f t="shared" si="300"/>
        <v>-0.73750000000000004</v>
      </c>
      <c r="AH177" s="468" t="str">
        <f t="shared" si="301"/>
        <v/>
      </c>
      <c r="AI177" s="238"/>
      <c r="AJ177" s="54" t="str">
        <f t="shared" si="336"/>
        <v/>
      </c>
      <c r="AK177" s="238">
        <v>20</v>
      </c>
      <c r="AL177" s="54">
        <f t="shared" si="337"/>
        <v>1.4314342971657602E-3</v>
      </c>
      <c r="AM177" s="353">
        <f>+Расходы!F127/1000</f>
        <v>0</v>
      </c>
      <c r="AN177" s="54" t="str">
        <f t="shared" si="338"/>
        <v/>
      </c>
      <c r="AO177" s="468">
        <f t="shared" si="302"/>
        <v>-1</v>
      </c>
      <c r="AP177" s="468" t="str">
        <f t="shared" si="303"/>
        <v/>
      </c>
      <c r="AQ177" s="344"/>
      <c r="AR177" s="54" t="str">
        <f t="shared" si="339"/>
        <v/>
      </c>
      <c r="AS177" s="238">
        <v>10</v>
      </c>
      <c r="AT177" s="54">
        <f t="shared" si="340"/>
        <v>6.6312997347480103E-4</v>
      </c>
      <c r="AU177" s="353">
        <f>+Расходы!G127/1000</f>
        <v>6.58</v>
      </c>
      <c r="AV177" s="54">
        <f t="shared" si="341"/>
        <v>4.6164582630428449E-4</v>
      </c>
      <c r="AW177" s="468">
        <f t="shared" si="304"/>
        <v>-0.34199999999999997</v>
      </c>
      <c r="AX177" s="468" t="str">
        <f t="shared" si="305"/>
        <v/>
      </c>
      <c r="AY177" s="344"/>
      <c r="AZ177" s="54" t="str">
        <f t="shared" si="342"/>
        <v/>
      </c>
      <c r="BA177" s="238">
        <v>0</v>
      </c>
      <c r="BB177" s="54" t="str">
        <f t="shared" si="343"/>
        <v/>
      </c>
      <c r="BC177" s="353">
        <f>+Расходы!H127/1000</f>
        <v>0</v>
      </c>
      <c r="BD177" s="54" t="str">
        <f t="shared" si="344"/>
        <v/>
      </c>
      <c r="BE177" s="468" t="str">
        <f t="shared" si="306"/>
        <v/>
      </c>
      <c r="BF177" s="468" t="str">
        <f t="shared" si="307"/>
        <v/>
      </c>
      <c r="BG177" s="344"/>
      <c r="BH177" s="54" t="str">
        <f t="shared" si="345"/>
        <v/>
      </c>
      <c r="BI177" s="238">
        <v>0</v>
      </c>
      <c r="BJ177" s="54" t="str">
        <f t="shared" si="346"/>
        <v/>
      </c>
      <c r="BK177" s="353">
        <f>+Расходы!I127/1000</f>
        <v>0</v>
      </c>
      <c r="BL177" s="54" t="str">
        <f t="shared" si="347"/>
        <v/>
      </c>
      <c r="BM177" s="468" t="str">
        <f t="shared" si="308"/>
        <v/>
      </c>
      <c r="BN177" s="468" t="str">
        <f t="shared" si="309"/>
        <v/>
      </c>
      <c r="BO177" s="344"/>
      <c r="BP177" s="54" t="str">
        <f t="shared" si="348"/>
        <v/>
      </c>
      <c r="BQ177" s="238">
        <v>20</v>
      </c>
      <c r="BR177" s="54">
        <f t="shared" si="349"/>
        <v>1.3812154696132596E-3</v>
      </c>
      <c r="BS177" s="353">
        <f>+Расходы!J127/1000</f>
        <v>0</v>
      </c>
      <c r="BT177" s="54" t="str">
        <f t="shared" si="350"/>
        <v/>
      </c>
      <c r="BU177" s="468">
        <f t="shared" si="310"/>
        <v>-1</v>
      </c>
      <c r="BV177" s="468" t="str">
        <f t="shared" si="311"/>
        <v/>
      </c>
      <c r="BW177" s="344"/>
      <c r="BX177" s="54" t="str">
        <f t="shared" si="351"/>
        <v/>
      </c>
      <c r="BY177" s="238">
        <v>0</v>
      </c>
      <c r="BZ177" s="54" t="str">
        <f t="shared" si="352"/>
        <v/>
      </c>
      <c r="CA177" s="353">
        <f>+Расходы!K127/1000</f>
        <v>0</v>
      </c>
      <c r="CB177" s="54" t="str">
        <f t="shared" si="353"/>
        <v/>
      </c>
      <c r="CC177" s="468" t="str">
        <f t="shared" si="312"/>
        <v/>
      </c>
      <c r="CD177" s="468" t="str">
        <f t="shared" si="313"/>
        <v/>
      </c>
      <c r="CE177" s="344"/>
      <c r="CF177" s="54" t="str">
        <f t="shared" si="354"/>
        <v/>
      </c>
      <c r="CG177" s="238">
        <v>0</v>
      </c>
      <c r="CH177" s="54" t="str">
        <f t="shared" si="355"/>
        <v/>
      </c>
      <c r="CI177" s="353">
        <f>+Расходы!L127/1000</f>
        <v>0</v>
      </c>
      <c r="CJ177" s="54" t="str">
        <f t="shared" si="356"/>
        <v/>
      </c>
      <c r="CK177" s="468" t="str">
        <f t="shared" si="314"/>
        <v/>
      </c>
      <c r="CL177" s="468" t="str">
        <f t="shared" si="315"/>
        <v/>
      </c>
      <c r="CM177" s="344"/>
      <c r="CN177" s="54" t="str">
        <f t="shared" si="357"/>
        <v/>
      </c>
      <c r="CO177" s="238">
        <v>0</v>
      </c>
      <c r="CP177" s="54" t="str">
        <f t="shared" si="358"/>
        <v/>
      </c>
      <c r="CQ177" s="353">
        <f>+Расходы!M127/1000</f>
        <v>0</v>
      </c>
      <c r="CR177" s="54" t="str">
        <f t="shared" si="359"/>
        <v/>
      </c>
      <c r="CS177" s="468" t="str">
        <f t="shared" si="316"/>
        <v/>
      </c>
      <c r="CT177" s="468" t="str">
        <f t="shared" si="317"/>
        <v/>
      </c>
      <c r="CU177" s="344">
        <f t="shared" si="292"/>
        <v>0</v>
      </c>
      <c r="CV177" s="54" t="str">
        <f t="shared" si="318"/>
        <v/>
      </c>
      <c r="CW177" s="238">
        <f t="shared" si="293"/>
        <v>70</v>
      </c>
      <c r="CX177" s="54">
        <f t="shared" si="319"/>
        <v>5.2786375792347165E-4</v>
      </c>
      <c r="CY177" s="353">
        <f t="shared" si="320"/>
        <v>15.83</v>
      </c>
      <c r="CZ177" s="54">
        <f t="shared" si="321"/>
        <v>3.1909506172473679E-4</v>
      </c>
      <c r="DA177" s="468">
        <f t="shared" si="322"/>
        <v>-0.7738571428571428</v>
      </c>
      <c r="DB177" s="468" t="str">
        <f t="shared" si="323"/>
        <v/>
      </c>
    </row>
    <row r="178" spans="2:106" s="103" customFormat="1" ht="13.15" customHeight="1" outlineLevel="2">
      <c r="B178" s="61" t="str">
        <f>+Расходы!A128</f>
        <v>Детская комната (канцелярия, игрушки, браслеты)</v>
      </c>
      <c r="C178" s="238"/>
      <c r="D178" s="54" t="str">
        <f t="shared" si="324"/>
        <v/>
      </c>
      <c r="E178" s="238"/>
      <c r="F178" s="54" t="str">
        <f t="shared" si="325"/>
        <v/>
      </c>
      <c r="G178" s="353">
        <f>+Расходы!B128/1000</f>
        <v>0</v>
      </c>
      <c r="H178" s="54" t="str">
        <f t="shared" si="326"/>
        <v/>
      </c>
      <c r="I178" s="468" t="str">
        <f t="shared" si="294"/>
        <v/>
      </c>
      <c r="J178" s="468" t="str">
        <f t="shared" si="295"/>
        <v/>
      </c>
      <c r="K178" s="238"/>
      <c r="L178" s="54" t="str">
        <f t="shared" si="327"/>
        <v/>
      </c>
      <c r="M178" s="238"/>
      <c r="N178" s="54" t="str">
        <f t="shared" si="328"/>
        <v/>
      </c>
      <c r="O178" s="353">
        <f>+Расходы!C128/1000</f>
        <v>0</v>
      </c>
      <c r="P178" s="54" t="str">
        <f t="shared" si="329"/>
        <v/>
      </c>
      <c r="Q178" s="468" t="str">
        <f t="shared" si="296"/>
        <v/>
      </c>
      <c r="R178" s="468" t="str">
        <f t="shared" si="297"/>
        <v/>
      </c>
      <c r="S178" s="238"/>
      <c r="T178" s="54" t="str">
        <f t="shared" si="330"/>
        <v/>
      </c>
      <c r="U178" s="238">
        <v>0</v>
      </c>
      <c r="V178" s="54" t="str">
        <f t="shared" si="331"/>
        <v/>
      </c>
      <c r="W178" s="353">
        <f>+Расходы!D128/1000</f>
        <v>0</v>
      </c>
      <c r="X178" s="54" t="str">
        <f t="shared" si="332"/>
        <v/>
      </c>
      <c r="Y178" s="468" t="str">
        <f t="shared" si="298"/>
        <v/>
      </c>
      <c r="Z178" s="468" t="str">
        <f t="shared" si="299"/>
        <v/>
      </c>
      <c r="AA178" s="238"/>
      <c r="AB178" s="54" t="str">
        <f t="shared" si="333"/>
        <v/>
      </c>
      <c r="AC178" s="238">
        <v>0</v>
      </c>
      <c r="AD178" s="54" t="str">
        <f t="shared" si="334"/>
        <v/>
      </c>
      <c r="AE178" s="353">
        <f>+Расходы!E128/1000</f>
        <v>9.3239999999999998</v>
      </c>
      <c r="AF178" s="54">
        <f t="shared" si="335"/>
        <v>6.7992882769885943E-4</v>
      </c>
      <c r="AG178" s="468" t="str">
        <f t="shared" si="300"/>
        <v/>
      </c>
      <c r="AH178" s="468" t="str">
        <f t="shared" si="301"/>
        <v/>
      </c>
      <c r="AI178" s="238"/>
      <c r="AJ178" s="54" t="str">
        <f t="shared" si="336"/>
        <v/>
      </c>
      <c r="AK178" s="238">
        <v>5</v>
      </c>
      <c r="AL178" s="54">
        <f t="shared" si="337"/>
        <v>3.5785857429144005E-4</v>
      </c>
      <c r="AM178" s="353">
        <f>+Расходы!F128/1000</f>
        <v>1.35</v>
      </c>
      <c r="AN178" s="54">
        <f t="shared" si="338"/>
        <v>8.5918362281457098E-5</v>
      </c>
      <c r="AO178" s="468">
        <f t="shared" si="302"/>
        <v>-0.73</v>
      </c>
      <c r="AP178" s="468" t="str">
        <f t="shared" si="303"/>
        <v/>
      </c>
      <c r="AQ178" s="344"/>
      <c r="AR178" s="54" t="str">
        <f t="shared" si="339"/>
        <v/>
      </c>
      <c r="AS178" s="238">
        <v>5</v>
      </c>
      <c r="AT178" s="54">
        <f t="shared" si="340"/>
        <v>3.3156498673740051E-4</v>
      </c>
      <c r="AU178" s="353">
        <f>+Расходы!G128/1000</f>
        <v>6.9909999999999997</v>
      </c>
      <c r="AV178" s="54">
        <f t="shared" si="341"/>
        <v>4.9048115071326031E-4</v>
      </c>
      <c r="AW178" s="468">
        <f t="shared" si="304"/>
        <v>0.39819999999999989</v>
      </c>
      <c r="AX178" s="468" t="str">
        <f t="shared" si="305"/>
        <v/>
      </c>
      <c r="AY178" s="344"/>
      <c r="AZ178" s="54" t="str">
        <f t="shared" si="342"/>
        <v/>
      </c>
      <c r="BA178" s="238">
        <v>5</v>
      </c>
      <c r="BB178" s="54">
        <f t="shared" si="343"/>
        <v>3.1913196106590075E-4</v>
      </c>
      <c r="BC178" s="353">
        <f>+Расходы!H128/1000</f>
        <v>0</v>
      </c>
      <c r="BD178" s="54" t="str">
        <f t="shared" si="344"/>
        <v/>
      </c>
      <c r="BE178" s="468">
        <f t="shared" si="306"/>
        <v>-1</v>
      </c>
      <c r="BF178" s="468" t="str">
        <f t="shared" si="307"/>
        <v/>
      </c>
      <c r="BG178" s="344"/>
      <c r="BH178" s="54" t="str">
        <f t="shared" si="345"/>
        <v/>
      </c>
      <c r="BI178" s="238">
        <v>5</v>
      </c>
      <c r="BJ178" s="54">
        <f t="shared" si="346"/>
        <v>3.1913196106590075E-4</v>
      </c>
      <c r="BK178" s="353">
        <f>+Расходы!I128/1000</f>
        <v>0</v>
      </c>
      <c r="BL178" s="54" t="str">
        <f t="shared" si="347"/>
        <v/>
      </c>
      <c r="BM178" s="468">
        <f t="shared" si="308"/>
        <v>-1</v>
      </c>
      <c r="BN178" s="468" t="str">
        <f t="shared" si="309"/>
        <v/>
      </c>
      <c r="BO178" s="344"/>
      <c r="BP178" s="54" t="str">
        <f t="shared" si="348"/>
        <v/>
      </c>
      <c r="BQ178" s="238">
        <v>5</v>
      </c>
      <c r="BR178" s="54">
        <f t="shared" si="349"/>
        <v>3.453038674033149E-4</v>
      </c>
      <c r="BS178" s="353">
        <f>+Расходы!J128/1000</f>
        <v>0</v>
      </c>
      <c r="BT178" s="54" t="str">
        <f t="shared" si="350"/>
        <v/>
      </c>
      <c r="BU178" s="468">
        <f t="shared" si="310"/>
        <v>-1</v>
      </c>
      <c r="BV178" s="468" t="str">
        <f t="shared" si="311"/>
        <v/>
      </c>
      <c r="BW178" s="344"/>
      <c r="BX178" s="54" t="str">
        <f t="shared" si="351"/>
        <v/>
      </c>
      <c r="BY178" s="238">
        <v>0</v>
      </c>
      <c r="BZ178" s="54" t="str">
        <f t="shared" si="352"/>
        <v/>
      </c>
      <c r="CA178" s="353">
        <f>+Расходы!K128/1000</f>
        <v>0</v>
      </c>
      <c r="CB178" s="54" t="str">
        <f t="shared" si="353"/>
        <v/>
      </c>
      <c r="CC178" s="468" t="str">
        <f t="shared" si="312"/>
        <v/>
      </c>
      <c r="CD178" s="468" t="str">
        <f t="shared" si="313"/>
        <v/>
      </c>
      <c r="CE178" s="344"/>
      <c r="CF178" s="54" t="str">
        <f t="shared" si="354"/>
        <v/>
      </c>
      <c r="CG178" s="238">
        <v>0</v>
      </c>
      <c r="CH178" s="54" t="str">
        <f t="shared" si="355"/>
        <v/>
      </c>
      <c r="CI178" s="353">
        <f>+Расходы!L128/1000</f>
        <v>0</v>
      </c>
      <c r="CJ178" s="54" t="str">
        <f t="shared" si="356"/>
        <v/>
      </c>
      <c r="CK178" s="468" t="str">
        <f t="shared" si="314"/>
        <v/>
      </c>
      <c r="CL178" s="468" t="str">
        <f t="shared" si="315"/>
        <v/>
      </c>
      <c r="CM178" s="344"/>
      <c r="CN178" s="54" t="str">
        <f t="shared" si="357"/>
        <v/>
      </c>
      <c r="CO178" s="238">
        <v>0</v>
      </c>
      <c r="CP178" s="54" t="str">
        <f t="shared" si="358"/>
        <v/>
      </c>
      <c r="CQ178" s="353">
        <f>+Расходы!M128/1000</f>
        <v>0</v>
      </c>
      <c r="CR178" s="54" t="str">
        <f t="shared" si="359"/>
        <v/>
      </c>
      <c r="CS178" s="468" t="str">
        <f t="shared" si="316"/>
        <v/>
      </c>
      <c r="CT178" s="468" t="str">
        <f t="shared" si="317"/>
        <v/>
      </c>
      <c r="CU178" s="344">
        <f t="shared" si="292"/>
        <v>0</v>
      </c>
      <c r="CV178" s="54" t="str">
        <f t="shared" si="318"/>
        <v/>
      </c>
      <c r="CW178" s="238">
        <f t="shared" si="293"/>
        <v>25</v>
      </c>
      <c r="CX178" s="54">
        <f t="shared" si="319"/>
        <v>1.8852277068695416E-4</v>
      </c>
      <c r="CY178" s="353">
        <f t="shared" si="320"/>
        <v>17.664999999999999</v>
      </c>
      <c r="CZ178" s="54">
        <f t="shared" si="321"/>
        <v>3.5608428713629028E-4</v>
      </c>
      <c r="DA178" s="468">
        <f t="shared" si="322"/>
        <v>-0.29339999999999999</v>
      </c>
      <c r="DB178" s="468" t="str">
        <f t="shared" si="323"/>
        <v/>
      </c>
    </row>
    <row r="179" spans="2:106" s="103" customFormat="1" ht="13.15" customHeight="1" outlineLevel="2">
      <c r="B179" s="61" t="str">
        <f>+Расходы!A129</f>
        <v>Канцелярия</v>
      </c>
      <c r="C179" s="238"/>
      <c r="D179" s="54" t="str">
        <f t="shared" si="324"/>
        <v/>
      </c>
      <c r="E179" s="238"/>
      <c r="F179" s="54" t="str">
        <f t="shared" si="325"/>
        <v/>
      </c>
      <c r="G179" s="353">
        <f>+Расходы!B129/1000</f>
        <v>0</v>
      </c>
      <c r="H179" s="54" t="str">
        <f t="shared" si="326"/>
        <v/>
      </c>
      <c r="I179" s="468" t="str">
        <f t="shared" ref="I179:I203" si="360">IF(IFERROR(G179/E179-1,"")=0,"",IFERROR(+G179/E179-1,""))</f>
        <v/>
      </c>
      <c r="J179" s="468" t="str">
        <f t="shared" ref="J179:J203" si="361">IF(IFERROR(G179/C179-1,"")=0,"",IFERROR(+G179/C179-1,""))</f>
        <v/>
      </c>
      <c r="K179" s="238"/>
      <c r="L179" s="54" t="str">
        <f t="shared" si="327"/>
        <v/>
      </c>
      <c r="M179" s="238"/>
      <c r="N179" s="54" t="str">
        <f t="shared" si="328"/>
        <v/>
      </c>
      <c r="O179" s="353">
        <f>+Расходы!C129/1000</f>
        <v>0</v>
      </c>
      <c r="P179" s="54" t="str">
        <f t="shared" si="329"/>
        <v/>
      </c>
      <c r="Q179" s="468" t="str">
        <f t="shared" ref="Q179:Q203" si="362">IF(IFERROR(O179/M179-1,"")=0,"",IFERROR(+O179/M179-1,""))</f>
        <v/>
      </c>
      <c r="R179" s="468" t="str">
        <f t="shared" ref="R179:R203" si="363">IF(IFERROR(O179/K179-1,"")=0,"",IFERROR(+O179/K179-1,""))</f>
        <v/>
      </c>
      <c r="S179" s="238"/>
      <c r="T179" s="54" t="str">
        <f t="shared" si="330"/>
        <v/>
      </c>
      <c r="U179" s="238">
        <v>0</v>
      </c>
      <c r="V179" s="54" t="str">
        <f t="shared" si="331"/>
        <v/>
      </c>
      <c r="W179" s="353">
        <f>+Расходы!D129/1000</f>
        <v>0</v>
      </c>
      <c r="X179" s="54" t="str">
        <f t="shared" si="332"/>
        <v/>
      </c>
      <c r="Y179" s="468" t="str">
        <f t="shared" ref="Y179:Y203" si="364">IF(IFERROR(W179/U179-1,"")=0,"",IFERROR(+W179/U179-1,""))</f>
        <v/>
      </c>
      <c r="Z179" s="468" t="str">
        <f t="shared" ref="Z179:Z203" si="365">IF(IFERROR(W179/S179-1,"")=0,"",IFERROR(+W179/S179-1,""))</f>
        <v/>
      </c>
      <c r="AA179" s="238"/>
      <c r="AB179" s="54" t="str">
        <f t="shared" si="333"/>
        <v/>
      </c>
      <c r="AC179" s="238">
        <v>10</v>
      </c>
      <c r="AD179" s="54">
        <f t="shared" si="334"/>
        <v>7.3143044389050783E-4</v>
      </c>
      <c r="AE179" s="353">
        <f>+Расходы!E129/1000</f>
        <v>1.0569999999999999</v>
      </c>
      <c r="AF179" s="54">
        <f t="shared" si="335"/>
        <v>7.7079018755651476E-5</v>
      </c>
      <c r="AG179" s="468">
        <f t="shared" ref="AG179:AG203" si="366">IF(IFERROR(AE179/AC179-1,"")=0,"",IFERROR(+AE179/AC179-1,""))</f>
        <v>-0.89429999999999998</v>
      </c>
      <c r="AH179" s="468" t="str">
        <f t="shared" ref="AH179:AH203" si="367">IF(IFERROR(AE179/AA179-1,"")=0,"",IFERROR(+AE179/AA179-1,""))</f>
        <v/>
      </c>
      <c r="AI179" s="238"/>
      <c r="AJ179" s="54" t="str">
        <f t="shared" si="336"/>
        <v/>
      </c>
      <c r="AK179" s="238">
        <v>5</v>
      </c>
      <c r="AL179" s="54">
        <f t="shared" si="337"/>
        <v>3.5785857429144005E-4</v>
      </c>
      <c r="AM179" s="353">
        <f>+Расходы!F129/1000</f>
        <v>14.937100000000001</v>
      </c>
      <c r="AN179" s="54">
        <f t="shared" si="338"/>
        <v>9.5064531054396507E-4</v>
      </c>
      <c r="AO179" s="468">
        <f t="shared" ref="AO179:AO203" si="368">IF(IFERROR(AM179/AK179-1,"")=0,"",IFERROR(+AM179/AK179-1,""))</f>
        <v>1.9874200000000002</v>
      </c>
      <c r="AP179" s="468" t="str">
        <f t="shared" ref="AP179:AP203" si="369">IF(IFERROR(AM179/AI179-1,"")=0,"",IFERROR(+AM179/AI179-1,""))</f>
        <v/>
      </c>
      <c r="AQ179" s="344"/>
      <c r="AR179" s="54" t="str">
        <f t="shared" si="339"/>
        <v/>
      </c>
      <c r="AS179" s="238">
        <v>5</v>
      </c>
      <c r="AT179" s="54">
        <f t="shared" si="340"/>
        <v>3.3156498673740051E-4</v>
      </c>
      <c r="AU179" s="353">
        <f>+Расходы!G129/1000</f>
        <v>3.331</v>
      </c>
      <c r="AV179" s="54">
        <f t="shared" si="341"/>
        <v>2.3369942969902305E-4</v>
      </c>
      <c r="AW179" s="468">
        <f t="shared" ref="AW179:AW203" si="370">IF(IFERROR(AU179/AS179-1,"")=0,"",IFERROR(+AU179/AS179-1,""))</f>
        <v>-0.33379999999999999</v>
      </c>
      <c r="AX179" s="468" t="str">
        <f t="shared" ref="AX179:AX203" si="371">IF(IFERROR(AU179/AQ179-1,"")=0,"",IFERROR(+AU179/AQ179-1,""))</f>
        <v/>
      </c>
      <c r="AY179" s="344"/>
      <c r="AZ179" s="54" t="str">
        <f t="shared" si="342"/>
        <v/>
      </c>
      <c r="BA179" s="238">
        <v>5</v>
      </c>
      <c r="BB179" s="54">
        <f t="shared" si="343"/>
        <v>3.1913196106590075E-4</v>
      </c>
      <c r="BC179" s="353">
        <f>+Расходы!H129/1000</f>
        <v>0</v>
      </c>
      <c r="BD179" s="54" t="str">
        <f t="shared" si="344"/>
        <v/>
      </c>
      <c r="BE179" s="468">
        <f t="shared" ref="BE179:BE203" si="372">IF(IFERROR(BC179/BA179-1,"")=0,"",IFERROR(+BC179/BA179-1,""))</f>
        <v>-1</v>
      </c>
      <c r="BF179" s="468" t="str">
        <f t="shared" ref="BF179:BF203" si="373">IF(IFERROR(BC179/AY179-1,"")=0,"",IFERROR(+BC179/AY179-1,""))</f>
        <v/>
      </c>
      <c r="BG179" s="344"/>
      <c r="BH179" s="54" t="str">
        <f t="shared" si="345"/>
        <v/>
      </c>
      <c r="BI179" s="238">
        <v>5</v>
      </c>
      <c r="BJ179" s="54">
        <f t="shared" si="346"/>
        <v>3.1913196106590075E-4</v>
      </c>
      <c r="BK179" s="353">
        <f>+Расходы!I129/1000</f>
        <v>0</v>
      </c>
      <c r="BL179" s="54" t="str">
        <f t="shared" si="347"/>
        <v/>
      </c>
      <c r="BM179" s="468">
        <f t="shared" ref="BM179:BM203" si="374">IF(IFERROR(BK179/BI179-1,"")=0,"",IFERROR(+BK179/BI179-1,""))</f>
        <v>-1</v>
      </c>
      <c r="BN179" s="468" t="str">
        <f t="shared" ref="BN179:BN203" si="375">IF(IFERROR(BK179/BG179-1,"")=0,"",IFERROR(+BK179/BG179-1,""))</f>
        <v/>
      </c>
      <c r="BO179" s="344"/>
      <c r="BP179" s="54" t="str">
        <f t="shared" si="348"/>
        <v/>
      </c>
      <c r="BQ179" s="238">
        <v>5</v>
      </c>
      <c r="BR179" s="54">
        <f t="shared" si="349"/>
        <v>3.453038674033149E-4</v>
      </c>
      <c r="BS179" s="353">
        <f>+Расходы!J129/1000</f>
        <v>0</v>
      </c>
      <c r="BT179" s="54" t="str">
        <f t="shared" si="350"/>
        <v/>
      </c>
      <c r="BU179" s="468">
        <f t="shared" ref="BU179:BU203" si="376">IF(IFERROR(BS179/BQ179-1,"")=0,"",IFERROR(+BS179/BQ179-1,""))</f>
        <v>-1</v>
      </c>
      <c r="BV179" s="468" t="str">
        <f t="shared" ref="BV179:BV203" si="377">IF(IFERROR(BS179/BO179-1,"")=0,"",IFERROR(+BS179/BO179-1,""))</f>
        <v/>
      </c>
      <c r="BW179" s="344"/>
      <c r="BX179" s="54" t="str">
        <f t="shared" si="351"/>
        <v/>
      </c>
      <c r="BY179" s="238">
        <v>0</v>
      </c>
      <c r="BZ179" s="54" t="str">
        <f t="shared" si="352"/>
        <v/>
      </c>
      <c r="CA179" s="353">
        <f>+Расходы!K129/1000</f>
        <v>0</v>
      </c>
      <c r="CB179" s="54" t="str">
        <f t="shared" si="353"/>
        <v/>
      </c>
      <c r="CC179" s="468" t="str">
        <f t="shared" ref="CC179:CC203" si="378">IF(IFERROR(CA179/BY179-1,"")=0,"",IFERROR(+CA179/BY179-1,""))</f>
        <v/>
      </c>
      <c r="CD179" s="468" t="str">
        <f t="shared" ref="CD179:CD203" si="379">IF(IFERROR(CA179/BW179-1,"")=0,"",IFERROR(+CA179/BW179-1,""))</f>
        <v/>
      </c>
      <c r="CE179" s="344"/>
      <c r="CF179" s="54" t="str">
        <f t="shared" si="354"/>
        <v/>
      </c>
      <c r="CG179" s="238">
        <v>0</v>
      </c>
      <c r="CH179" s="54" t="str">
        <f t="shared" si="355"/>
        <v/>
      </c>
      <c r="CI179" s="353">
        <f>+Расходы!L129/1000</f>
        <v>0</v>
      </c>
      <c r="CJ179" s="54" t="str">
        <f t="shared" si="356"/>
        <v/>
      </c>
      <c r="CK179" s="468" t="str">
        <f t="shared" ref="CK179:CK203" si="380">IF(IFERROR(CI179/CG179-1,"")=0,"",IFERROR(+CI179/CG179-1,""))</f>
        <v/>
      </c>
      <c r="CL179" s="468" t="str">
        <f t="shared" ref="CL179:CL203" si="381">IF(IFERROR(CI179/CE179-1,"")=0,"",IFERROR(+CI179/CE179-1,""))</f>
        <v/>
      </c>
      <c r="CM179" s="344"/>
      <c r="CN179" s="54" t="str">
        <f t="shared" si="357"/>
        <v/>
      </c>
      <c r="CO179" s="238">
        <v>0</v>
      </c>
      <c r="CP179" s="54" t="str">
        <f t="shared" si="358"/>
        <v/>
      </c>
      <c r="CQ179" s="353">
        <f>+Расходы!M129/1000</f>
        <v>0</v>
      </c>
      <c r="CR179" s="54" t="str">
        <f t="shared" si="359"/>
        <v/>
      </c>
      <c r="CS179" s="468" t="str">
        <f t="shared" ref="CS179:CS203" si="382">IF(IFERROR(CQ179/CO179-1,"")=0,"",IFERROR(+CQ179/CO179-1,""))</f>
        <v/>
      </c>
      <c r="CT179" s="468" t="str">
        <f t="shared" ref="CT179:CT203" si="383">IF(IFERROR(CQ179/CM179-1,"")=0,"",IFERROR(+CQ179/CM179-1,""))</f>
        <v/>
      </c>
      <c r="CU179" s="344">
        <f t="shared" si="292"/>
        <v>0</v>
      </c>
      <c r="CV179" s="54" t="str">
        <f t="shared" ref="CV179:CV203" si="384">IFERROR(CU179/CU$4,"")</f>
        <v/>
      </c>
      <c r="CW179" s="238">
        <f t="shared" si="293"/>
        <v>35</v>
      </c>
      <c r="CX179" s="54">
        <f t="shared" ref="CX179:CX203" si="385">IFERROR(CW179/CW$4,"")</f>
        <v>2.6393187896173582E-4</v>
      </c>
      <c r="CY179" s="353">
        <f t="shared" ref="CY179:CY203" si="386">SUM(G179,O179,W179,AE179,AM179,AU179,BC179,BK179,BS179,CA179,CI179,CQ179)</f>
        <v>19.325100000000003</v>
      </c>
      <c r="CZ179" s="54">
        <f t="shared" ref="CZ179:CZ203" si="387">IFERROR(CY179/CY$4,"")</f>
        <v>3.895479455045301E-4</v>
      </c>
      <c r="DA179" s="468">
        <f t="shared" ref="DA179:DA203" si="388">IF(IFERROR(CY179/CW179-1,"")=0,"",IFERROR(+CY179/CW179-1,""))</f>
        <v>-0.44785428571428565</v>
      </c>
      <c r="DB179" s="468" t="str">
        <f t="shared" ref="DB179:DB203" si="389">IF(IFERROR(CY179/CU179-1,"")=0,"",IFERROR(+CY179/CU179-1,""))</f>
        <v/>
      </c>
    </row>
    <row r="180" spans="2:106" s="103" customFormat="1" ht="13.15" customHeight="1" outlineLevel="2">
      <c r="B180" s="61" t="str">
        <f>+Расходы!A130</f>
        <v>Комплектующие к товарным позициям</v>
      </c>
      <c r="C180" s="238"/>
      <c r="D180" s="54" t="str">
        <f t="shared" si="324"/>
        <v/>
      </c>
      <c r="E180" s="238"/>
      <c r="F180" s="54" t="str">
        <f t="shared" si="325"/>
        <v/>
      </c>
      <c r="G180" s="353">
        <f>+Расходы!B130/1000</f>
        <v>0</v>
      </c>
      <c r="H180" s="54" t="str">
        <f t="shared" si="326"/>
        <v/>
      </c>
      <c r="I180" s="468" t="str">
        <f t="shared" si="360"/>
        <v/>
      </c>
      <c r="J180" s="468" t="str">
        <f t="shared" si="361"/>
        <v/>
      </c>
      <c r="K180" s="238"/>
      <c r="L180" s="54" t="str">
        <f t="shared" si="327"/>
        <v/>
      </c>
      <c r="M180" s="238"/>
      <c r="N180" s="54" t="str">
        <f t="shared" si="328"/>
        <v/>
      </c>
      <c r="O180" s="353">
        <f>+Расходы!C130/1000</f>
        <v>0</v>
      </c>
      <c r="P180" s="54" t="str">
        <f t="shared" si="329"/>
        <v/>
      </c>
      <c r="Q180" s="468" t="str">
        <f t="shared" si="362"/>
        <v/>
      </c>
      <c r="R180" s="468" t="str">
        <f t="shared" si="363"/>
        <v/>
      </c>
      <c r="S180" s="238"/>
      <c r="T180" s="54" t="str">
        <f t="shared" si="330"/>
        <v/>
      </c>
      <c r="U180" s="238">
        <v>0</v>
      </c>
      <c r="V180" s="54" t="str">
        <f t="shared" si="331"/>
        <v/>
      </c>
      <c r="W180" s="353">
        <f>+Расходы!D130/1000</f>
        <v>0</v>
      </c>
      <c r="X180" s="54" t="str">
        <f t="shared" si="332"/>
        <v/>
      </c>
      <c r="Y180" s="468" t="str">
        <f t="shared" si="364"/>
        <v/>
      </c>
      <c r="Z180" s="468" t="str">
        <f t="shared" si="365"/>
        <v/>
      </c>
      <c r="AA180" s="238"/>
      <c r="AB180" s="54" t="str">
        <f t="shared" si="333"/>
        <v/>
      </c>
      <c r="AC180" s="238">
        <v>0</v>
      </c>
      <c r="AD180" s="54" t="str">
        <f t="shared" si="334"/>
        <v/>
      </c>
      <c r="AE180" s="353">
        <f>+Расходы!E130/1000</f>
        <v>0</v>
      </c>
      <c r="AF180" s="54" t="str">
        <f t="shared" si="335"/>
        <v/>
      </c>
      <c r="AG180" s="468" t="str">
        <f t="shared" si="366"/>
        <v/>
      </c>
      <c r="AH180" s="468" t="str">
        <f t="shared" si="367"/>
        <v/>
      </c>
      <c r="AI180" s="238"/>
      <c r="AJ180" s="54" t="str">
        <f t="shared" si="336"/>
        <v/>
      </c>
      <c r="AK180" s="238">
        <v>0</v>
      </c>
      <c r="AL180" s="54" t="str">
        <f t="shared" si="337"/>
        <v/>
      </c>
      <c r="AM180" s="353">
        <f>+Расходы!F130/1000</f>
        <v>0</v>
      </c>
      <c r="AN180" s="54" t="str">
        <f t="shared" si="338"/>
        <v/>
      </c>
      <c r="AO180" s="468" t="str">
        <f t="shared" si="368"/>
        <v/>
      </c>
      <c r="AP180" s="468" t="str">
        <f t="shared" si="369"/>
        <v/>
      </c>
      <c r="AQ180" s="344"/>
      <c r="AR180" s="54" t="str">
        <f t="shared" si="339"/>
        <v/>
      </c>
      <c r="AS180" s="238">
        <v>0</v>
      </c>
      <c r="AT180" s="54" t="str">
        <f t="shared" si="340"/>
        <v/>
      </c>
      <c r="AU180" s="353">
        <f>+Расходы!G130/1000</f>
        <v>0</v>
      </c>
      <c r="AV180" s="54" t="str">
        <f t="shared" si="341"/>
        <v/>
      </c>
      <c r="AW180" s="468" t="str">
        <f t="shared" si="370"/>
        <v/>
      </c>
      <c r="AX180" s="468" t="str">
        <f t="shared" si="371"/>
        <v/>
      </c>
      <c r="AY180" s="344"/>
      <c r="AZ180" s="54" t="str">
        <f t="shared" si="342"/>
        <v/>
      </c>
      <c r="BA180" s="238">
        <v>0</v>
      </c>
      <c r="BB180" s="54" t="str">
        <f t="shared" si="343"/>
        <v/>
      </c>
      <c r="BC180" s="353">
        <f>+Расходы!H130/1000</f>
        <v>0</v>
      </c>
      <c r="BD180" s="54" t="str">
        <f t="shared" si="344"/>
        <v/>
      </c>
      <c r="BE180" s="468" t="str">
        <f t="shared" si="372"/>
        <v/>
      </c>
      <c r="BF180" s="468" t="str">
        <f t="shared" si="373"/>
        <v/>
      </c>
      <c r="BG180" s="344"/>
      <c r="BH180" s="54" t="str">
        <f t="shared" si="345"/>
        <v/>
      </c>
      <c r="BI180" s="238">
        <v>0</v>
      </c>
      <c r="BJ180" s="54" t="str">
        <f t="shared" si="346"/>
        <v/>
      </c>
      <c r="BK180" s="353">
        <f>+Расходы!I130/1000</f>
        <v>0</v>
      </c>
      <c r="BL180" s="54" t="str">
        <f t="shared" si="347"/>
        <v/>
      </c>
      <c r="BM180" s="468" t="str">
        <f t="shared" si="374"/>
        <v/>
      </c>
      <c r="BN180" s="468" t="str">
        <f t="shared" si="375"/>
        <v/>
      </c>
      <c r="BO180" s="344"/>
      <c r="BP180" s="54" t="str">
        <f t="shared" si="348"/>
        <v/>
      </c>
      <c r="BQ180" s="238">
        <v>0</v>
      </c>
      <c r="BR180" s="54" t="str">
        <f t="shared" si="349"/>
        <v/>
      </c>
      <c r="BS180" s="353">
        <f>+Расходы!J130/1000</f>
        <v>0</v>
      </c>
      <c r="BT180" s="54" t="str">
        <f t="shared" si="350"/>
        <v/>
      </c>
      <c r="BU180" s="468" t="str">
        <f t="shared" si="376"/>
        <v/>
      </c>
      <c r="BV180" s="468" t="str">
        <f t="shared" si="377"/>
        <v/>
      </c>
      <c r="BW180" s="344"/>
      <c r="BX180" s="54" t="str">
        <f t="shared" si="351"/>
        <v/>
      </c>
      <c r="BY180" s="238">
        <v>0</v>
      </c>
      <c r="BZ180" s="54" t="str">
        <f t="shared" si="352"/>
        <v/>
      </c>
      <c r="CA180" s="353">
        <f>+Расходы!K130/1000</f>
        <v>0</v>
      </c>
      <c r="CB180" s="54" t="str">
        <f t="shared" si="353"/>
        <v/>
      </c>
      <c r="CC180" s="468" t="str">
        <f t="shared" si="378"/>
        <v/>
      </c>
      <c r="CD180" s="468" t="str">
        <f t="shared" si="379"/>
        <v/>
      </c>
      <c r="CE180" s="344"/>
      <c r="CF180" s="54" t="str">
        <f t="shared" si="354"/>
        <v/>
      </c>
      <c r="CG180" s="238">
        <v>0</v>
      </c>
      <c r="CH180" s="54" t="str">
        <f t="shared" si="355"/>
        <v/>
      </c>
      <c r="CI180" s="353">
        <f>+Расходы!L130/1000</f>
        <v>0</v>
      </c>
      <c r="CJ180" s="54" t="str">
        <f t="shared" si="356"/>
        <v/>
      </c>
      <c r="CK180" s="468" t="str">
        <f t="shared" si="380"/>
        <v/>
      </c>
      <c r="CL180" s="468" t="str">
        <f t="shared" si="381"/>
        <v/>
      </c>
      <c r="CM180" s="344"/>
      <c r="CN180" s="54" t="str">
        <f t="shared" si="357"/>
        <v/>
      </c>
      <c r="CO180" s="238">
        <v>0</v>
      </c>
      <c r="CP180" s="54" t="str">
        <f t="shared" si="358"/>
        <v/>
      </c>
      <c r="CQ180" s="353">
        <f>+Расходы!M130/1000</f>
        <v>0</v>
      </c>
      <c r="CR180" s="54" t="str">
        <f t="shared" si="359"/>
        <v/>
      </c>
      <c r="CS180" s="468" t="str">
        <f t="shared" si="382"/>
        <v/>
      </c>
      <c r="CT180" s="468" t="str">
        <f t="shared" si="383"/>
        <v/>
      </c>
      <c r="CU180" s="344">
        <f t="shared" si="292"/>
        <v>0</v>
      </c>
      <c r="CV180" s="54" t="str">
        <f t="shared" si="384"/>
        <v/>
      </c>
      <c r="CW180" s="238">
        <f t="shared" si="293"/>
        <v>0</v>
      </c>
      <c r="CX180" s="54">
        <f t="shared" si="385"/>
        <v>0</v>
      </c>
      <c r="CY180" s="353">
        <f t="shared" si="386"/>
        <v>0</v>
      </c>
      <c r="CZ180" s="54">
        <f t="shared" si="387"/>
        <v>0</v>
      </c>
      <c r="DA180" s="468" t="str">
        <f t="shared" si="388"/>
        <v/>
      </c>
      <c r="DB180" s="468" t="str">
        <f t="shared" si="389"/>
        <v/>
      </c>
    </row>
    <row r="181" spans="2:106" s="103" customFormat="1" ht="13.15" customHeight="1" outlineLevel="2">
      <c r="B181" s="61" t="str">
        <f>+Расходы!A131</f>
        <v>Малоценное имущество</v>
      </c>
      <c r="C181" s="238"/>
      <c r="D181" s="54" t="str">
        <f t="shared" ref="D181:D203" si="390">IF(IFERROR(C181/C$4,"")=0,"",IFERROR(C181/C$4,""))</f>
        <v/>
      </c>
      <c r="E181" s="238"/>
      <c r="F181" s="54" t="str">
        <f t="shared" ref="F181:F203" si="391">IF(IFERROR(E181/E$4,"")=0,"",IFERROR(E181/E$4,""))</f>
        <v/>
      </c>
      <c r="G181" s="353">
        <f>+Расходы!B131/1000</f>
        <v>0</v>
      </c>
      <c r="H181" s="54" t="str">
        <f t="shared" ref="H181:H203" si="392">IF(IFERROR(G181/G$4,"")=0,"",IFERROR(G181/G$4,""))</f>
        <v/>
      </c>
      <c r="I181" s="468" t="str">
        <f t="shared" si="360"/>
        <v/>
      </c>
      <c r="J181" s="468" t="str">
        <f t="shared" si="361"/>
        <v/>
      </c>
      <c r="K181" s="238"/>
      <c r="L181" s="54" t="str">
        <f t="shared" ref="L181:L203" si="393">IF(IFERROR(K181/K$4,"")=0,"",IFERROR(K181/K$4,""))</f>
        <v/>
      </c>
      <c r="M181" s="238"/>
      <c r="N181" s="54" t="str">
        <f t="shared" ref="N181:N203" si="394">IF(IFERROR(M181/M$4,"")=0,"",IFERROR(M181/M$4,""))</f>
        <v/>
      </c>
      <c r="O181" s="353">
        <f>+Расходы!C131/1000</f>
        <v>0</v>
      </c>
      <c r="P181" s="54" t="str">
        <f t="shared" ref="P181:P203" si="395">IF(IFERROR(O181/O$4,"")=0,"",IFERROR(O181/O$4,""))</f>
        <v/>
      </c>
      <c r="Q181" s="468" t="str">
        <f t="shared" si="362"/>
        <v/>
      </c>
      <c r="R181" s="468" t="str">
        <f t="shared" si="363"/>
        <v/>
      </c>
      <c r="S181" s="238"/>
      <c r="T181" s="54" t="str">
        <f t="shared" ref="T181:T203" si="396">IF(IFERROR(S181/S$4,"")=0,"",IFERROR(S181/S$4,""))</f>
        <v/>
      </c>
      <c r="U181" s="238">
        <v>0</v>
      </c>
      <c r="V181" s="54" t="str">
        <f t="shared" ref="V181:V203" si="397">IF(IFERROR(U181/U$4,"")=0,"",IFERROR(U181/U$4,""))</f>
        <v/>
      </c>
      <c r="W181" s="353">
        <f>+Расходы!D131/1000</f>
        <v>0</v>
      </c>
      <c r="X181" s="54" t="str">
        <f t="shared" ref="X181:X203" si="398">IF(IFERROR(W181/W$4,"")=0,"",IFERROR(W181/W$4,""))</f>
        <v/>
      </c>
      <c r="Y181" s="468" t="str">
        <f t="shared" si="364"/>
        <v/>
      </c>
      <c r="Z181" s="468" t="str">
        <f t="shared" si="365"/>
        <v/>
      </c>
      <c r="AA181" s="238"/>
      <c r="AB181" s="54" t="str">
        <f t="shared" ref="AB181:AB203" si="399">IF(IFERROR(AA181/AA$4,"")=0,"",IFERROR(AA181/AA$4,""))</f>
        <v/>
      </c>
      <c r="AC181" s="238">
        <v>50</v>
      </c>
      <c r="AD181" s="54">
        <f t="shared" ref="AD181:AD203" si="400">IF(IFERROR(AC181/AC$4,"")=0,"",IFERROR(AC181/AC$4,""))</f>
        <v>3.6571522194525389E-3</v>
      </c>
      <c r="AE181" s="353">
        <f>+Расходы!E131/1000</f>
        <v>108.33485</v>
      </c>
      <c r="AF181" s="54">
        <f t="shared" ref="AF181:AF203" si="401">IF(IFERROR(AE181/AE$4,"")=0,"",IFERROR(AE181/AE$4,""))</f>
        <v>7.9000415657906244E-3</v>
      </c>
      <c r="AG181" s="468">
        <f t="shared" si="366"/>
        <v>1.1666970000000001</v>
      </c>
      <c r="AH181" s="468" t="str">
        <f t="shared" si="367"/>
        <v/>
      </c>
      <c r="AI181" s="238"/>
      <c r="AJ181" s="54" t="str">
        <f t="shared" ref="AJ181:AJ203" si="402">IF(IFERROR(AI181/AI$4,"")=0,"",IFERROR(AI181/AI$4,""))</f>
        <v/>
      </c>
      <c r="AK181" s="238">
        <v>50</v>
      </c>
      <c r="AL181" s="54">
        <f t="shared" ref="AL181:AL203" si="403">IF(IFERROR(AK181/AK$4,"")=0,"",IFERROR(AK181/AK$4,""))</f>
        <v>3.5785857429144001E-3</v>
      </c>
      <c r="AM181" s="353">
        <f>+Расходы!F131/1000</f>
        <v>53.249739999999996</v>
      </c>
      <c r="AN181" s="54">
        <f t="shared" ref="AN181:AN203" si="404">IF(IFERROR(AM181/AM$4,"")=0,"",IFERROR(AM181/AM$4,""))</f>
        <v>3.3889855205284421E-3</v>
      </c>
      <c r="AO181" s="468">
        <f t="shared" si="368"/>
        <v>6.4994800000000019E-2</v>
      </c>
      <c r="AP181" s="468" t="str">
        <f t="shared" si="369"/>
        <v/>
      </c>
      <c r="AQ181" s="344"/>
      <c r="AR181" s="54" t="str">
        <f t="shared" ref="AR181:AR203" si="405">IF(IFERROR(AQ181/AQ$4,"")=0,"",IFERROR(AQ181/AQ$4,""))</f>
        <v/>
      </c>
      <c r="AS181" s="238">
        <v>80</v>
      </c>
      <c r="AT181" s="54">
        <f t="shared" ref="AT181:AT203" si="406">IF(IFERROR(AS181/AS$4,"")=0,"",IFERROR(AS181/AS$4,""))</f>
        <v>5.3050397877984082E-3</v>
      </c>
      <c r="AU181" s="353">
        <f>+Расходы!G131/1000</f>
        <v>21.720980000000001</v>
      </c>
      <c r="AV181" s="54">
        <f t="shared" ref="AV181:AV203" si="407">IF(IFERROR(AU181/AU$4,"")=0,"",IFERROR(AU181/AU$4,""))</f>
        <v>1.5239209362065103E-3</v>
      </c>
      <c r="AW181" s="468">
        <f t="shared" si="370"/>
        <v>-0.72848774999999999</v>
      </c>
      <c r="AX181" s="468" t="str">
        <f t="shared" si="371"/>
        <v/>
      </c>
      <c r="AY181" s="344"/>
      <c r="AZ181" s="54" t="str">
        <f t="shared" ref="AZ181:AZ203" si="408">IF(IFERROR(AY181/AY$4,"")=0,"",IFERROR(AY181/AY$4,""))</f>
        <v/>
      </c>
      <c r="BA181" s="238">
        <v>50</v>
      </c>
      <c r="BB181" s="54">
        <f t="shared" ref="BB181:BB203" si="409">IF(IFERROR(BA181/BA$4,"")=0,"",IFERROR(BA181/BA$4,""))</f>
        <v>3.1913196106590075E-3</v>
      </c>
      <c r="BC181" s="353">
        <f>+Расходы!H131/1000</f>
        <v>0</v>
      </c>
      <c r="BD181" s="54" t="str">
        <f t="shared" ref="BD181:BD203" si="410">IF(IFERROR(BC181/BC$4,"")=0,"",IFERROR(BC181/BC$4,""))</f>
        <v/>
      </c>
      <c r="BE181" s="468">
        <f t="shared" si="372"/>
        <v>-1</v>
      </c>
      <c r="BF181" s="468" t="str">
        <f t="shared" si="373"/>
        <v/>
      </c>
      <c r="BG181" s="344"/>
      <c r="BH181" s="54" t="str">
        <f t="shared" ref="BH181:BH203" si="411">IF(IFERROR(BG181/BG$4,"")=0,"",IFERROR(BG181/BG$4,""))</f>
        <v/>
      </c>
      <c r="BI181" s="238">
        <v>50</v>
      </c>
      <c r="BJ181" s="54">
        <f t="shared" ref="BJ181:BJ203" si="412">IF(IFERROR(BI181/BI$4,"")=0,"",IFERROR(BI181/BI$4,""))</f>
        <v>3.1913196106590075E-3</v>
      </c>
      <c r="BK181" s="353">
        <f>+Расходы!I131/1000</f>
        <v>0</v>
      </c>
      <c r="BL181" s="54" t="str">
        <f t="shared" ref="BL181:BL203" si="413">IF(IFERROR(BK181/BK$4,"")=0,"",IFERROR(BK181/BK$4,""))</f>
        <v/>
      </c>
      <c r="BM181" s="468">
        <f t="shared" si="374"/>
        <v>-1</v>
      </c>
      <c r="BN181" s="468" t="str">
        <f t="shared" si="375"/>
        <v/>
      </c>
      <c r="BO181" s="344"/>
      <c r="BP181" s="54" t="str">
        <f t="shared" ref="BP181:BP203" si="414">IF(IFERROR(BO181/BO$4,"")=0,"",IFERROR(BO181/BO$4,""))</f>
        <v/>
      </c>
      <c r="BQ181" s="238">
        <v>50</v>
      </c>
      <c r="BR181" s="54">
        <f t="shared" ref="BR181:BR203" si="415">IF(IFERROR(BQ181/BQ$4,"")=0,"",IFERROR(BQ181/BQ$4,""))</f>
        <v>3.453038674033149E-3</v>
      </c>
      <c r="BS181" s="353">
        <f>+Расходы!J131/1000</f>
        <v>0</v>
      </c>
      <c r="BT181" s="54" t="str">
        <f t="shared" ref="BT181:BT203" si="416">IF(IFERROR(BS181/BS$4,"")=0,"",IFERROR(BS181/BS$4,""))</f>
        <v/>
      </c>
      <c r="BU181" s="468">
        <f t="shared" si="376"/>
        <v>-1</v>
      </c>
      <c r="BV181" s="468" t="str">
        <f t="shared" si="377"/>
        <v/>
      </c>
      <c r="BW181" s="344"/>
      <c r="BX181" s="54" t="str">
        <f t="shared" ref="BX181:BX203" si="417">IF(IFERROR(BW181/BW$4,"")=0,"",IFERROR(BW181/BW$4,""))</f>
        <v/>
      </c>
      <c r="BY181" s="238">
        <v>0</v>
      </c>
      <c r="BZ181" s="54" t="str">
        <f t="shared" ref="BZ181:BZ203" si="418">IF(IFERROR(BY181/BY$4,"")=0,"",IFERROR(BY181/BY$4,""))</f>
        <v/>
      </c>
      <c r="CA181" s="353">
        <f>+Расходы!K131/1000</f>
        <v>0</v>
      </c>
      <c r="CB181" s="54" t="str">
        <f t="shared" ref="CB181:CB203" si="419">IF(IFERROR(CA181/CA$4,"")=0,"",IFERROR(CA181/CA$4,""))</f>
        <v/>
      </c>
      <c r="CC181" s="468" t="str">
        <f t="shared" si="378"/>
        <v/>
      </c>
      <c r="CD181" s="468" t="str">
        <f t="shared" si="379"/>
        <v/>
      </c>
      <c r="CE181" s="344"/>
      <c r="CF181" s="54" t="str">
        <f t="shared" ref="CF181:CF203" si="420">IF(IFERROR(CE181/CE$4,"")=0,"",IFERROR(CE181/CE$4,""))</f>
        <v/>
      </c>
      <c r="CG181" s="238">
        <v>0</v>
      </c>
      <c r="CH181" s="54" t="str">
        <f t="shared" ref="CH181:CH203" si="421">IF(IFERROR(CG181/CG$4,"")=0,"",IFERROR(CG181/CG$4,""))</f>
        <v/>
      </c>
      <c r="CI181" s="353">
        <f>+Расходы!L131/1000</f>
        <v>0</v>
      </c>
      <c r="CJ181" s="54" t="str">
        <f t="shared" ref="CJ181:CJ203" si="422">IF(IFERROR(CI181/CI$4,"")=0,"",IFERROR(CI181/CI$4,""))</f>
        <v/>
      </c>
      <c r="CK181" s="468" t="str">
        <f t="shared" si="380"/>
        <v/>
      </c>
      <c r="CL181" s="468" t="str">
        <f t="shared" si="381"/>
        <v/>
      </c>
      <c r="CM181" s="344"/>
      <c r="CN181" s="54" t="str">
        <f t="shared" ref="CN181:CN203" si="423">IF(IFERROR(CM181/CM$4,"")=0,"",IFERROR(CM181/CM$4,""))</f>
        <v/>
      </c>
      <c r="CO181" s="238">
        <v>0</v>
      </c>
      <c r="CP181" s="54" t="str">
        <f t="shared" ref="CP181:CP203" si="424">IF(IFERROR(CO181/CO$4,"")=0,"",IFERROR(CO181/CO$4,""))</f>
        <v/>
      </c>
      <c r="CQ181" s="353">
        <f>+Расходы!M131/1000</f>
        <v>0</v>
      </c>
      <c r="CR181" s="54" t="str">
        <f t="shared" ref="CR181:CR203" si="425">IF(IFERROR(CQ181/CQ$4,"")=0,"",IFERROR(CQ181/CQ$4,""))</f>
        <v/>
      </c>
      <c r="CS181" s="468" t="str">
        <f t="shared" si="382"/>
        <v/>
      </c>
      <c r="CT181" s="468" t="str">
        <f t="shared" si="383"/>
        <v/>
      </c>
      <c r="CU181" s="344">
        <f t="shared" si="292"/>
        <v>0</v>
      </c>
      <c r="CV181" s="54" t="str">
        <f t="shared" si="384"/>
        <v/>
      </c>
      <c r="CW181" s="238">
        <f t="shared" si="293"/>
        <v>330</v>
      </c>
      <c r="CX181" s="54">
        <f t="shared" si="385"/>
        <v>2.4885005730677953E-3</v>
      </c>
      <c r="CY181" s="353">
        <f t="shared" si="386"/>
        <v>183.30556999999999</v>
      </c>
      <c r="CZ181" s="54">
        <f t="shared" si="387"/>
        <v>3.6950032958710079E-3</v>
      </c>
      <c r="DA181" s="468">
        <f t="shared" si="388"/>
        <v>-0.44452857575757576</v>
      </c>
      <c r="DB181" s="468" t="str">
        <f t="shared" si="389"/>
        <v/>
      </c>
    </row>
    <row r="182" spans="2:106" s="103" customFormat="1" ht="13.15" customHeight="1" outlineLevel="2">
      <c r="B182" s="61" t="str">
        <f>+Расходы!A132</f>
        <v>Медикаменты</v>
      </c>
      <c r="C182" s="238"/>
      <c r="D182" s="54" t="str">
        <f t="shared" si="390"/>
        <v/>
      </c>
      <c r="E182" s="238"/>
      <c r="F182" s="54" t="str">
        <f t="shared" si="391"/>
        <v/>
      </c>
      <c r="G182" s="353">
        <f>+Расходы!B132/1000</f>
        <v>0</v>
      </c>
      <c r="H182" s="54" t="str">
        <f t="shared" si="392"/>
        <v/>
      </c>
      <c r="I182" s="468" t="str">
        <f t="shared" si="360"/>
        <v/>
      </c>
      <c r="J182" s="468" t="str">
        <f t="shared" si="361"/>
        <v/>
      </c>
      <c r="K182" s="238"/>
      <c r="L182" s="54" t="str">
        <f t="shared" si="393"/>
        <v/>
      </c>
      <c r="M182" s="238"/>
      <c r="N182" s="54" t="str">
        <f t="shared" si="394"/>
        <v/>
      </c>
      <c r="O182" s="353">
        <f>+Расходы!C132/1000</f>
        <v>0</v>
      </c>
      <c r="P182" s="54" t="str">
        <f t="shared" si="395"/>
        <v/>
      </c>
      <c r="Q182" s="468" t="str">
        <f t="shared" si="362"/>
        <v/>
      </c>
      <c r="R182" s="468" t="str">
        <f t="shared" si="363"/>
        <v/>
      </c>
      <c r="S182" s="238"/>
      <c r="T182" s="54" t="str">
        <f t="shared" si="396"/>
        <v/>
      </c>
      <c r="U182" s="238">
        <v>0</v>
      </c>
      <c r="V182" s="54" t="str">
        <f t="shared" si="397"/>
        <v/>
      </c>
      <c r="W182" s="353">
        <f>+Расходы!D132/1000</f>
        <v>0</v>
      </c>
      <c r="X182" s="54" t="str">
        <f t="shared" si="398"/>
        <v/>
      </c>
      <c r="Y182" s="468" t="str">
        <f t="shared" si="364"/>
        <v/>
      </c>
      <c r="Z182" s="468" t="str">
        <f t="shared" si="365"/>
        <v/>
      </c>
      <c r="AA182" s="238"/>
      <c r="AB182" s="54" t="str">
        <f t="shared" si="399"/>
        <v/>
      </c>
      <c r="AC182" s="238">
        <v>7</v>
      </c>
      <c r="AD182" s="54">
        <f t="shared" si="400"/>
        <v>5.1200131072335546E-4</v>
      </c>
      <c r="AE182" s="353">
        <f>+Расходы!E132/1000</f>
        <v>0</v>
      </c>
      <c r="AF182" s="54" t="str">
        <f t="shared" si="401"/>
        <v/>
      </c>
      <c r="AG182" s="468">
        <f t="shared" si="366"/>
        <v>-1</v>
      </c>
      <c r="AH182" s="468" t="str">
        <f t="shared" si="367"/>
        <v/>
      </c>
      <c r="AI182" s="238"/>
      <c r="AJ182" s="54" t="str">
        <f t="shared" si="402"/>
        <v/>
      </c>
      <c r="AK182" s="238">
        <v>5</v>
      </c>
      <c r="AL182" s="54">
        <f t="shared" si="403"/>
        <v>3.5785857429144005E-4</v>
      </c>
      <c r="AM182" s="353">
        <f>+Расходы!F132/1000</f>
        <v>1.915</v>
      </c>
      <c r="AN182" s="54">
        <f t="shared" si="404"/>
        <v>1.2187678797702988E-4</v>
      </c>
      <c r="AO182" s="468">
        <f t="shared" si="368"/>
        <v>-0.61699999999999999</v>
      </c>
      <c r="AP182" s="468" t="str">
        <f t="shared" si="369"/>
        <v/>
      </c>
      <c r="AQ182" s="344"/>
      <c r="AR182" s="54" t="str">
        <f t="shared" si="405"/>
        <v/>
      </c>
      <c r="AS182" s="238">
        <v>2</v>
      </c>
      <c r="AT182" s="54">
        <f t="shared" si="406"/>
        <v>1.326259946949602E-4</v>
      </c>
      <c r="AU182" s="353">
        <f>+Расходы!G132/1000</f>
        <v>2.0150000000000001</v>
      </c>
      <c r="AV182" s="54">
        <f t="shared" si="407"/>
        <v>1.4137026443816614E-4</v>
      </c>
      <c r="AW182" s="468">
        <f t="shared" si="370"/>
        <v>7.5000000000000622E-3</v>
      </c>
      <c r="AX182" s="468" t="str">
        <f t="shared" si="371"/>
        <v/>
      </c>
      <c r="AY182" s="344"/>
      <c r="AZ182" s="54" t="str">
        <f t="shared" si="408"/>
        <v/>
      </c>
      <c r="BA182" s="238">
        <v>2</v>
      </c>
      <c r="BB182" s="54">
        <f t="shared" si="409"/>
        <v>1.2765278442636031E-4</v>
      </c>
      <c r="BC182" s="353">
        <f>+Расходы!H132/1000</f>
        <v>0</v>
      </c>
      <c r="BD182" s="54" t="str">
        <f t="shared" si="410"/>
        <v/>
      </c>
      <c r="BE182" s="468">
        <f t="shared" si="372"/>
        <v>-1</v>
      </c>
      <c r="BF182" s="468" t="str">
        <f t="shared" si="373"/>
        <v/>
      </c>
      <c r="BG182" s="344"/>
      <c r="BH182" s="54" t="str">
        <f t="shared" si="411"/>
        <v/>
      </c>
      <c r="BI182" s="238">
        <v>2</v>
      </c>
      <c r="BJ182" s="54">
        <f t="shared" si="412"/>
        <v>1.2765278442636031E-4</v>
      </c>
      <c r="BK182" s="353">
        <f>+Расходы!I132/1000</f>
        <v>0</v>
      </c>
      <c r="BL182" s="54" t="str">
        <f t="shared" si="413"/>
        <v/>
      </c>
      <c r="BM182" s="468">
        <f t="shared" si="374"/>
        <v>-1</v>
      </c>
      <c r="BN182" s="468" t="str">
        <f t="shared" si="375"/>
        <v/>
      </c>
      <c r="BO182" s="344"/>
      <c r="BP182" s="54" t="str">
        <f t="shared" si="414"/>
        <v/>
      </c>
      <c r="BQ182" s="238">
        <v>2</v>
      </c>
      <c r="BR182" s="54">
        <f t="shared" si="415"/>
        <v>1.3812154696132598E-4</v>
      </c>
      <c r="BS182" s="353">
        <f>+Расходы!J132/1000</f>
        <v>0</v>
      </c>
      <c r="BT182" s="54" t="str">
        <f t="shared" si="416"/>
        <v/>
      </c>
      <c r="BU182" s="468">
        <f t="shared" si="376"/>
        <v>-1</v>
      </c>
      <c r="BV182" s="468" t="str">
        <f t="shared" si="377"/>
        <v/>
      </c>
      <c r="BW182" s="344"/>
      <c r="BX182" s="54" t="str">
        <f t="shared" si="417"/>
        <v/>
      </c>
      <c r="BY182" s="238">
        <v>0</v>
      </c>
      <c r="BZ182" s="54" t="str">
        <f t="shared" si="418"/>
        <v/>
      </c>
      <c r="CA182" s="353">
        <f>+Расходы!K132/1000</f>
        <v>0</v>
      </c>
      <c r="CB182" s="54" t="str">
        <f t="shared" si="419"/>
        <v/>
      </c>
      <c r="CC182" s="468" t="str">
        <f t="shared" si="378"/>
        <v/>
      </c>
      <c r="CD182" s="468" t="str">
        <f t="shared" si="379"/>
        <v/>
      </c>
      <c r="CE182" s="344"/>
      <c r="CF182" s="54" t="str">
        <f t="shared" si="420"/>
        <v/>
      </c>
      <c r="CG182" s="238">
        <v>0</v>
      </c>
      <c r="CH182" s="54" t="str">
        <f t="shared" si="421"/>
        <v/>
      </c>
      <c r="CI182" s="353">
        <f>+Расходы!L132/1000</f>
        <v>0</v>
      </c>
      <c r="CJ182" s="54" t="str">
        <f t="shared" si="422"/>
        <v/>
      </c>
      <c r="CK182" s="468" t="str">
        <f t="shared" si="380"/>
        <v/>
      </c>
      <c r="CL182" s="468" t="str">
        <f t="shared" si="381"/>
        <v/>
      </c>
      <c r="CM182" s="344"/>
      <c r="CN182" s="54" t="str">
        <f t="shared" si="423"/>
        <v/>
      </c>
      <c r="CO182" s="238">
        <v>0</v>
      </c>
      <c r="CP182" s="54" t="str">
        <f t="shared" si="424"/>
        <v/>
      </c>
      <c r="CQ182" s="353">
        <f>+Расходы!M132/1000</f>
        <v>0</v>
      </c>
      <c r="CR182" s="54" t="str">
        <f t="shared" si="425"/>
        <v/>
      </c>
      <c r="CS182" s="468" t="str">
        <f t="shared" si="382"/>
        <v/>
      </c>
      <c r="CT182" s="468" t="str">
        <f t="shared" si="383"/>
        <v/>
      </c>
      <c r="CU182" s="344">
        <f t="shared" si="292"/>
        <v>0</v>
      </c>
      <c r="CV182" s="54" t="str">
        <f t="shared" si="384"/>
        <v/>
      </c>
      <c r="CW182" s="238">
        <f t="shared" si="293"/>
        <v>20</v>
      </c>
      <c r="CX182" s="54">
        <f t="shared" si="385"/>
        <v>1.5081821654956335E-4</v>
      </c>
      <c r="CY182" s="353">
        <f t="shared" si="386"/>
        <v>3.93</v>
      </c>
      <c r="CZ182" s="54">
        <f t="shared" si="387"/>
        <v>7.9219430990411601E-5</v>
      </c>
      <c r="DA182" s="468">
        <f t="shared" si="388"/>
        <v>-0.80349999999999999</v>
      </c>
      <c r="DB182" s="468" t="str">
        <f t="shared" si="389"/>
        <v/>
      </c>
    </row>
    <row r="183" spans="2:106" s="103" customFormat="1" ht="13.15" customHeight="1" outlineLevel="2">
      <c r="B183" s="61" t="str">
        <f>+Расходы!A133</f>
        <v>Одноразовые приборы</v>
      </c>
      <c r="C183" s="238"/>
      <c r="D183" s="54" t="str">
        <f t="shared" si="390"/>
        <v/>
      </c>
      <c r="E183" s="238"/>
      <c r="F183" s="54" t="str">
        <f t="shared" si="391"/>
        <v/>
      </c>
      <c r="G183" s="353">
        <f>+Расходы!B133/1000</f>
        <v>0</v>
      </c>
      <c r="H183" s="54" t="str">
        <f t="shared" si="392"/>
        <v/>
      </c>
      <c r="I183" s="468" t="str">
        <f t="shared" si="360"/>
        <v/>
      </c>
      <c r="J183" s="468" t="str">
        <f t="shared" si="361"/>
        <v/>
      </c>
      <c r="K183" s="238"/>
      <c r="L183" s="54" t="str">
        <f t="shared" si="393"/>
        <v/>
      </c>
      <c r="M183" s="238"/>
      <c r="N183" s="54" t="str">
        <f t="shared" si="394"/>
        <v/>
      </c>
      <c r="O183" s="353">
        <f>+Расходы!C133/1000</f>
        <v>0</v>
      </c>
      <c r="P183" s="54" t="str">
        <f t="shared" si="395"/>
        <v/>
      </c>
      <c r="Q183" s="468" t="str">
        <f t="shared" si="362"/>
        <v/>
      </c>
      <c r="R183" s="468" t="str">
        <f t="shared" si="363"/>
        <v/>
      </c>
      <c r="S183" s="238"/>
      <c r="T183" s="54" t="str">
        <f t="shared" si="396"/>
        <v/>
      </c>
      <c r="U183" s="238">
        <v>0</v>
      </c>
      <c r="V183" s="54" t="str">
        <f t="shared" si="397"/>
        <v/>
      </c>
      <c r="W183" s="353">
        <f>+Расходы!D133/1000</f>
        <v>0</v>
      </c>
      <c r="X183" s="54" t="str">
        <f t="shared" si="398"/>
        <v/>
      </c>
      <c r="Y183" s="468" t="str">
        <f t="shared" si="364"/>
        <v/>
      </c>
      <c r="Z183" s="468" t="str">
        <f t="shared" si="365"/>
        <v/>
      </c>
      <c r="AA183" s="238"/>
      <c r="AB183" s="54" t="str">
        <f t="shared" si="399"/>
        <v/>
      </c>
      <c r="AC183" s="238">
        <v>5</v>
      </c>
      <c r="AD183" s="54">
        <f t="shared" si="400"/>
        <v>3.6571522194525391E-4</v>
      </c>
      <c r="AE183" s="353">
        <f>+Расходы!E133/1000</f>
        <v>0</v>
      </c>
      <c r="AF183" s="54" t="str">
        <f t="shared" si="401"/>
        <v/>
      </c>
      <c r="AG183" s="468">
        <f t="shared" si="366"/>
        <v>-1</v>
      </c>
      <c r="AH183" s="468" t="str">
        <f t="shared" si="367"/>
        <v/>
      </c>
      <c r="AI183" s="238"/>
      <c r="AJ183" s="54" t="str">
        <f t="shared" si="402"/>
        <v/>
      </c>
      <c r="AK183" s="238">
        <v>5</v>
      </c>
      <c r="AL183" s="54">
        <f t="shared" si="403"/>
        <v>3.5785857429144005E-4</v>
      </c>
      <c r="AM183" s="353">
        <f>+Расходы!F133/1000</f>
        <v>0</v>
      </c>
      <c r="AN183" s="54" t="str">
        <f t="shared" si="404"/>
        <v/>
      </c>
      <c r="AO183" s="468">
        <f t="shared" si="368"/>
        <v>-1</v>
      </c>
      <c r="AP183" s="468" t="str">
        <f t="shared" si="369"/>
        <v/>
      </c>
      <c r="AQ183" s="344"/>
      <c r="AR183" s="54" t="str">
        <f t="shared" si="405"/>
        <v/>
      </c>
      <c r="AS183" s="238">
        <v>0</v>
      </c>
      <c r="AT183" s="54" t="str">
        <f t="shared" si="406"/>
        <v/>
      </c>
      <c r="AU183" s="353">
        <f>+Расходы!G133/1000</f>
        <v>0</v>
      </c>
      <c r="AV183" s="54" t="str">
        <f t="shared" si="407"/>
        <v/>
      </c>
      <c r="AW183" s="468" t="str">
        <f t="shared" si="370"/>
        <v/>
      </c>
      <c r="AX183" s="468" t="str">
        <f t="shared" si="371"/>
        <v/>
      </c>
      <c r="AY183" s="344"/>
      <c r="AZ183" s="54" t="str">
        <f t="shared" si="408"/>
        <v/>
      </c>
      <c r="BA183" s="238">
        <v>0</v>
      </c>
      <c r="BB183" s="54" t="str">
        <f t="shared" si="409"/>
        <v/>
      </c>
      <c r="BC183" s="353">
        <f>+Расходы!H133/1000</f>
        <v>0</v>
      </c>
      <c r="BD183" s="54" t="str">
        <f t="shared" si="410"/>
        <v/>
      </c>
      <c r="BE183" s="468" t="str">
        <f t="shared" si="372"/>
        <v/>
      </c>
      <c r="BF183" s="468" t="str">
        <f t="shared" si="373"/>
        <v/>
      </c>
      <c r="BG183" s="344"/>
      <c r="BH183" s="54" t="str">
        <f t="shared" si="411"/>
        <v/>
      </c>
      <c r="BI183" s="238">
        <v>0</v>
      </c>
      <c r="BJ183" s="54" t="str">
        <f t="shared" si="412"/>
        <v/>
      </c>
      <c r="BK183" s="353">
        <f>+Расходы!I133/1000</f>
        <v>0</v>
      </c>
      <c r="BL183" s="54" t="str">
        <f t="shared" si="413"/>
        <v/>
      </c>
      <c r="BM183" s="468" t="str">
        <f t="shared" si="374"/>
        <v/>
      </c>
      <c r="BN183" s="468" t="str">
        <f t="shared" si="375"/>
        <v/>
      </c>
      <c r="BO183" s="344"/>
      <c r="BP183" s="54" t="str">
        <f t="shared" si="414"/>
        <v/>
      </c>
      <c r="BQ183" s="238">
        <v>0</v>
      </c>
      <c r="BR183" s="54" t="str">
        <f t="shared" si="415"/>
        <v/>
      </c>
      <c r="BS183" s="353">
        <f>+Расходы!J133/1000</f>
        <v>0</v>
      </c>
      <c r="BT183" s="54" t="str">
        <f t="shared" si="416"/>
        <v/>
      </c>
      <c r="BU183" s="468" t="str">
        <f t="shared" si="376"/>
        <v/>
      </c>
      <c r="BV183" s="468" t="str">
        <f t="shared" si="377"/>
        <v/>
      </c>
      <c r="BW183" s="344"/>
      <c r="BX183" s="54" t="str">
        <f t="shared" si="417"/>
        <v/>
      </c>
      <c r="BY183" s="238">
        <v>0</v>
      </c>
      <c r="BZ183" s="54" t="str">
        <f t="shared" si="418"/>
        <v/>
      </c>
      <c r="CA183" s="353">
        <f>+Расходы!K133/1000</f>
        <v>0</v>
      </c>
      <c r="CB183" s="54" t="str">
        <f t="shared" si="419"/>
        <v/>
      </c>
      <c r="CC183" s="468" t="str">
        <f t="shared" si="378"/>
        <v/>
      </c>
      <c r="CD183" s="468" t="str">
        <f t="shared" si="379"/>
        <v/>
      </c>
      <c r="CE183" s="344"/>
      <c r="CF183" s="54" t="str">
        <f t="shared" si="420"/>
        <v/>
      </c>
      <c r="CG183" s="238">
        <v>0</v>
      </c>
      <c r="CH183" s="54" t="str">
        <f t="shared" si="421"/>
        <v/>
      </c>
      <c r="CI183" s="353">
        <f>+Расходы!L133/1000</f>
        <v>0</v>
      </c>
      <c r="CJ183" s="54" t="str">
        <f t="shared" si="422"/>
        <v/>
      </c>
      <c r="CK183" s="468" t="str">
        <f t="shared" si="380"/>
        <v/>
      </c>
      <c r="CL183" s="468" t="str">
        <f t="shared" si="381"/>
        <v/>
      </c>
      <c r="CM183" s="344"/>
      <c r="CN183" s="54" t="str">
        <f t="shared" si="423"/>
        <v/>
      </c>
      <c r="CO183" s="238">
        <v>0</v>
      </c>
      <c r="CP183" s="54" t="str">
        <f t="shared" si="424"/>
        <v/>
      </c>
      <c r="CQ183" s="353">
        <f>+Расходы!M133/1000</f>
        <v>0</v>
      </c>
      <c r="CR183" s="54" t="str">
        <f t="shared" si="425"/>
        <v/>
      </c>
      <c r="CS183" s="468" t="str">
        <f t="shared" si="382"/>
        <v/>
      </c>
      <c r="CT183" s="468" t="str">
        <f t="shared" si="383"/>
        <v/>
      </c>
      <c r="CU183" s="344">
        <f t="shared" si="292"/>
        <v>0</v>
      </c>
      <c r="CV183" s="54" t="str">
        <f t="shared" si="384"/>
        <v/>
      </c>
      <c r="CW183" s="238">
        <f t="shared" si="293"/>
        <v>10</v>
      </c>
      <c r="CX183" s="54">
        <f t="shared" si="385"/>
        <v>7.5409108274781674E-5</v>
      </c>
      <c r="CY183" s="353">
        <f t="shared" si="386"/>
        <v>0</v>
      </c>
      <c r="CZ183" s="54">
        <f t="shared" si="387"/>
        <v>0</v>
      </c>
      <c r="DA183" s="468">
        <f t="shared" si="388"/>
        <v>-1</v>
      </c>
      <c r="DB183" s="468" t="str">
        <f t="shared" si="389"/>
        <v/>
      </c>
    </row>
    <row r="184" spans="2:106" s="103" customFormat="1" ht="13.15" customHeight="1" outlineLevel="2">
      <c r="B184" s="61" t="str">
        <f>+Расходы!A134</f>
        <v>Почтовые расходы</v>
      </c>
      <c r="C184" s="238"/>
      <c r="D184" s="54" t="str">
        <f t="shared" si="390"/>
        <v/>
      </c>
      <c r="E184" s="238"/>
      <c r="F184" s="54" t="str">
        <f t="shared" si="391"/>
        <v/>
      </c>
      <c r="G184" s="353">
        <f>+Расходы!B134/1000</f>
        <v>0</v>
      </c>
      <c r="H184" s="54" t="str">
        <f t="shared" si="392"/>
        <v/>
      </c>
      <c r="I184" s="468" t="str">
        <f t="shared" si="360"/>
        <v/>
      </c>
      <c r="J184" s="468" t="str">
        <f t="shared" si="361"/>
        <v/>
      </c>
      <c r="K184" s="238"/>
      <c r="L184" s="54" t="str">
        <f t="shared" si="393"/>
        <v/>
      </c>
      <c r="M184" s="238"/>
      <c r="N184" s="54" t="str">
        <f t="shared" si="394"/>
        <v/>
      </c>
      <c r="O184" s="353">
        <f>+Расходы!C134/1000</f>
        <v>0</v>
      </c>
      <c r="P184" s="54" t="str">
        <f t="shared" si="395"/>
        <v/>
      </c>
      <c r="Q184" s="468" t="str">
        <f t="shared" si="362"/>
        <v/>
      </c>
      <c r="R184" s="468" t="str">
        <f t="shared" si="363"/>
        <v/>
      </c>
      <c r="S184" s="238"/>
      <c r="T184" s="54" t="str">
        <f t="shared" si="396"/>
        <v/>
      </c>
      <c r="U184" s="238">
        <v>0</v>
      </c>
      <c r="V184" s="54" t="str">
        <f t="shared" si="397"/>
        <v/>
      </c>
      <c r="W184" s="353">
        <f>+Расходы!D134/1000</f>
        <v>0.27</v>
      </c>
      <c r="X184" s="54">
        <f t="shared" si="398"/>
        <v>4.5531965125887454E-5</v>
      </c>
      <c r="Y184" s="468" t="str">
        <f t="shared" si="364"/>
        <v/>
      </c>
      <c r="Z184" s="468" t="str">
        <f t="shared" si="365"/>
        <v/>
      </c>
      <c r="AA184" s="238"/>
      <c r="AB184" s="54" t="str">
        <f t="shared" si="399"/>
        <v/>
      </c>
      <c r="AC184" s="238">
        <v>0</v>
      </c>
      <c r="AD184" s="54" t="str">
        <f t="shared" si="400"/>
        <v/>
      </c>
      <c r="AE184" s="353">
        <f>+Расходы!E134/1000</f>
        <v>0.35502</v>
      </c>
      <c r="AF184" s="54">
        <f t="shared" si="401"/>
        <v>2.5888924539859404E-5</v>
      </c>
      <c r="AG184" s="468" t="str">
        <f t="shared" si="366"/>
        <v/>
      </c>
      <c r="AH184" s="468" t="str">
        <f t="shared" si="367"/>
        <v/>
      </c>
      <c r="AI184" s="238"/>
      <c r="AJ184" s="54" t="str">
        <f t="shared" si="402"/>
        <v/>
      </c>
      <c r="AK184" s="238">
        <v>0</v>
      </c>
      <c r="AL184" s="54" t="str">
        <f t="shared" si="403"/>
        <v/>
      </c>
      <c r="AM184" s="353">
        <f>+Расходы!F134/1000</f>
        <v>0</v>
      </c>
      <c r="AN184" s="54" t="str">
        <f t="shared" si="404"/>
        <v/>
      </c>
      <c r="AO184" s="468" t="str">
        <f t="shared" si="368"/>
        <v/>
      </c>
      <c r="AP184" s="468" t="str">
        <f t="shared" si="369"/>
        <v/>
      </c>
      <c r="AQ184" s="344"/>
      <c r="AR184" s="54" t="str">
        <f t="shared" si="405"/>
        <v/>
      </c>
      <c r="AS184" s="238">
        <v>0</v>
      </c>
      <c r="AT184" s="54" t="str">
        <f t="shared" si="406"/>
        <v/>
      </c>
      <c r="AU184" s="353">
        <f>+Расходы!G134/1000</f>
        <v>0</v>
      </c>
      <c r="AV184" s="54" t="str">
        <f t="shared" si="407"/>
        <v/>
      </c>
      <c r="AW184" s="468" t="str">
        <f t="shared" si="370"/>
        <v/>
      </c>
      <c r="AX184" s="468" t="str">
        <f t="shared" si="371"/>
        <v/>
      </c>
      <c r="AY184" s="344"/>
      <c r="AZ184" s="54" t="str">
        <f t="shared" si="408"/>
        <v/>
      </c>
      <c r="BA184" s="238">
        <v>0</v>
      </c>
      <c r="BB184" s="54" t="str">
        <f t="shared" si="409"/>
        <v/>
      </c>
      <c r="BC184" s="353">
        <f>+Расходы!H134/1000</f>
        <v>0</v>
      </c>
      <c r="BD184" s="54" t="str">
        <f t="shared" si="410"/>
        <v/>
      </c>
      <c r="BE184" s="468" t="str">
        <f t="shared" si="372"/>
        <v/>
      </c>
      <c r="BF184" s="468" t="str">
        <f t="shared" si="373"/>
        <v/>
      </c>
      <c r="BG184" s="344"/>
      <c r="BH184" s="54" t="str">
        <f t="shared" si="411"/>
        <v/>
      </c>
      <c r="BI184" s="238">
        <v>0</v>
      </c>
      <c r="BJ184" s="54" t="str">
        <f t="shared" si="412"/>
        <v/>
      </c>
      <c r="BK184" s="353">
        <f>+Расходы!I134/1000</f>
        <v>0</v>
      </c>
      <c r="BL184" s="54" t="str">
        <f t="shared" si="413"/>
        <v/>
      </c>
      <c r="BM184" s="468" t="str">
        <f t="shared" si="374"/>
        <v/>
      </c>
      <c r="BN184" s="468" t="str">
        <f t="shared" si="375"/>
        <v/>
      </c>
      <c r="BO184" s="344"/>
      <c r="BP184" s="54" t="str">
        <f t="shared" si="414"/>
        <v/>
      </c>
      <c r="BQ184" s="238">
        <v>0</v>
      </c>
      <c r="BR184" s="54" t="str">
        <f t="shared" si="415"/>
        <v/>
      </c>
      <c r="BS184" s="353">
        <f>+Расходы!J134/1000</f>
        <v>0</v>
      </c>
      <c r="BT184" s="54" t="str">
        <f t="shared" si="416"/>
        <v/>
      </c>
      <c r="BU184" s="468" t="str">
        <f t="shared" si="376"/>
        <v/>
      </c>
      <c r="BV184" s="468" t="str">
        <f t="shared" si="377"/>
        <v/>
      </c>
      <c r="BW184" s="344"/>
      <c r="BX184" s="54" t="str">
        <f t="shared" si="417"/>
        <v/>
      </c>
      <c r="BY184" s="238">
        <v>0</v>
      </c>
      <c r="BZ184" s="54" t="str">
        <f t="shared" si="418"/>
        <v/>
      </c>
      <c r="CA184" s="353">
        <f>+Расходы!K134/1000</f>
        <v>0</v>
      </c>
      <c r="CB184" s="54" t="str">
        <f t="shared" si="419"/>
        <v/>
      </c>
      <c r="CC184" s="468" t="str">
        <f t="shared" si="378"/>
        <v/>
      </c>
      <c r="CD184" s="468" t="str">
        <f t="shared" si="379"/>
        <v/>
      </c>
      <c r="CE184" s="344"/>
      <c r="CF184" s="54" t="str">
        <f t="shared" si="420"/>
        <v/>
      </c>
      <c r="CG184" s="238">
        <v>0</v>
      </c>
      <c r="CH184" s="54" t="str">
        <f t="shared" si="421"/>
        <v/>
      </c>
      <c r="CI184" s="353">
        <f>+Расходы!L134/1000</f>
        <v>0</v>
      </c>
      <c r="CJ184" s="54" t="str">
        <f t="shared" si="422"/>
        <v/>
      </c>
      <c r="CK184" s="468" t="str">
        <f t="shared" si="380"/>
        <v/>
      </c>
      <c r="CL184" s="468" t="str">
        <f t="shared" si="381"/>
        <v/>
      </c>
      <c r="CM184" s="344"/>
      <c r="CN184" s="54" t="str">
        <f t="shared" si="423"/>
        <v/>
      </c>
      <c r="CO184" s="238">
        <v>0</v>
      </c>
      <c r="CP184" s="54" t="str">
        <f t="shared" si="424"/>
        <v/>
      </c>
      <c r="CQ184" s="353">
        <f>+Расходы!M134/1000</f>
        <v>0</v>
      </c>
      <c r="CR184" s="54" t="str">
        <f t="shared" si="425"/>
        <v/>
      </c>
      <c r="CS184" s="468" t="str">
        <f t="shared" si="382"/>
        <v/>
      </c>
      <c r="CT184" s="468" t="str">
        <f t="shared" si="383"/>
        <v/>
      </c>
      <c r="CU184" s="344">
        <f t="shared" si="292"/>
        <v>0</v>
      </c>
      <c r="CV184" s="54" t="str">
        <f t="shared" si="384"/>
        <v/>
      </c>
      <c r="CW184" s="238">
        <f t="shared" si="293"/>
        <v>0</v>
      </c>
      <c r="CX184" s="54">
        <f t="shared" si="385"/>
        <v>0</v>
      </c>
      <c r="CY184" s="353">
        <f t="shared" si="386"/>
        <v>0.62502000000000002</v>
      </c>
      <c r="CZ184" s="54">
        <f t="shared" si="387"/>
        <v>1.2598913169879659E-5</v>
      </c>
      <c r="DA184" s="468" t="str">
        <f t="shared" si="388"/>
        <v/>
      </c>
      <c r="DB184" s="468" t="str">
        <f t="shared" si="389"/>
        <v/>
      </c>
    </row>
    <row r="185" spans="2:106" s="103" customFormat="1" ht="13.15" customHeight="1" outlineLevel="2">
      <c r="B185" s="61" t="str">
        <f>+Расходы!A135</f>
        <v>Расходно-хозяйственные материалы (салфетки, полотенца, бумага, губки, тряпки)</v>
      </c>
      <c r="C185" s="238"/>
      <c r="D185" s="54" t="str">
        <f t="shared" si="390"/>
        <v/>
      </c>
      <c r="E185" s="238"/>
      <c r="F185" s="54" t="str">
        <f t="shared" si="391"/>
        <v/>
      </c>
      <c r="G185" s="353">
        <f>+Расходы!B135/1000</f>
        <v>0</v>
      </c>
      <c r="H185" s="54" t="str">
        <f t="shared" si="392"/>
        <v/>
      </c>
      <c r="I185" s="468" t="str">
        <f t="shared" si="360"/>
        <v/>
      </c>
      <c r="J185" s="468" t="str">
        <f t="shared" si="361"/>
        <v/>
      </c>
      <c r="K185" s="238"/>
      <c r="L185" s="54" t="str">
        <f t="shared" si="393"/>
        <v/>
      </c>
      <c r="M185" s="238"/>
      <c r="N185" s="54" t="str">
        <f t="shared" si="394"/>
        <v/>
      </c>
      <c r="O185" s="353">
        <f>+Расходы!C135/1000</f>
        <v>0</v>
      </c>
      <c r="P185" s="54" t="str">
        <f t="shared" si="395"/>
        <v/>
      </c>
      <c r="Q185" s="468" t="str">
        <f t="shared" si="362"/>
        <v/>
      </c>
      <c r="R185" s="468" t="str">
        <f t="shared" si="363"/>
        <v/>
      </c>
      <c r="S185" s="238"/>
      <c r="T185" s="54" t="str">
        <f t="shared" si="396"/>
        <v/>
      </c>
      <c r="U185" s="238">
        <v>0</v>
      </c>
      <c r="V185" s="54" t="str">
        <f t="shared" si="397"/>
        <v/>
      </c>
      <c r="W185" s="353">
        <f>+Расходы!D135/1000</f>
        <v>11.75156</v>
      </c>
      <c r="X185" s="54">
        <f t="shared" si="398"/>
        <v>1.9817467410917552E-3</v>
      </c>
      <c r="Y185" s="468" t="str">
        <f t="shared" si="364"/>
        <v/>
      </c>
      <c r="Z185" s="468" t="str">
        <f t="shared" si="365"/>
        <v/>
      </c>
      <c r="AA185" s="238"/>
      <c r="AB185" s="54" t="str">
        <f t="shared" si="399"/>
        <v/>
      </c>
      <c r="AC185" s="238">
        <v>70</v>
      </c>
      <c r="AD185" s="54">
        <f t="shared" si="400"/>
        <v>5.1200131072335541E-3</v>
      </c>
      <c r="AE185" s="353">
        <f>+Расходы!E135/1000</f>
        <v>25.151109999999999</v>
      </c>
      <c r="AF185" s="54">
        <f t="shared" si="401"/>
        <v>1.8340803021905899E-3</v>
      </c>
      <c r="AG185" s="468">
        <f t="shared" si="366"/>
        <v>-0.64069842857142856</v>
      </c>
      <c r="AH185" s="468" t="str">
        <f t="shared" si="367"/>
        <v/>
      </c>
      <c r="AI185" s="238"/>
      <c r="AJ185" s="54" t="str">
        <f t="shared" si="402"/>
        <v/>
      </c>
      <c r="AK185" s="238">
        <v>80</v>
      </c>
      <c r="AL185" s="54">
        <f t="shared" si="403"/>
        <v>5.7257371886630408E-3</v>
      </c>
      <c r="AM185" s="353">
        <f>+Расходы!F135/1000</f>
        <v>176.68270999999999</v>
      </c>
      <c r="AN185" s="54">
        <f t="shared" si="404"/>
        <v>1.1244658582703423E-2</v>
      </c>
      <c r="AO185" s="468">
        <f t="shared" si="368"/>
        <v>1.2085338749999996</v>
      </c>
      <c r="AP185" s="468" t="str">
        <f t="shared" si="369"/>
        <v/>
      </c>
      <c r="AQ185" s="344"/>
      <c r="AR185" s="54" t="str">
        <f t="shared" si="405"/>
        <v/>
      </c>
      <c r="AS185" s="238">
        <v>100</v>
      </c>
      <c r="AT185" s="54">
        <f t="shared" si="406"/>
        <v>6.6312997347480109E-3</v>
      </c>
      <c r="AU185" s="353">
        <f>+Расходы!G135/1000</f>
        <v>84.003240000000005</v>
      </c>
      <c r="AV185" s="54">
        <f t="shared" si="407"/>
        <v>5.893578289063393E-3</v>
      </c>
      <c r="AW185" s="468">
        <f t="shared" si="370"/>
        <v>-0.15996759999999999</v>
      </c>
      <c r="AX185" s="468" t="str">
        <f t="shared" si="371"/>
        <v/>
      </c>
      <c r="AY185" s="344"/>
      <c r="AZ185" s="54" t="str">
        <f t="shared" si="408"/>
        <v/>
      </c>
      <c r="BA185" s="238">
        <v>100</v>
      </c>
      <c r="BB185" s="54">
        <f t="shared" si="409"/>
        <v>6.382639221318015E-3</v>
      </c>
      <c r="BC185" s="353">
        <f>+Расходы!H135/1000</f>
        <v>0</v>
      </c>
      <c r="BD185" s="54" t="str">
        <f t="shared" si="410"/>
        <v/>
      </c>
      <c r="BE185" s="468">
        <f t="shared" si="372"/>
        <v>-1</v>
      </c>
      <c r="BF185" s="468" t="str">
        <f t="shared" si="373"/>
        <v/>
      </c>
      <c r="BG185" s="344"/>
      <c r="BH185" s="54" t="str">
        <f t="shared" si="411"/>
        <v/>
      </c>
      <c r="BI185" s="238">
        <v>100</v>
      </c>
      <c r="BJ185" s="54">
        <f t="shared" si="412"/>
        <v>6.382639221318015E-3</v>
      </c>
      <c r="BK185" s="353">
        <f>+Расходы!I135/1000</f>
        <v>0</v>
      </c>
      <c r="BL185" s="54" t="str">
        <f t="shared" si="413"/>
        <v/>
      </c>
      <c r="BM185" s="468">
        <f t="shared" si="374"/>
        <v>-1</v>
      </c>
      <c r="BN185" s="468" t="str">
        <f t="shared" si="375"/>
        <v/>
      </c>
      <c r="BO185" s="344"/>
      <c r="BP185" s="54" t="str">
        <f t="shared" si="414"/>
        <v/>
      </c>
      <c r="BQ185" s="238">
        <v>100</v>
      </c>
      <c r="BR185" s="54">
        <f t="shared" si="415"/>
        <v>6.9060773480662981E-3</v>
      </c>
      <c r="BS185" s="353">
        <f>+Расходы!J135/1000</f>
        <v>0</v>
      </c>
      <c r="BT185" s="54" t="str">
        <f t="shared" si="416"/>
        <v/>
      </c>
      <c r="BU185" s="468">
        <f t="shared" si="376"/>
        <v>-1</v>
      </c>
      <c r="BV185" s="468" t="str">
        <f t="shared" si="377"/>
        <v/>
      </c>
      <c r="BW185" s="344"/>
      <c r="BX185" s="54" t="str">
        <f t="shared" si="417"/>
        <v/>
      </c>
      <c r="BY185" s="238">
        <v>0</v>
      </c>
      <c r="BZ185" s="54" t="str">
        <f t="shared" si="418"/>
        <v/>
      </c>
      <c r="CA185" s="353">
        <f>+Расходы!K135/1000</f>
        <v>0</v>
      </c>
      <c r="CB185" s="54" t="str">
        <f t="shared" si="419"/>
        <v/>
      </c>
      <c r="CC185" s="468" t="str">
        <f t="shared" si="378"/>
        <v/>
      </c>
      <c r="CD185" s="468" t="str">
        <f t="shared" si="379"/>
        <v/>
      </c>
      <c r="CE185" s="344"/>
      <c r="CF185" s="54" t="str">
        <f t="shared" si="420"/>
        <v/>
      </c>
      <c r="CG185" s="238">
        <v>0</v>
      </c>
      <c r="CH185" s="54" t="str">
        <f t="shared" si="421"/>
        <v/>
      </c>
      <c r="CI185" s="353">
        <f>+Расходы!L135/1000</f>
        <v>0</v>
      </c>
      <c r="CJ185" s="54" t="str">
        <f t="shared" si="422"/>
        <v/>
      </c>
      <c r="CK185" s="468" t="str">
        <f t="shared" si="380"/>
        <v/>
      </c>
      <c r="CL185" s="468" t="str">
        <f t="shared" si="381"/>
        <v/>
      </c>
      <c r="CM185" s="344"/>
      <c r="CN185" s="54" t="str">
        <f t="shared" si="423"/>
        <v/>
      </c>
      <c r="CO185" s="238">
        <v>0</v>
      </c>
      <c r="CP185" s="54" t="str">
        <f t="shared" si="424"/>
        <v/>
      </c>
      <c r="CQ185" s="353">
        <f>+Расходы!M135/1000</f>
        <v>0</v>
      </c>
      <c r="CR185" s="54" t="str">
        <f t="shared" si="425"/>
        <v/>
      </c>
      <c r="CS185" s="468" t="str">
        <f t="shared" si="382"/>
        <v/>
      </c>
      <c r="CT185" s="468" t="str">
        <f t="shared" si="383"/>
        <v/>
      </c>
      <c r="CU185" s="344">
        <f t="shared" si="292"/>
        <v>0</v>
      </c>
      <c r="CV185" s="54" t="str">
        <f t="shared" si="384"/>
        <v/>
      </c>
      <c r="CW185" s="238">
        <f t="shared" si="293"/>
        <v>550</v>
      </c>
      <c r="CX185" s="54">
        <f t="shared" si="385"/>
        <v>4.1475009551129914E-3</v>
      </c>
      <c r="CY185" s="353">
        <f t="shared" si="386"/>
        <v>297.58861999999999</v>
      </c>
      <c r="CZ185" s="54">
        <f t="shared" si="387"/>
        <v>5.9986771362905396E-3</v>
      </c>
      <c r="DA185" s="468">
        <f t="shared" si="388"/>
        <v>-0.45892978181818178</v>
      </c>
      <c r="DB185" s="468" t="str">
        <f t="shared" si="389"/>
        <v/>
      </c>
    </row>
    <row r="186" spans="2:106" s="103" customFormat="1" ht="13.15" customHeight="1" outlineLevel="2">
      <c r="B186" s="61" t="str">
        <f>+Расходы!A136</f>
        <v>Расходные ленты (принтер чеков, терминал, этикетки)</v>
      </c>
      <c r="C186" s="238"/>
      <c r="D186" s="54" t="str">
        <f t="shared" si="390"/>
        <v/>
      </c>
      <c r="E186" s="238"/>
      <c r="F186" s="54" t="str">
        <f t="shared" si="391"/>
        <v/>
      </c>
      <c r="G186" s="353">
        <f>+Расходы!B136/1000</f>
        <v>0</v>
      </c>
      <c r="H186" s="54" t="str">
        <f t="shared" si="392"/>
        <v/>
      </c>
      <c r="I186" s="468" t="str">
        <f t="shared" si="360"/>
        <v/>
      </c>
      <c r="J186" s="468" t="str">
        <f t="shared" si="361"/>
        <v/>
      </c>
      <c r="K186" s="238"/>
      <c r="L186" s="54" t="str">
        <f t="shared" si="393"/>
        <v/>
      </c>
      <c r="M186" s="238"/>
      <c r="N186" s="54" t="str">
        <f t="shared" si="394"/>
        <v/>
      </c>
      <c r="O186" s="353">
        <f>+Расходы!C136/1000</f>
        <v>0</v>
      </c>
      <c r="P186" s="54" t="str">
        <f t="shared" si="395"/>
        <v/>
      </c>
      <c r="Q186" s="468" t="str">
        <f t="shared" si="362"/>
        <v/>
      </c>
      <c r="R186" s="468" t="str">
        <f t="shared" si="363"/>
        <v/>
      </c>
      <c r="S186" s="238"/>
      <c r="T186" s="54" t="str">
        <f t="shared" si="396"/>
        <v/>
      </c>
      <c r="U186" s="238">
        <v>0</v>
      </c>
      <c r="V186" s="54" t="str">
        <f t="shared" si="397"/>
        <v/>
      </c>
      <c r="W186" s="353">
        <f>+Расходы!D136/1000</f>
        <v>3.0960000000000001</v>
      </c>
      <c r="X186" s="54">
        <f t="shared" si="398"/>
        <v>5.2209986677684284E-4</v>
      </c>
      <c r="Y186" s="468" t="str">
        <f t="shared" si="364"/>
        <v/>
      </c>
      <c r="Z186" s="468" t="str">
        <f t="shared" si="365"/>
        <v/>
      </c>
      <c r="AA186" s="238"/>
      <c r="AB186" s="54" t="str">
        <f t="shared" si="399"/>
        <v/>
      </c>
      <c r="AC186" s="238">
        <v>15</v>
      </c>
      <c r="AD186" s="54">
        <f t="shared" si="400"/>
        <v>1.0971456658357616E-3</v>
      </c>
      <c r="AE186" s="353">
        <f>+Расходы!E136/1000</f>
        <v>0</v>
      </c>
      <c r="AF186" s="54" t="str">
        <f t="shared" si="401"/>
        <v/>
      </c>
      <c r="AG186" s="468">
        <f t="shared" si="366"/>
        <v>-1</v>
      </c>
      <c r="AH186" s="468" t="str">
        <f t="shared" si="367"/>
        <v/>
      </c>
      <c r="AI186" s="238"/>
      <c r="AJ186" s="54" t="str">
        <f t="shared" si="402"/>
        <v/>
      </c>
      <c r="AK186" s="238">
        <v>15</v>
      </c>
      <c r="AL186" s="54">
        <f t="shared" si="403"/>
        <v>1.0735757228743201E-3</v>
      </c>
      <c r="AM186" s="353">
        <f>+Расходы!F136/1000</f>
        <v>0.74156</v>
      </c>
      <c r="AN186" s="54">
        <f t="shared" si="404"/>
        <v>4.7195274617360981E-5</v>
      </c>
      <c r="AO186" s="468">
        <f t="shared" si="368"/>
        <v>-0.95056266666666667</v>
      </c>
      <c r="AP186" s="468" t="str">
        <f t="shared" si="369"/>
        <v/>
      </c>
      <c r="AQ186" s="344"/>
      <c r="AR186" s="54" t="str">
        <f t="shared" si="405"/>
        <v/>
      </c>
      <c r="AS186" s="238">
        <v>15</v>
      </c>
      <c r="AT186" s="54">
        <f t="shared" si="406"/>
        <v>9.9469496021220159E-4</v>
      </c>
      <c r="AU186" s="353">
        <f>+Расходы!G136/1000</f>
        <v>0.28000000000000003</v>
      </c>
      <c r="AV186" s="54">
        <f t="shared" si="407"/>
        <v>1.9644503246990833E-5</v>
      </c>
      <c r="AW186" s="468">
        <f t="shared" si="370"/>
        <v>-0.98133333333333328</v>
      </c>
      <c r="AX186" s="468" t="str">
        <f t="shared" si="371"/>
        <v/>
      </c>
      <c r="AY186" s="344"/>
      <c r="AZ186" s="54" t="str">
        <f t="shared" si="408"/>
        <v/>
      </c>
      <c r="BA186" s="238">
        <v>15</v>
      </c>
      <c r="BB186" s="54">
        <f t="shared" si="409"/>
        <v>9.5739588319770225E-4</v>
      </c>
      <c r="BC186" s="353">
        <f>+Расходы!H136/1000</f>
        <v>0</v>
      </c>
      <c r="BD186" s="54" t="str">
        <f t="shared" si="410"/>
        <v/>
      </c>
      <c r="BE186" s="468">
        <f t="shared" si="372"/>
        <v>-1</v>
      </c>
      <c r="BF186" s="468" t="str">
        <f t="shared" si="373"/>
        <v/>
      </c>
      <c r="BG186" s="344"/>
      <c r="BH186" s="54" t="str">
        <f t="shared" si="411"/>
        <v/>
      </c>
      <c r="BI186" s="238">
        <v>15</v>
      </c>
      <c r="BJ186" s="54">
        <f t="shared" si="412"/>
        <v>9.5739588319770225E-4</v>
      </c>
      <c r="BK186" s="353">
        <f>+Расходы!I136/1000</f>
        <v>0</v>
      </c>
      <c r="BL186" s="54" t="str">
        <f t="shared" si="413"/>
        <v/>
      </c>
      <c r="BM186" s="468">
        <f t="shared" si="374"/>
        <v>-1</v>
      </c>
      <c r="BN186" s="468" t="str">
        <f t="shared" si="375"/>
        <v/>
      </c>
      <c r="BO186" s="344"/>
      <c r="BP186" s="54" t="str">
        <f t="shared" si="414"/>
        <v/>
      </c>
      <c r="BQ186" s="238">
        <v>15</v>
      </c>
      <c r="BR186" s="54">
        <f t="shared" si="415"/>
        <v>1.0359116022099447E-3</v>
      </c>
      <c r="BS186" s="353">
        <f>+Расходы!J136/1000</f>
        <v>0</v>
      </c>
      <c r="BT186" s="54" t="str">
        <f t="shared" si="416"/>
        <v/>
      </c>
      <c r="BU186" s="468">
        <f t="shared" si="376"/>
        <v>-1</v>
      </c>
      <c r="BV186" s="468" t="str">
        <f t="shared" si="377"/>
        <v/>
      </c>
      <c r="BW186" s="344"/>
      <c r="BX186" s="54" t="str">
        <f t="shared" si="417"/>
        <v/>
      </c>
      <c r="BY186" s="238">
        <v>0</v>
      </c>
      <c r="BZ186" s="54" t="str">
        <f t="shared" si="418"/>
        <v/>
      </c>
      <c r="CA186" s="353">
        <f>+Расходы!K136/1000</f>
        <v>0</v>
      </c>
      <c r="CB186" s="54" t="str">
        <f t="shared" si="419"/>
        <v/>
      </c>
      <c r="CC186" s="468" t="str">
        <f t="shared" si="378"/>
        <v/>
      </c>
      <c r="CD186" s="468" t="str">
        <f t="shared" si="379"/>
        <v/>
      </c>
      <c r="CE186" s="344"/>
      <c r="CF186" s="54" t="str">
        <f t="shared" si="420"/>
        <v/>
      </c>
      <c r="CG186" s="238">
        <v>0</v>
      </c>
      <c r="CH186" s="54" t="str">
        <f t="shared" si="421"/>
        <v/>
      </c>
      <c r="CI186" s="353">
        <f>+Расходы!L136/1000</f>
        <v>0</v>
      </c>
      <c r="CJ186" s="54" t="str">
        <f t="shared" si="422"/>
        <v/>
      </c>
      <c r="CK186" s="468" t="str">
        <f t="shared" si="380"/>
        <v/>
      </c>
      <c r="CL186" s="468" t="str">
        <f t="shared" si="381"/>
        <v/>
      </c>
      <c r="CM186" s="344"/>
      <c r="CN186" s="54" t="str">
        <f t="shared" si="423"/>
        <v/>
      </c>
      <c r="CO186" s="238">
        <v>0</v>
      </c>
      <c r="CP186" s="54" t="str">
        <f t="shared" si="424"/>
        <v/>
      </c>
      <c r="CQ186" s="353">
        <f>+Расходы!M136/1000</f>
        <v>0</v>
      </c>
      <c r="CR186" s="54" t="str">
        <f t="shared" si="425"/>
        <v/>
      </c>
      <c r="CS186" s="468" t="str">
        <f t="shared" si="382"/>
        <v/>
      </c>
      <c r="CT186" s="468" t="str">
        <f t="shared" si="383"/>
        <v/>
      </c>
      <c r="CU186" s="344">
        <f t="shared" si="292"/>
        <v>0</v>
      </c>
      <c r="CV186" s="54" t="str">
        <f t="shared" si="384"/>
        <v/>
      </c>
      <c r="CW186" s="238">
        <f t="shared" si="293"/>
        <v>90</v>
      </c>
      <c r="CX186" s="54">
        <f t="shared" si="385"/>
        <v>6.7868197447303502E-4</v>
      </c>
      <c r="CY186" s="353">
        <f t="shared" si="386"/>
        <v>4.1175600000000001</v>
      </c>
      <c r="CZ186" s="54">
        <f t="shared" si="387"/>
        <v>8.3000193452641017E-5</v>
      </c>
      <c r="DA186" s="468">
        <f t="shared" si="388"/>
        <v>-0.95424933333333328</v>
      </c>
      <c r="DB186" s="468" t="str">
        <f t="shared" si="389"/>
        <v/>
      </c>
    </row>
    <row r="187" spans="2:106" s="103" customFormat="1" ht="13.15" customHeight="1" outlineLevel="2">
      <c r="B187" s="61" t="str">
        <f>+Расходы!A137</f>
        <v>Салфетки на столы</v>
      </c>
      <c r="C187" s="238"/>
      <c r="D187" s="54" t="str">
        <f t="shared" si="390"/>
        <v/>
      </c>
      <c r="E187" s="238"/>
      <c r="F187" s="54" t="str">
        <f t="shared" si="391"/>
        <v/>
      </c>
      <c r="G187" s="353">
        <f>+Расходы!B137/1000</f>
        <v>0</v>
      </c>
      <c r="H187" s="54" t="str">
        <f t="shared" si="392"/>
        <v/>
      </c>
      <c r="I187" s="468" t="str">
        <f t="shared" si="360"/>
        <v/>
      </c>
      <c r="J187" s="468" t="str">
        <f t="shared" si="361"/>
        <v/>
      </c>
      <c r="K187" s="238"/>
      <c r="L187" s="54" t="str">
        <f t="shared" si="393"/>
        <v/>
      </c>
      <c r="M187" s="238"/>
      <c r="N187" s="54" t="str">
        <f t="shared" si="394"/>
        <v/>
      </c>
      <c r="O187" s="353">
        <f>+Расходы!C137/1000</f>
        <v>0</v>
      </c>
      <c r="P187" s="54" t="str">
        <f t="shared" si="395"/>
        <v/>
      </c>
      <c r="Q187" s="468" t="str">
        <f t="shared" si="362"/>
        <v/>
      </c>
      <c r="R187" s="468" t="str">
        <f t="shared" si="363"/>
        <v/>
      </c>
      <c r="S187" s="238"/>
      <c r="T187" s="54" t="str">
        <f t="shared" si="396"/>
        <v/>
      </c>
      <c r="U187" s="238">
        <v>0</v>
      </c>
      <c r="V187" s="54" t="str">
        <f t="shared" si="397"/>
        <v/>
      </c>
      <c r="W187" s="353">
        <f>+Расходы!D137/1000</f>
        <v>0</v>
      </c>
      <c r="X187" s="54" t="str">
        <f t="shared" si="398"/>
        <v/>
      </c>
      <c r="Y187" s="468" t="str">
        <f t="shared" si="364"/>
        <v/>
      </c>
      <c r="Z187" s="468" t="str">
        <f t="shared" si="365"/>
        <v/>
      </c>
      <c r="AA187" s="238"/>
      <c r="AB187" s="54" t="str">
        <f t="shared" si="399"/>
        <v/>
      </c>
      <c r="AC187" s="238">
        <v>0</v>
      </c>
      <c r="AD187" s="54" t="str">
        <f t="shared" si="400"/>
        <v/>
      </c>
      <c r="AE187" s="353">
        <f>+Расходы!E137/1000</f>
        <v>0</v>
      </c>
      <c r="AF187" s="54" t="str">
        <f t="shared" si="401"/>
        <v/>
      </c>
      <c r="AG187" s="468" t="str">
        <f t="shared" si="366"/>
        <v/>
      </c>
      <c r="AH187" s="468" t="str">
        <f t="shared" si="367"/>
        <v/>
      </c>
      <c r="AI187" s="238"/>
      <c r="AJ187" s="54" t="str">
        <f t="shared" si="402"/>
        <v/>
      </c>
      <c r="AK187" s="238">
        <v>0</v>
      </c>
      <c r="AL187" s="54" t="str">
        <f t="shared" si="403"/>
        <v/>
      </c>
      <c r="AM187" s="353">
        <f>+Расходы!F137/1000</f>
        <v>0</v>
      </c>
      <c r="AN187" s="54" t="str">
        <f t="shared" si="404"/>
        <v/>
      </c>
      <c r="AO187" s="468" t="str">
        <f t="shared" si="368"/>
        <v/>
      </c>
      <c r="AP187" s="468" t="str">
        <f t="shared" si="369"/>
        <v/>
      </c>
      <c r="AQ187" s="344"/>
      <c r="AR187" s="54" t="str">
        <f t="shared" si="405"/>
        <v/>
      </c>
      <c r="AS187" s="238">
        <v>0</v>
      </c>
      <c r="AT187" s="54" t="str">
        <f t="shared" si="406"/>
        <v/>
      </c>
      <c r="AU187" s="353">
        <f>+Расходы!G137/1000</f>
        <v>0</v>
      </c>
      <c r="AV187" s="54" t="str">
        <f t="shared" si="407"/>
        <v/>
      </c>
      <c r="AW187" s="468" t="str">
        <f t="shared" si="370"/>
        <v/>
      </c>
      <c r="AX187" s="468" t="str">
        <f t="shared" si="371"/>
        <v/>
      </c>
      <c r="AY187" s="344"/>
      <c r="AZ187" s="54" t="str">
        <f t="shared" si="408"/>
        <v/>
      </c>
      <c r="BA187" s="238">
        <v>0</v>
      </c>
      <c r="BB187" s="54" t="str">
        <f t="shared" si="409"/>
        <v/>
      </c>
      <c r="BC187" s="353">
        <f>+Расходы!H137/1000</f>
        <v>0</v>
      </c>
      <c r="BD187" s="54" t="str">
        <f t="shared" si="410"/>
        <v/>
      </c>
      <c r="BE187" s="468" t="str">
        <f t="shared" si="372"/>
        <v/>
      </c>
      <c r="BF187" s="468" t="str">
        <f t="shared" si="373"/>
        <v/>
      </c>
      <c r="BG187" s="344"/>
      <c r="BH187" s="54" t="str">
        <f t="shared" si="411"/>
        <v/>
      </c>
      <c r="BI187" s="238">
        <v>0</v>
      </c>
      <c r="BJ187" s="54" t="str">
        <f t="shared" si="412"/>
        <v/>
      </c>
      <c r="BK187" s="353">
        <f>+Расходы!I137/1000</f>
        <v>0</v>
      </c>
      <c r="BL187" s="54" t="str">
        <f t="shared" si="413"/>
        <v/>
      </c>
      <c r="BM187" s="468" t="str">
        <f t="shared" si="374"/>
        <v/>
      </c>
      <c r="BN187" s="468" t="str">
        <f t="shared" si="375"/>
        <v/>
      </c>
      <c r="BO187" s="344"/>
      <c r="BP187" s="54" t="str">
        <f t="shared" si="414"/>
        <v/>
      </c>
      <c r="BQ187" s="238">
        <v>0</v>
      </c>
      <c r="BR187" s="54" t="str">
        <f t="shared" si="415"/>
        <v/>
      </c>
      <c r="BS187" s="353">
        <f>+Расходы!J137/1000</f>
        <v>0</v>
      </c>
      <c r="BT187" s="54" t="str">
        <f t="shared" si="416"/>
        <v/>
      </c>
      <c r="BU187" s="468" t="str">
        <f t="shared" si="376"/>
        <v/>
      </c>
      <c r="BV187" s="468" t="str">
        <f t="shared" si="377"/>
        <v/>
      </c>
      <c r="BW187" s="344"/>
      <c r="BX187" s="54" t="str">
        <f t="shared" si="417"/>
        <v/>
      </c>
      <c r="BY187" s="238">
        <v>0</v>
      </c>
      <c r="BZ187" s="54" t="str">
        <f t="shared" si="418"/>
        <v/>
      </c>
      <c r="CA187" s="353">
        <f>+Расходы!K137/1000</f>
        <v>0</v>
      </c>
      <c r="CB187" s="54" t="str">
        <f t="shared" si="419"/>
        <v/>
      </c>
      <c r="CC187" s="468" t="str">
        <f t="shared" si="378"/>
        <v/>
      </c>
      <c r="CD187" s="468" t="str">
        <f t="shared" si="379"/>
        <v/>
      </c>
      <c r="CE187" s="344"/>
      <c r="CF187" s="54" t="str">
        <f t="shared" si="420"/>
        <v/>
      </c>
      <c r="CG187" s="238">
        <v>0</v>
      </c>
      <c r="CH187" s="54" t="str">
        <f t="shared" si="421"/>
        <v/>
      </c>
      <c r="CI187" s="353">
        <f>+Расходы!L137/1000</f>
        <v>0</v>
      </c>
      <c r="CJ187" s="54" t="str">
        <f t="shared" si="422"/>
        <v/>
      </c>
      <c r="CK187" s="468" t="str">
        <f t="shared" si="380"/>
        <v/>
      </c>
      <c r="CL187" s="468" t="str">
        <f t="shared" si="381"/>
        <v/>
      </c>
      <c r="CM187" s="344"/>
      <c r="CN187" s="54" t="str">
        <f t="shared" si="423"/>
        <v/>
      </c>
      <c r="CO187" s="238">
        <v>0</v>
      </c>
      <c r="CP187" s="54" t="str">
        <f t="shared" si="424"/>
        <v/>
      </c>
      <c r="CQ187" s="353">
        <f>+Расходы!M137/1000</f>
        <v>0</v>
      </c>
      <c r="CR187" s="54" t="str">
        <f t="shared" si="425"/>
        <v/>
      </c>
      <c r="CS187" s="468" t="str">
        <f t="shared" si="382"/>
        <v/>
      </c>
      <c r="CT187" s="468" t="str">
        <f t="shared" si="383"/>
        <v/>
      </c>
      <c r="CU187" s="344">
        <f t="shared" si="292"/>
        <v>0</v>
      </c>
      <c r="CV187" s="54" t="str">
        <f t="shared" si="384"/>
        <v/>
      </c>
      <c r="CW187" s="238">
        <f t="shared" si="293"/>
        <v>0</v>
      </c>
      <c r="CX187" s="54">
        <f t="shared" si="385"/>
        <v>0</v>
      </c>
      <c r="CY187" s="353">
        <f t="shared" si="386"/>
        <v>0</v>
      </c>
      <c r="CZ187" s="54">
        <f t="shared" si="387"/>
        <v>0</v>
      </c>
      <c r="DA187" s="468" t="str">
        <f t="shared" si="388"/>
        <v/>
      </c>
      <c r="DB187" s="468" t="str">
        <f t="shared" si="389"/>
        <v/>
      </c>
    </row>
    <row r="188" spans="2:106" s="103" customFormat="1" ht="13.15" customHeight="1" outlineLevel="2">
      <c r="B188" s="61" t="str">
        <f>+Расходы!A138</f>
        <v>Сантехматериалы</v>
      </c>
      <c r="C188" s="238"/>
      <c r="D188" s="54" t="str">
        <f t="shared" si="390"/>
        <v/>
      </c>
      <c r="E188" s="238"/>
      <c r="F188" s="54" t="str">
        <f t="shared" si="391"/>
        <v/>
      </c>
      <c r="G188" s="353">
        <f>+Расходы!B138/1000</f>
        <v>0</v>
      </c>
      <c r="H188" s="54" t="str">
        <f t="shared" si="392"/>
        <v/>
      </c>
      <c r="I188" s="468" t="str">
        <f t="shared" si="360"/>
        <v/>
      </c>
      <c r="J188" s="468" t="str">
        <f t="shared" si="361"/>
        <v/>
      </c>
      <c r="K188" s="238"/>
      <c r="L188" s="54" t="str">
        <f t="shared" si="393"/>
        <v/>
      </c>
      <c r="M188" s="238"/>
      <c r="N188" s="54" t="str">
        <f t="shared" si="394"/>
        <v/>
      </c>
      <c r="O188" s="353">
        <f>+Расходы!C138/1000</f>
        <v>0</v>
      </c>
      <c r="P188" s="54" t="str">
        <f t="shared" si="395"/>
        <v/>
      </c>
      <c r="Q188" s="468" t="str">
        <f t="shared" si="362"/>
        <v/>
      </c>
      <c r="R188" s="468" t="str">
        <f t="shared" si="363"/>
        <v/>
      </c>
      <c r="S188" s="238"/>
      <c r="T188" s="54" t="str">
        <f t="shared" si="396"/>
        <v/>
      </c>
      <c r="U188" s="238">
        <v>0</v>
      </c>
      <c r="V188" s="54" t="str">
        <f t="shared" si="397"/>
        <v/>
      </c>
      <c r="W188" s="353">
        <f>+Расходы!D138/1000</f>
        <v>0</v>
      </c>
      <c r="X188" s="54" t="str">
        <f t="shared" si="398"/>
        <v/>
      </c>
      <c r="Y188" s="468" t="str">
        <f t="shared" si="364"/>
        <v/>
      </c>
      <c r="Z188" s="468" t="str">
        <f t="shared" si="365"/>
        <v/>
      </c>
      <c r="AA188" s="238"/>
      <c r="AB188" s="54" t="str">
        <f t="shared" si="399"/>
        <v/>
      </c>
      <c r="AC188" s="238">
        <v>0</v>
      </c>
      <c r="AD188" s="54" t="str">
        <f t="shared" si="400"/>
        <v/>
      </c>
      <c r="AE188" s="353">
        <f>+Расходы!E138/1000</f>
        <v>0</v>
      </c>
      <c r="AF188" s="54" t="str">
        <f t="shared" si="401"/>
        <v/>
      </c>
      <c r="AG188" s="468" t="str">
        <f t="shared" si="366"/>
        <v/>
      </c>
      <c r="AH188" s="468" t="str">
        <f t="shared" si="367"/>
        <v/>
      </c>
      <c r="AI188" s="238"/>
      <c r="AJ188" s="54" t="str">
        <f t="shared" si="402"/>
        <v/>
      </c>
      <c r="AK188" s="238">
        <v>0</v>
      </c>
      <c r="AL188" s="54" t="str">
        <f t="shared" si="403"/>
        <v/>
      </c>
      <c r="AM188" s="353">
        <f>+Расходы!F138/1000</f>
        <v>0</v>
      </c>
      <c r="AN188" s="54" t="str">
        <f t="shared" si="404"/>
        <v/>
      </c>
      <c r="AO188" s="468" t="str">
        <f t="shared" si="368"/>
        <v/>
      </c>
      <c r="AP188" s="468" t="str">
        <f t="shared" si="369"/>
        <v/>
      </c>
      <c r="AQ188" s="344"/>
      <c r="AR188" s="54" t="str">
        <f t="shared" si="405"/>
        <v/>
      </c>
      <c r="AS188" s="238">
        <v>5</v>
      </c>
      <c r="AT188" s="54">
        <f t="shared" si="406"/>
        <v>3.3156498673740051E-4</v>
      </c>
      <c r="AU188" s="353">
        <f>+Расходы!G138/1000</f>
        <v>0</v>
      </c>
      <c r="AV188" s="54" t="str">
        <f t="shared" si="407"/>
        <v/>
      </c>
      <c r="AW188" s="468">
        <f t="shared" si="370"/>
        <v>-1</v>
      </c>
      <c r="AX188" s="468" t="str">
        <f t="shared" si="371"/>
        <v/>
      </c>
      <c r="AY188" s="344"/>
      <c r="AZ188" s="54" t="str">
        <f t="shared" si="408"/>
        <v/>
      </c>
      <c r="BA188" s="238">
        <v>5</v>
      </c>
      <c r="BB188" s="54">
        <f t="shared" si="409"/>
        <v>3.1913196106590075E-4</v>
      </c>
      <c r="BC188" s="353">
        <f>+Расходы!H138/1000</f>
        <v>0</v>
      </c>
      <c r="BD188" s="54" t="str">
        <f t="shared" si="410"/>
        <v/>
      </c>
      <c r="BE188" s="468">
        <f t="shared" si="372"/>
        <v>-1</v>
      </c>
      <c r="BF188" s="468" t="str">
        <f t="shared" si="373"/>
        <v/>
      </c>
      <c r="BG188" s="344"/>
      <c r="BH188" s="54" t="str">
        <f t="shared" si="411"/>
        <v/>
      </c>
      <c r="BI188" s="238">
        <v>5</v>
      </c>
      <c r="BJ188" s="54">
        <f t="shared" si="412"/>
        <v>3.1913196106590075E-4</v>
      </c>
      <c r="BK188" s="353">
        <f>+Расходы!I138/1000</f>
        <v>0</v>
      </c>
      <c r="BL188" s="54" t="str">
        <f t="shared" si="413"/>
        <v/>
      </c>
      <c r="BM188" s="468">
        <f t="shared" si="374"/>
        <v>-1</v>
      </c>
      <c r="BN188" s="468" t="str">
        <f t="shared" si="375"/>
        <v/>
      </c>
      <c r="BO188" s="344"/>
      <c r="BP188" s="54" t="str">
        <f t="shared" si="414"/>
        <v/>
      </c>
      <c r="BQ188" s="238">
        <v>5</v>
      </c>
      <c r="BR188" s="54">
        <f t="shared" si="415"/>
        <v>3.453038674033149E-4</v>
      </c>
      <c r="BS188" s="353">
        <f>+Расходы!J138/1000</f>
        <v>0</v>
      </c>
      <c r="BT188" s="54" t="str">
        <f t="shared" si="416"/>
        <v/>
      </c>
      <c r="BU188" s="468">
        <f t="shared" si="376"/>
        <v>-1</v>
      </c>
      <c r="BV188" s="468" t="str">
        <f t="shared" si="377"/>
        <v/>
      </c>
      <c r="BW188" s="344"/>
      <c r="BX188" s="54" t="str">
        <f t="shared" si="417"/>
        <v/>
      </c>
      <c r="BY188" s="238">
        <v>0</v>
      </c>
      <c r="BZ188" s="54" t="str">
        <f t="shared" si="418"/>
        <v/>
      </c>
      <c r="CA188" s="353">
        <f>+Расходы!K138/1000</f>
        <v>0</v>
      </c>
      <c r="CB188" s="54" t="str">
        <f t="shared" si="419"/>
        <v/>
      </c>
      <c r="CC188" s="468" t="str">
        <f t="shared" si="378"/>
        <v/>
      </c>
      <c r="CD188" s="468" t="str">
        <f t="shared" si="379"/>
        <v/>
      </c>
      <c r="CE188" s="344"/>
      <c r="CF188" s="54" t="str">
        <f t="shared" si="420"/>
        <v/>
      </c>
      <c r="CG188" s="238">
        <v>0</v>
      </c>
      <c r="CH188" s="54" t="str">
        <f t="shared" si="421"/>
        <v/>
      </c>
      <c r="CI188" s="353">
        <f>+Расходы!L138/1000</f>
        <v>0</v>
      </c>
      <c r="CJ188" s="54" t="str">
        <f t="shared" si="422"/>
        <v/>
      </c>
      <c r="CK188" s="468" t="str">
        <f t="shared" si="380"/>
        <v/>
      </c>
      <c r="CL188" s="468" t="str">
        <f t="shared" si="381"/>
        <v/>
      </c>
      <c r="CM188" s="344"/>
      <c r="CN188" s="54" t="str">
        <f t="shared" si="423"/>
        <v/>
      </c>
      <c r="CO188" s="238">
        <v>0</v>
      </c>
      <c r="CP188" s="54" t="str">
        <f t="shared" si="424"/>
        <v/>
      </c>
      <c r="CQ188" s="353">
        <f>+Расходы!M138/1000</f>
        <v>0</v>
      </c>
      <c r="CR188" s="54" t="str">
        <f t="shared" si="425"/>
        <v/>
      </c>
      <c r="CS188" s="468" t="str">
        <f t="shared" si="382"/>
        <v/>
      </c>
      <c r="CT188" s="468" t="str">
        <f t="shared" si="383"/>
        <v/>
      </c>
      <c r="CU188" s="344">
        <f t="shared" si="292"/>
        <v>0</v>
      </c>
      <c r="CV188" s="54" t="str">
        <f t="shared" si="384"/>
        <v/>
      </c>
      <c r="CW188" s="238">
        <f t="shared" si="293"/>
        <v>20</v>
      </c>
      <c r="CX188" s="54">
        <f t="shared" si="385"/>
        <v>1.5081821654956335E-4</v>
      </c>
      <c r="CY188" s="353">
        <f t="shared" si="386"/>
        <v>0</v>
      </c>
      <c r="CZ188" s="54">
        <f t="shared" si="387"/>
        <v>0</v>
      </c>
      <c r="DA188" s="468">
        <f t="shared" si="388"/>
        <v>-1</v>
      </c>
      <c r="DB188" s="468" t="str">
        <f t="shared" si="389"/>
        <v/>
      </c>
    </row>
    <row r="189" spans="2:106" s="103" customFormat="1" ht="13.15" customHeight="1" outlineLevel="2">
      <c r="B189" s="61" t="str">
        <f>+Расходы!A139</f>
        <v>Сигнализации охранные, пожарные, видеонаблюдение</v>
      </c>
      <c r="C189" s="238"/>
      <c r="D189" s="54" t="str">
        <f t="shared" si="390"/>
        <v/>
      </c>
      <c r="E189" s="238"/>
      <c r="F189" s="54" t="str">
        <f t="shared" si="391"/>
        <v/>
      </c>
      <c r="G189" s="353">
        <f>+Расходы!B139/1000</f>
        <v>0</v>
      </c>
      <c r="H189" s="54" t="str">
        <f t="shared" si="392"/>
        <v/>
      </c>
      <c r="I189" s="468" t="str">
        <f t="shared" si="360"/>
        <v/>
      </c>
      <c r="J189" s="468" t="str">
        <f t="shared" si="361"/>
        <v/>
      </c>
      <c r="K189" s="238"/>
      <c r="L189" s="54" t="str">
        <f t="shared" si="393"/>
        <v/>
      </c>
      <c r="M189" s="238"/>
      <c r="N189" s="54" t="str">
        <f t="shared" si="394"/>
        <v/>
      </c>
      <c r="O189" s="353">
        <f>+Расходы!C139/1000</f>
        <v>0</v>
      </c>
      <c r="P189" s="54" t="str">
        <f t="shared" si="395"/>
        <v/>
      </c>
      <c r="Q189" s="468" t="str">
        <f t="shared" si="362"/>
        <v/>
      </c>
      <c r="R189" s="468" t="str">
        <f t="shared" si="363"/>
        <v/>
      </c>
      <c r="S189" s="238"/>
      <c r="T189" s="54" t="str">
        <f t="shared" si="396"/>
        <v/>
      </c>
      <c r="U189" s="238">
        <v>0</v>
      </c>
      <c r="V189" s="54" t="str">
        <f t="shared" si="397"/>
        <v/>
      </c>
      <c r="W189" s="353">
        <f>+Расходы!D139/1000</f>
        <v>0</v>
      </c>
      <c r="X189" s="54" t="str">
        <f t="shared" si="398"/>
        <v/>
      </c>
      <c r="Y189" s="468" t="str">
        <f t="shared" si="364"/>
        <v/>
      </c>
      <c r="Z189" s="468" t="str">
        <f t="shared" si="365"/>
        <v/>
      </c>
      <c r="AA189" s="238"/>
      <c r="AB189" s="54" t="str">
        <f t="shared" si="399"/>
        <v/>
      </c>
      <c r="AC189" s="238">
        <v>0</v>
      </c>
      <c r="AD189" s="54" t="str">
        <f t="shared" si="400"/>
        <v/>
      </c>
      <c r="AE189" s="353">
        <f>+Расходы!E139/1000</f>
        <v>0</v>
      </c>
      <c r="AF189" s="54" t="str">
        <f t="shared" si="401"/>
        <v/>
      </c>
      <c r="AG189" s="468" t="str">
        <f t="shared" si="366"/>
        <v/>
      </c>
      <c r="AH189" s="468" t="str">
        <f t="shared" si="367"/>
        <v/>
      </c>
      <c r="AI189" s="238"/>
      <c r="AJ189" s="54" t="str">
        <f t="shared" si="402"/>
        <v/>
      </c>
      <c r="AK189" s="238">
        <v>0</v>
      </c>
      <c r="AL189" s="54" t="str">
        <f t="shared" si="403"/>
        <v/>
      </c>
      <c r="AM189" s="353">
        <f>+Расходы!F139/1000</f>
        <v>45</v>
      </c>
      <c r="AN189" s="54">
        <f t="shared" si="404"/>
        <v>2.8639454093819031E-3</v>
      </c>
      <c r="AO189" s="468" t="str">
        <f t="shared" si="368"/>
        <v/>
      </c>
      <c r="AP189" s="468" t="str">
        <f t="shared" si="369"/>
        <v/>
      </c>
      <c r="AQ189" s="344"/>
      <c r="AR189" s="54" t="str">
        <f t="shared" si="405"/>
        <v/>
      </c>
      <c r="AS189" s="238">
        <v>0</v>
      </c>
      <c r="AT189" s="54" t="str">
        <f t="shared" si="406"/>
        <v/>
      </c>
      <c r="AU189" s="353">
        <f>+Расходы!G139/1000</f>
        <v>0</v>
      </c>
      <c r="AV189" s="54" t="str">
        <f t="shared" si="407"/>
        <v/>
      </c>
      <c r="AW189" s="468" t="str">
        <f t="shared" si="370"/>
        <v/>
      </c>
      <c r="AX189" s="468" t="str">
        <f t="shared" si="371"/>
        <v/>
      </c>
      <c r="AY189" s="344"/>
      <c r="AZ189" s="54" t="str">
        <f t="shared" si="408"/>
        <v/>
      </c>
      <c r="BA189" s="238">
        <v>0</v>
      </c>
      <c r="BB189" s="54" t="str">
        <f t="shared" si="409"/>
        <v/>
      </c>
      <c r="BC189" s="353">
        <f>+Расходы!H139/1000</f>
        <v>0</v>
      </c>
      <c r="BD189" s="54" t="str">
        <f t="shared" si="410"/>
        <v/>
      </c>
      <c r="BE189" s="468" t="str">
        <f t="shared" si="372"/>
        <v/>
      </c>
      <c r="BF189" s="468" t="str">
        <f t="shared" si="373"/>
        <v/>
      </c>
      <c r="BG189" s="344"/>
      <c r="BH189" s="54" t="str">
        <f t="shared" si="411"/>
        <v/>
      </c>
      <c r="BI189" s="238">
        <v>0</v>
      </c>
      <c r="BJ189" s="54" t="str">
        <f t="shared" si="412"/>
        <v/>
      </c>
      <c r="BK189" s="353">
        <f>+Расходы!I139/1000</f>
        <v>0</v>
      </c>
      <c r="BL189" s="54" t="str">
        <f t="shared" si="413"/>
        <v/>
      </c>
      <c r="BM189" s="468" t="str">
        <f t="shared" si="374"/>
        <v/>
      </c>
      <c r="BN189" s="468" t="str">
        <f t="shared" si="375"/>
        <v/>
      </c>
      <c r="BO189" s="344"/>
      <c r="BP189" s="54" t="str">
        <f t="shared" si="414"/>
        <v/>
      </c>
      <c r="BQ189" s="238">
        <v>0</v>
      </c>
      <c r="BR189" s="54" t="str">
        <f t="shared" si="415"/>
        <v/>
      </c>
      <c r="BS189" s="353">
        <f>+Расходы!J139/1000</f>
        <v>0</v>
      </c>
      <c r="BT189" s="54" t="str">
        <f t="shared" si="416"/>
        <v/>
      </c>
      <c r="BU189" s="468" t="str">
        <f t="shared" si="376"/>
        <v/>
      </c>
      <c r="BV189" s="468" t="str">
        <f t="shared" si="377"/>
        <v/>
      </c>
      <c r="BW189" s="344"/>
      <c r="BX189" s="54" t="str">
        <f t="shared" si="417"/>
        <v/>
      </c>
      <c r="BY189" s="238">
        <v>0</v>
      </c>
      <c r="BZ189" s="54" t="str">
        <f t="shared" si="418"/>
        <v/>
      </c>
      <c r="CA189" s="353">
        <f>+Расходы!K139/1000</f>
        <v>0</v>
      </c>
      <c r="CB189" s="54" t="str">
        <f t="shared" si="419"/>
        <v/>
      </c>
      <c r="CC189" s="468" t="str">
        <f t="shared" si="378"/>
        <v/>
      </c>
      <c r="CD189" s="468" t="str">
        <f t="shared" si="379"/>
        <v/>
      </c>
      <c r="CE189" s="344"/>
      <c r="CF189" s="54" t="str">
        <f t="shared" si="420"/>
        <v/>
      </c>
      <c r="CG189" s="238">
        <v>0</v>
      </c>
      <c r="CH189" s="54" t="str">
        <f t="shared" si="421"/>
        <v/>
      </c>
      <c r="CI189" s="353">
        <f>+Расходы!L139/1000</f>
        <v>0</v>
      </c>
      <c r="CJ189" s="54" t="str">
        <f t="shared" si="422"/>
        <v/>
      </c>
      <c r="CK189" s="468" t="str">
        <f t="shared" si="380"/>
        <v/>
      </c>
      <c r="CL189" s="468" t="str">
        <f t="shared" si="381"/>
        <v/>
      </c>
      <c r="CM189" s="344"/>
      <c r="CN189" s="54" t="str">
        <f t="shared" si="423"/>
        <v/>
      </c>
      <c r="CO189" s="238">
        <v>0</v>
      </c>
      <c r="CP189" s="54" t="str">
        <f t="shared" si="424"/>
        <v/>
      </c>
      <c r="CQ189" s="353">
        <f>+Расходы!M139/1000</f>
        <v>0</v>
      </c>
      <c r="CR189" s="54" t="str">
        <f t="shared" si="425"/>
        <v/>
      </c>
      <c r="CS189" s="468" t="str">
        <f t="shared" si="382"/>
        <v/>
      </c>
      <c r="CT189" s="468" t="str">
        <f t="shared" si="383"/>
        <v/>
      </c>
      <c r="CU189" s="344">
        <f t="shared" si="292"/>
        <v>0</v>
      </c>
      <c r="CV189" s="54" t="str">
        <f t="shared" si="384"/>
        <v/>
      </c>
      <c r="CW189" s="238">
        <f t="shared" si="293"/>
        <v>0</v>
      </c>
      <c r="CX189" s="54">
        <f t="shared" si="385"/>
        <v>0</v>
      </c>
      <c r="CY189" s="353">
        <f t="shared" si="386"/>
        <v>45</v>
      </c>
      <c r="CZ189" s="54">
        <f t="shared" si="387"/>
        <v>9.0709272126425499E-4</v>
      </c>
      <c r="DA189" s="468" t="str">
        <f t="shared" si="388"/>
        <v/>
      </c>
      <c r="DB189" s="468" t="str">
        <f t="shared" si="389"/>
        <v/>
      </c>
    </row>
    <row r="190" spans="2:106" s="103" customFormat="1" ht="13.15" customHeight="1" outlineLevel="2">
      <c r="B190" s="61" t="str">
        <f>+Расходы!A140</f>
        <v>Система кондиционирования и вентиляции</v>
      </c>
      <c r="C190" s="238"/>
      <c r="D190" s="54" t="str">
        <f t="shared" si="390"/>
        <v/>
      </c>
      <c r="E190" s="238"/>
      <c r="F190" s="54" t="str">
        <f t="shared" si="391"/>
        <v/>
      </c>
      <c r="G190" s="353">
        <f>+Расходы!B140/1000</f>
        <v>0</v>
      </c>
      <c r="H190" s="54" t="str">
        <f t="shared" si="392"/>
        <v/>
      </c>
      <c r="I190" s="468" t="str">
        <f t="shared" si="360"/>
        <v/>
      </c>
      <c r="J190" s="468" t="str">
        <f t="shared" si="361"/>
        <v/>
      </c>
      <c r="K190" s="238"/>
      <c r="L190" s="54" t="str">
        <f t="shared" si="393"/>
        <v/>
      </c>
      <c r="M190" s="238"/>
      <c r="N190" s="54" t="str">
        <f t="shared" si="394"/>
        <v/>
      </c>
      <c r="O190" s="353">
        <f>+Расходы!C140/1000</f>
        <v>0</v>
      </c>
      <c r="P190" s="54" t="str">
        <f t="shared" si="395"/>
        <v/>
      </c>
      <c r="Q190" s="468" t="str">
        <f t="shared" si="362"/>
        <v/>
      </c>
      <c r="R190" s="468" t="str">
        <f t="shared" si="363"/>
        <v/>
      </c>
      <c r="S190" s="238"/>
      <c r="T190" s="54" t="str">
        <f t="shared" si="396"/>
        <v/>
      </c>
      <c r="U190" s="238">
        <v>0</v>
      </c>
      <c r="V190" s="54" t="str">
        <f t="shared" si="397"/>
        <v/>
      </c>
      <c r="W190" s="353">
        <f>+Расходы!D140/1000</f>
        <v>0</v>
      </c>
      <c r="X190" s="54" t="str">
        <f t="shared" si="398"/>
        <v/>
      </c>
      <c r="Y190" s="468" t="str">
        <f t="shared" si="364"/>
        <v/>
      </c>
      <c r="Z190" s="468" t="str">
        <f t="shared" si="365"/>
        <v/>
      </c>
      <c r="AA190" s="238"/>
      <c r="AB190" s="54" t="str">
        <f t="shared" si="399"/>
        <v/>
      </c>
      <c r="AC190" s="238">
        <v>0</v>
      </c>
      <c r="AD190" s="54" t="str">
        <f t="shared" si="400"/>
        <v/>
      </c>
      <c r="AE190" s="353">
        <f>+Расходы!E140/1000</f>
        <v>0.5</v>
      </c>
      <c r="AF190" s="54">
        <f t="shared" si="401"/>
        <v>3.6461219846571187E-5</v>
      </c>
      <c r="AG190" s="468" t="str">
        <f t="shared" si="366"/>
        <v/>
      </c>
      <c r="AH190" s="468" t="str">
        <f t="shared" si="367"/>
        <v/>
      </c>
      <c r="AI190" s="238"/>
      <c r="AJ190" s="54" t="str">
        <f t="shared" si="402"/>
        <v/>
      </c>
      <c r="AK190" s="238">
        <v>0</v>
      </c>
      <c r="AL190" s="54" t="str">
        <f t="shared" si="403"/>
        <v/>
      </c>
      <c r="AM190" s="353">
        <f>+Расходы!F140/1000</f>
        <v>7.2</v>
      </c>
      <c r="AN190" s="54">
        <f t="shared" si="404"/>
        <v>4.5823126550110452E-4</v>
      </c>
      <c r="AO190" s="468" t="str">
        <f t="shared" si="368"/>
        <v/>
      </c>
      <c r="AP190" s="468" t="str">
        <f t="shared" si="369"/>
        <v/>
      </c>
      <c r="AQ190" s="344"/>
      <c r="AR190" s="54" t="str">
        <f t="shared" si="405"/>
        <v/>
      </c>
      <c r="AS190" s="238">
        <v>0</v>
      </c>
      <c r="AT190" s="54" t="str">
        <f t="shared" si="406"/>
        <v/>
      </c>
      <c r="AU190" s="353">
        <f>+Расходы!G140/1000</f>
        <v>0</v>
      </c>
      <c r="AV190" s="54" t="str">
        <f t="shared" si="407"/>
        <v/>
      </c>
      <c r="AW190" s="468" t="str">
        <f t="shared" si="370"/>
        <v/>
      </c>
      <c r="AX190" s="468" t="str">
        <f t="shared" si="371"/>
        <v/>
      </c>
      <c r="AY190" s="344"/>
      <c r="AZ190" s="54" t="str">
        <f t="shared" si="408"/>
        <v/>
      </c>
      <c r="BA190" s="238">
        <v>0</v>
      </c>
      <c r="BB190" s="54" t="str">
        <f t="shared" si="409"/>
        <v/>
      </c>
      <c r="BC190" s="353">
        <f>+Расходы!H140/1000</f>
        <v>0</v>
      </c>
      <c r="BD190" s="54" t="str">
        <f t="shared" si="410"/>
        <v/>
      </c>
      <c r="BE190" s="468" t="str">
        <f t="shared" si="372"/>
        <v/>
      </c>
      <c r="BF190" s="468" t="str">
        <f t="shared" si="373"/>
        <v/>
      </c>
      <c r="BG190" s="344"/>
      <c r="BH190" s="54" t="str">
        <f t="shared" si="411"/>
        <v/>
      </c>
      <c r="BI190" s="238">
        <v>0</v>
      </c>
      <c r="BJ190" s="54" t="str">
        <f t="shared" si="412"/>
        <v/>
      </c>
      <c r="BK190" s="353">
        <f>+Расходы!I140/1000</f>
        <v>0</v>
      </c>
      <c r="BL190" s="54" t="str">
        <f t="shared" si="413"/>
        <v/>
      </c>
      <c r="BM190" s="468" t="str">
        <f t="shared" si="374"/>
        <v/>
      </c>
      <c r="BN190" s="468" t="str">
        <f t="shared" si="375"/>
        <v/>
      </c>
      <c r="BO190" s="344"/>
      <c r="BP190" s="54" t="str">
        <f t="shared" si="414"/>
        <v/>
      </c>
      <c r="BQ190" s="238">
        <v>0</v>
      </c>
      <c r="BR190" s="54" t="str">
        <f t="shared" si="415"/>
        <v/>
      </c>
      <c r="BS190" s="353">
        <f>+Расходы!J140/1000</f>
        <v>0</v>
      </c>
      <c r="BT190" s="54" t="str">
        <f t="shared" si="416"/>
        <v/>
      </c>
      <c r="BU190" s="468" t="str">
        <f t="shared" si="376"/>
        <v/>
      </c>
      <c r="BV190" s="468" t="str">
        <f t="shared" si="377"/>
        <v/>
      </c>
      <c r="BW190" s="344"/>
      <c r="BX190" s="54" t="str">
        <f t="shared" si="417"/>
        <v/>
      </c>
      <c r="BY190" s="238">
        <v>0</v>
      </c>
      <c r="BZ190" s="54" t="str">
        <f t="shared" si="418"/>
        <v/>
      </c>
      <c r="CA190" s="353">
        <f>+Расходы!K140/1000</f>
        <v>0</v>
      </c>
      <c r="CB190" s="54" t="str">
        <f t="shared" si="419"/>
        <v/>
      </c>
      <c r="CC190" s="468" t="str">
        <f t="shared" si="378"/>
        <v/>
      </c>
      <c r="CD190" s="468" t="str">
        <f t="shared" si="379"/>
        <v/>
      </c>
      <c r="CE190" s="344"/>
      <c r="CF190" s="54" t="str">
        <f t="shared" si="420"/>
        <v/>
      </c>
      <c r="CG190" s="238">
        <v>0</v>
      </c>
      <c r="CH190" s="54" t="str">
        <f t="shared" si="421"/>
        <v/>
      </c>
      <c r="CI190" s="353">
        <f>+Расходы!L140/1000</f>
        <v>0</v>
      </c>
      <c r="CJ190" s="54" t="str">
        <f t="shared" si="422"/>
        <v/>
      </c>
      <c r="CK190" s="468" t="str">
        <f t="shared" si="380"/>
        <v/>
      </c>
      <c r="CL190" s="468" t="str">
        <f t="shared" si="381"/>
        <v/>
      </c>
      <c r="CM190" s="344"/>
      <c r="CN190" s="54" t="str">
        <f t="shared" si="423"/>
        <v/>
      </c>
      <c r="CO190" s="238">
        <v>0</v>
      </c>
      <c r="CP190" s="54" t="str">
        <f t="shared" si="424"/>
        <v/>
      </c>
      <c r="CQ190" s="353">
        <f>+Расходы!M140/1000</f>
        <v>0</v>
      </c>
      <c r="CR190" s="54" t="str">
        <f t="shared" si="425"/>
        <v/>
      </c>
      <c r="CS190" s="468" t="str">
        <f t="shared" si="382"/>
        <v/>
      </c>
      <c r="CT190" s="468" t="str">
        <f t="shared" si="383"/>
        <v/>
      </c>
      <c r="CU190" s="344">
        <f t="shared" si="292"/>
        <v>0</v>
      </c>
      <c r="CV190" s="54" t="str">
        <f t="shared" si="384"/>
        <v/>
      </c>
      <c r="CW190" s="238">
        <f t="shared" si="293"/>
        <v>0</v>
      </c>
      <c r="CX190" s="54">
        <f t="shared" si="385"/>
        <v>0</v>
      </c>
      <c r="CY190" s="353">
        <f t="shared" si="386"/>
        <v>7.7</v>
      </c>
      <c r="CZ190" s="54">
        <f t="shared" si="387"/>
        <v>1.5521364341632808E-4</v>
      </c>
      <c r="DA190" s="468" t="str">
        <f t="shared" si="388"/>
        <v/>
      </c>
      <c r="DB190" s="468" t="str">
        <f t="shared" si="389"/>
        <v/>
      </c>
    </row>
    <row r="191" spans="2:106" s="103" customFormat="1" ht="13.15" customHeight="1" outlineLevel="2">
      <c r="B191" s="61" t="str">
        <f>+Расходы!A141</f>
        <v>Списание посуды/имущества</v>
      </c>
      <c r="C191" s="238"/>
      <c r="D191" s="54" t="str">
        <f t="shared" si="390"/>
        <v/>
      </c>
      <c r="E191" s="238"/>
      <c r="F191" s="54" t="str">
        <f t="shared" si="391"/>
        <v/>
      </c>
      <c r="G191" s="353">
        <f>+Расходы!B141/1000</f>
        <v>0</v>
      </c>
      <c r="H191" s="54" t="str">
        <f t="shared" si="392"/>
        <v/>
      </c>
      <c r="I191" s="468" t="str">
        <f t="shared" si="360"/>
        <v/>
      </c>
      <c r="J191" s="468" t="str">
        <f t="shared" si="361"/>
        <v/>
      </c>
      <c r="K191" s="238"/>
      <c r="L191" s="54" t="str">
        <f t="shared" si="393"/>
        <v/>
      </c>
      <c r="M191" s="238"/>
      <c r="N191" s="54" t="str">
        <f t="shared" si="394"/>
        <v/>
      </c>
      <c r="O191" s="353">
        <f>+Расходы!C141/1000</f>
        <v>0</v>
      </c>
      <c r="P191" s="54" t="str">
        <f t="shared" si="395"/>
        <v/>
      </c>
      <c r="Q191" s="468" t="str">
        <f t="shared" si="362"/>
        <v/>
      </c>
      <c r="R191" s="468" t="str">
        <f t="shared" si="363"/>
        <v/>
      </c>
      <c r="S191" s="238"/>
      <c r="T191" s="54" t="str">
        <f t="shared" si="396"/>
        <v/>
      </c>
      <c r="U191" s="238">
        <v>0</v>
      </c>
      <c r="V191" s="54" t="str">
        <f t="shared" si="397"/>
        <v/>
      </c>
      <c r="W191" s="353">
        <f>+Расходы!D141/1000</f>
        <v>0</v>
      </c>
      <c r="X191" s="54" t="str">
        <f t="shared" si="398"/>
        <v/>
      </c>
      <c r="Y191" s="468" t="str">
        <f t="shared" si="364"/>
        <v/>
      </c>
      <c r="Z191" s="468" t="str">
        <f t="shared" si="365"/>
        <v/>
      </c>
      <c r="AA191" s="238"/>
      <c r="AB191" s="54" t="str">
        <f t="shared" si="399"/>
        <v/>
      </c>
      <c r="AC191" s="238">
        <v>70</v>
      </c>
      <c r="AD191" s="54">
        <f t="shared" si="400"/>
        <v>5.1200131072335541E-3</v>
      </c>
      <c r="AE191" s="353">
        <f>+Расходы!E141/1000</f>
        <v>100</v>
      </c>
      <c r="AF191" s="54">
        <f t="shared" si="401"/>
        <v>7.2922439693142369E-3</v>
      </c>
      <c r="AG191" s="468">
        <f t="shared" si="366"/>
        <v>0.4285714285714286</v>
      </c>
      <c r="AH191" s="468" t="str">
        <f t="shared" si="367"/>
        <v/>
      </c>
      <c r="AI191" s="238"/>
      <c r="AJ191" s="54" t="str">
        <f t="shared" si="402"/>
        <v/>
      </c>
      <c r="AK191" s="238">
        <v>100</v>
      </c>
      <c r="AL191" s="54">
        <f t="shared" si="403"/>
        <v>7.1571714858288003E-3</v>
      </c>
      <c r="AM191" s="353">
        <f>+Расходы!F141/1000</f>
        <v>125.4144</v>
      </c>
      <c r="AN191" s="54">
        <f t="shared" si="404"/>
        <v>7.9817776700085719E-3</v>
      </c>
      <c r="AO191" s="468">
        <f t="shared" si="368"/>
        <v>0.25414399999999993</v>
      </c>
      <c r="AP191" s="468" t="str">
        <f t="shared" si="369"/>
        <v/>
      </c>
      <c r="AQ191" s="344"/>
      <c r="AR191" s="54" t="str">
        <f t="shared" si="405"/>
        <v/>
      </c>
      <c r="AS191" s="238">
        <v>100</v>
      </c>
      <c r="AT191" s="54">
        <f t="shared" si="406"/>
        <v>6.6312997347480109E-3</v>
      </c>
      <c r="AU191" s="353">
        <f>+Расходы!G141/1000</f>
        <v>137.76694000000001</v>
      </c>
      <c r="AV191" s="54">
        <f t="shared" si="407"/>
        <v>9.6655825005642539E-3</v>
      </c>
      <c r="AW191" s="468">
        <f t="shared" si="370"/>
        <v>0.37766940000000004</v>
      </c>
      <c r="AX191" s="468" t="str">
        <f t="shared" si="371"/>
        <v/>
      </c>
      <c r="AY191" s="344"/>
      <c r="AZ191" s="54" t="str">
        <f t="shared" si="408"/>
        <v/>
      </c>
      <c r="BA191" s="238">
        <v>60</v>
      </c>
      <c r="BB191" s="54">
        <f t="shared" si="409"/>
        <v>3.829583532790809E-3</v>
      </c>
      <c r="BC191" s="353">
        <f>+Расходы!H141/1000</f>
        <v>0</v>
      </c>
      <c r="BD191" s="54" t="str">
        <f t="shared" si="410"/>
        <v/>
      </c>
      <c r="BE191" s="468">
        <f t="shared" si="372"/>
        <v>-1</v>
      </c>
      <c r="BF191" s="468" t="str">
        <f t="shared" si="373"/>
        <v/>
      </c>
      <c r="BG191" s="344"/>
      <c r="BH191" s="54" t="str">
        <f t="shared" si="411"/>
        <v/>
      </c>
      <c r="BI191" s="238">
        <v>60</v>
      </c>
      <c r="BJ191" s="54">
        <f t="shared" si="412"/>
        <v>3.829583532790809E-3</v>
      </c>
      <c r="BK191" s="353">
        <f>+Расходы!I141/1000</f>
        <v>0</v>
      </c>
      <c r="BL191" s="54" t="str">
        <f t="shared" si="413"/>
        <v/>
      </c>
      <c r="BM191" s="468">
        <f t="shared" si="374"/>
        <v>-1</v>
      </c>
      <c r="BN191" s="468" t="str">
        <f t="shared" si="375"/>
        <v/>
      </c>
      <c r="BO191" s="344"/>
      <c r="BP191" s="54" t="str">
        <f t="shared" si="414"/>
        <v/>
      </c>
      <c r="BQ191" s="238">
        <v>60</v>
      </c>
      <c r="BR191" s="54">
        <f t="shared" si="415"/>
        <v>4.1436464088397788E-3</v>
      </c>
      <c r="BS191" s="353">
        <f>+Расходы!J141/1000</f>
        <v>0</v>
      </c>
      <c r="BT191" s="54" t="str">
        <f t="shared" si="416"/>
        <v/>
      </c>
      <c r="BU191" s="468">
        <f t="shared" si="376"/>
        <v>-1</v>
      </c>
      <c r="BV191" s="468" t="str">
        <f t="shared" si="377"/>
        <v/>
      </c>
      <c r="BW191" s="344"/>
      <c r="BX191" s="54" t="str">
        <f t="shared" si="417"/>
        <v/>
      </c>
      <c r="BY191" s="238">
        <v>0</v>
      </c>
      <c r="BZ191" s="54" t="str">
        <f t="shared" si="418"/>
        <v/>
      </c>
      <c r="CA191" s="353">
        <f>+Расходы!K141/1000</f>
        <v>0</v>
      </c>
      <c r="CB191" s="54" t="str">
        <f t="shared" si="419"/>
        <v/>
      </c>
      <c r="CC191" s="468" t="str">
        <f t="shared" si="378"/>
        <v/>
      </c>
      <c r="CD191" s="468" t="str">
        <f t="shared" si="379"/>
        <v/>
      </c>
      <c r="CE191" s="344"/>
      <c r="CF191" s="54" t="str">
        <f t="shared" si="420"/>
        <v/>
      </c>
      <c r="CG191" s="238">
        <v>0</v>
      </c>
      <c r="CH191" s="54" t="str">
        <f t="shared" si="421"/>
        <v/>
      </c>
      <c r="CI191" s="353">
        <f>+Расходы!L141/1000</f>
        <v>0</v>
      </c>
      <c r="CJ191" s="54" t="str">
        <f t="shared" si="422"/>
        <v/>
      </c>
      <c r="CK191" s="468" t="str">
        <f t="shared" si="380"/>
        <v/>
      </c>
      <c r="CL191" s="468" t="str">
        <f t="shared" si="381"/>
        <v/>
      </c>
      <c r="CM191" s="344"/>
      <c r="CN191" s="54" t="str">
        <f t="shared" si="423"/>
        <v/>
      </c>
      <c r="CO191" s="238">
        <v>0</v>
      </c>
      <c r="CP191" s="54" t="str">
        <f t="shared" si="424"/>
        <v/>
      </c>
      <c r="CQ191" s="353">
        <f>+Расходы!M141/1000</f>
        <v>0</v>
      </c>
      <c r="CR191" s="54" t="str">
        <f t="shared" si="425"/>
        <v/>
      </c>
      <c r="CS191" s="468" t="str">
        <f t="shared" si="382"/>
        <v/>
      </c>
      <c r="CT191" s="468" t="str">
        <f t="shared" si="383"/>
        <v/>
      </c>
      <c r="CU191" s="344">
        <f t="shared" si="292"/>
        <v>0</v>
      </c>
      <c r="CV191" s="54" t="str">
        <f t="shared" si="384"/>
        <v/>
      </c>
      <c r="CW191" s="238">
        <f t="shared" si="293"/>
        <v>450</v>
      </c>
      <c r="CX191" s="54">
        <f t="shared" si="385"/>
        <v>3.3934098723651753E-3</v>
      </c>
      <c r="CY191" s="353">
        <f t="shared" si="386"/>
        <v>363.18133999999998</v>
      </c>
      <c r="CZ191" s="54">
        <f t="shared" si="387"/>
        <v>7.3208700002888576E-3</v>
      </c>
      <c r="DA191" s="468">
        <f t="shared" si="388"/>
        <v>-0.1929303555555556</v>
      </c>
      <c r="DB191" s="468" t="str">
        <f t="shared" si="389"/>
        <v/>
      </c>
    </row>
    <row r="192" spans="2:106" s="103" customFormat="1" ht="13.15" customHeight="1" outlineLevel="2">
      <c r="B192" s="61" t="str">
        <f>+Расходы!A142</f>
        <v>Стройматериалы</v>
      </c>
      <c r="C192" s="238"/>
      <c r="D192" s="54" t="str">
        <f t="shared" si="390"/>
        <v/>
      </c>
      <c r="E192" s="238"/>
      <c r="F192" s="54" t="str">
        <f t="shared" si="391"/>
        <v/>
      </c>
      <c r="G192" s="353">
        <f>+Расходы!B142/1000</f>
        <v>0</v>
      </c>
      <c r="H192" s="54" t="str">
        <f t="shared" si="392"/>
        <v/>
      </c>
      <c r="I192" s="468" t="str">
        <f t="shared" si="360"/>
        <v/>
      </c>
      <c r="J192" s="468" t="str">
        <f t="shared" si="361"/>
        <v/>
      </c>
      <c r="K192" s="238"/>
      <c r="L192" s="54" t="str">
        <f t="shared" si="393"/>
        <v/>
      </c>
      <c r="M192" s="238"/>
      <c r="N192" s="54" t="str">
        <f t="shared" si="394"/>
        <v/>
      </c>
      <c r="O192" s="353">
        <f>+Расходы!C142/1000</f>
        <v>0</v>
      </c>
      <c r="P192" s="54" t="str">
        <f t="shared" si="395"/>
        <v/>
      </c>
      <c r="Q192" s="468" t="str">
        <f t="shared" si="362"/>
        <v/>
      </c>
      <c r="R192" s="468" t="str">
        <f t="shared" si="363"/>
        <v/>
      </c>
      <c r="S192" s="238"/>
      <c r="T192" s="54" t="str">
        <f t="shared" si="396"/>
        <v/>
      </c>
      <c r="U192" s="238">
        <v>0</v>
      </c>
      <c r="V192" s="54" t="str">
        <f t="shared" si="397"/>
        <v/>
      </c>
      <c r="W192" s="353">
        <f>+Расходы!D142/1000</f>
        <v>0</v>
      </c>
      <c r="X192" s="54" t="str">
        <f t="shared" si="398"/>
        <v/>
      </c>
      <c r="Y192" s="468" t="str">
        <f t="shared" si="364"/>
        <v/>
      </c>
      <c r="Z192" s="468" t="str">
        <f t="shared" si="365"/>
        <v/>
      </c>
      <c r="AA192" s="238"/>
      <c r="AB192" s="54" t="str">
        <f t="shared" si="399"/>
        <v/>
      </c>
      <c r="AC192" s="238">
        <v>0</v>
      </c>
      <c r="AD192" s="54" t="str">
        <f t="shared" si="400"/>
        <v/>
      </c>
      <c r="AE192" s="353">
        <f>+Расходы!E142/1000</f>
        <v>0.83499999999999996</v>
      </c>
      <c r="AF192" s="54">
        <f t="shared" si="401"/>
        <v>6.0890237143773878E-5</v>
      </c>
      <c r="AG192" s="468" t="str">
        <f t="shared" si="366"/>
        <v/>
      </c>
      <c r="AH192" s="468" t="str">
        <f t="shared" si="367"/>
        <v/>
      </c>
      <c r="AI192" s="238"/>
      <c r="AJ192" s="54" t="str">
        <f t="shared" si="402"/>
        <v/>
      </c>
      <c r="AK192" s="238">
        <v>0</v>
      </c>
      <c r="AL192" s="54" t="str">
        <f t="shared" si="403"/>
        <v/>
      </c>
      <c r="AM192" s="353">
        <f>+Расходы!F142/1000</f>
        <v>4.7840299999999996</v>
      </c>
      <c r="AN192" s="54">
        <f t="shared" si="404"/>
        <v>3.0447112792989569E-4</v>
      </c>
      <c r="AO192" s="468" t="str">
        <f t="shared" si="368"/>
        <v/>
      </c>
      <c r="AP192" s="468" t="str">
        <f t="shared" si="369"/>
        <v/>
      </c>
      <c r="AQ192" s="344"/>
      <c r="AR192" s="54" t="str">
        <f t="shared" si="405"/>
        <v/>
      </c>
      <c r="AS192" s="238">
        <v>0</v>
      </c>
      <c r="AT192" s="54" t="str">
        <f t="shared" si="406"/>
        <v/>
      </c>
      <c r="AU192" s="353">
        <f>+Расходы!G142/1000</f>
        <v>13.329000000000001</v>
      </c>
      <c r="AV192" s="54">
        <f t="shared" si="407"/>
        <v>9.351485134969314E-4</v>
      </c>
      <c r="AW192" s="468" t="str">
        <f t="shared" si="370"/>
        <v/>
      </c>
      <c r="AX192" s="468" t="str">
        <f t="shared" si="371"/>
        <v/>
      </c>
      <c r="AY192" s="344"/>
      <c r="AZ192" s="54" t="str">
        <f t="shared" si="408"/>
        <v/>
      </c>
      <c r="BA192" s="238">
        <v>0</v>
      </c>
      <c r="BB192" s="54" t="str">
        <f t="shared" si="409"/>
        <v/>
      </c>
      <c r="BC192" s="353">
        <f>+Расходы!H142/1000</f>
        <v>0</v>
      </c>
      <c r="BD192" s="54" t="str">
        <f t="shared" si="410"/>
        <v/>
      </c>
      <c r="BE192" s="468" t="str">
        <f t="shared" si="372"/>
        <v/>
      </c>
      <c r="BF192" s="468" t="str">
        <f t="shared" si="373"/>
        <v/>
      </c>
      <c r="BG192" s="344"/>
      <c r="BH192" s="54" t="str">
        <f t="shared" si="411"/>
        <v/>
      </c>
      <c r="BI192" s="238">
        <v>0</v>
      </c>
      <c r="BJ192" s="54" t="str">
        <f t="shared" si="412"/>
        <v/>
      </c>
      <c r="BK192" s="353">
        <f>+Расходы!I142/1000</f>
        <v>0</v>
      </c>
      <c r="BL192" s="54" t="str">
        <f t="shared" si="413"/>
        <v/>
      </c>
      <c r="BM192" s="468" t="str">
        <f t="shared" si="374"/>
        <v/>
      </c>
      <c r="BN192" s="468" t="str">
        <f t="shared" si="375"/>
        <v/>
      </c>
      <c r="BO192" s="344"/>
      <c r="BP192" s="54" t="str">
        <f t="shared" si="414"/>
        <v/>
      </c>
      <c r="BQ192" s="238">
        <v>0</v>
      </c>
      <c r="BR192" s="54" t="str">
        <f t="shared" si="415"/>
        <v/>
      </c>
      <c r="BS192" s="353">
        <f>+Расходы!J142/1000</f>
        <v>0</v>
      </c>
      <c r="BT192" s="54" t="str">
        <f t="shared" si="416"/>
        <v/>
      </c>
      <c r="BU192" s="468" t="str">
        <f t="shared" si="376"/>
        <v/>
      </c>
      <c r="BV192" s="468" t="str">
        <f t="shared" si="377"/>
        <v/>
      </c>
      <c r="BW192" s="344"/>
      <c r="BX192" s="54" t="str">
        <f t="shared" si="417"/>
        <v/>
      </c>
      <c r="BY192" s="238">
        <v>0</v>
      </c>
      <c r="BZ192" s="54" t="str">
        <f t="shared" si="418"/>
        <v/>
      </c>
      <c r="CA192" s="353">
        <f>+Расходы!K142/1000</f>
        <v>0</v>
      </c>
      <c r="CB192" s="54" t="str">
        <f t="shared" si="419"/>
        <v/>
      </c>
      <c r="CC192" s="468" t="str">
        <f t="shared" si="378"/>
        <v/>
      </c>
      <c r="CD192" s="468" t="str">
        <f t="shared" si="379"/>
        <v/>
      </c>
      <c r="CE192" s="344"/>
      <c r="CF192" s="54" t="str">
        <f t="shared" si="420"/>
        <v/>
      </c>
      <c r="CG192" s="238">
        <v>0</v>
      </c>
      <c r="CH192" s="54" t="str">
        <f t="shared" si="421"/>
        <v/>
      </c>
      <c r="CI192" s="353">
        <f>+Расходы!L142/1000</f>
        <v>0</v>
      </c>
      <c r="CJ192" s="54" t="str">
        <f t="shared" si="422"/>
        <v/>
      </c>
      <c r="CK192" s="468" t="str">
        <f t="shared" si="380"/>
        <v/>
      </c>
      <c r="CL192" s="468" t="str">
        <f t="shared" si="381"/>
        <v/>
      </c>
      <c r="CM192" s="344"/>
      <c r="CN192" s="54" t="str">
        <f t="shared" si="423"/>
        <v/>
      </c>
      <c r="CO192" s="238">
        <v>0</v>
      </c>
      <c r="CP192" s="54" t="str">
        <f t="shared" si="424"/>
        <v/>
      </c>
      <c r="CQ192" s="353">
        <f>+Расходы!M142/1000</f>
        <v>0</v>
      </c>
      <c r="CR192" s="54" t="str">
        <f t="shared" si="425"/>
        <v/>
      </c>
      <c r="CS192" s="468" t="str">
        <f t="shared" si="382"/>
        <v/>
      </c>
      <c r="CT192" s="468" t="str">
        <f t="shared" si="383"/>
        <v/>
      </c>
      <c r="CU192" s="344">
        <f t="shared" si="292"/>
        <v>0</v>
      </c>
      <c r="CV192" s="54" t="str">
        <f t="shared" si="384"/>
        <v/>
      </c>
      <c r="CW192" s="238">
        <f t="shared" si="293"/>
        <v>0</v>
      </c>
      <c r="CX192" s="54">
        <f t="shared" si="385"/>
        <v>0</v>
      </c>
      <c r="CY192" s="353">
        <f t="shared" si="386"/>
        <v>18.948029999999999</v>
      </c>
      <c r="CZ192" s="54">
        <f t="shared" si="387"/>
        <v>3.8194711322881645E-4</v>
      </c>
      <c r="DA192" s="468" t="str">
        <f t="shared" si="388"/>
        <v/>
      </c>
      <c r="DB192" s="468" t="str">
        <f t="shared" si="389"/>
        <v/>
      </c>
    </row>
    <row r="193" spans="2:106" s="103" customFormat="1" ht="13.15" customHeight="1" outlineLevel="2">
      <c r="B193" s="61" t="str">
        <f>+Расходы!A143</f>
        <v>Уголь, дрова, газ</v>
      </c>
      <c r="C193" s="238"/>
      <c r="D193" s="54" t="str">
        <f t="shared" si="390"/>
        <v/>
      </c>
      <c r="E193" s="238"/>
      <c r="F193" s="54" t="str">
        <f t="shared" si="391"/>
        <v/>
      </c>
      <c r="G193" s="353">
        <f>+Расходы!B143/1000</f>
        <v>0</v>
      </c>
      <c r="H193" s="54" t="str">
        <f t="shared" si="392"/>
        <v/>
      </c>
      <c r="I193" s="468" t="str">
        <f t="shared" si="360"/>
        <v/>
      </c>
      <c r="J193" s="468" t="str">
        <f t="shared" si="361"/>
        <v/>
      </c>
      <c r="K193" s="238"/>
      <c r="L193" s="54" t="str">
        <f t="shared" si="393"/>
        <v/>
      </c>
      <c r="M193" s="238"/>
      <c r="N193" s="54" t="str">
        <f t="shared" si="394"/>
        <v/>
      </c>
      <c r="O193" s="353">
        <f>+Расходы!C143/1000</f>
        <v>0</v>
      </c>
      <c r="P193" s="54" t="str">
        <f t="shared" si="395"/>
        <v/>
      </c>
      <c r="Q193" s="468" t="str">
        <f t="shared" si="362"/>
        <v/>
      </c>
      <c r="R193" s="468" t="str">
        <f t="shared" si="363"/>
        <v/>
      </c>
      <c r="S193" s="238"/>
      <c r="T193" s="54" t="str">
        <f t="shared" si="396"/>
        <v/>
      </c>
      <c r="U193" s="238">
        <v>0</v>
      </c>
      <c r="V193" s="54" t="str">
        <f t="shared" si="397"/>
        <v/>
      </c>
      <c r="W193" s="353">
        <f>+Расходы!D143/1000</f>
        <v>0</v>
      </c>
      <c r="X193" s="54" t="str">
        <f t="shared" si="398"/>
        <v/>
      </c>
      <c r="Y193" s="468" t="str">
        <f t="shared" si="364"/>
        <v/>
      </c>
      <c r="Z193" s="468" t="str">
        <f t="shared" si="365"/>
        <v/>
      </c>
      <c r="AA193" s="238"/>
      <c r="AB193" s="54" t="str">
        <f t="shared" si="399"/>
        <v/>
      </c>
      <c r="AC193" s="238">
        <v>0</v>
      </c>
      <c r="AD193" s="54" t="str">
        <f t="shared" si="400"/>
        <v/>
      </c>
      <c r="AE193" s="353">
        <f>+Расходы!E143/1000</f>
        <v>0</v>
      </c>
      <c r="AF193" s="54" t="str">
        <f t="shared" si="401"/>
        <v/>
      </c>
      <c r="AG193" s="468" t="str">
        <f t="shared" si="366"/>
        <v/>
      </c>
      <c r="AH193" s="468" t="str">
        <f t="shared" si="367"/>
        <v/>
      </c>
      <c r="AI193" s="238"/>
      <c r="AJ193" s="54" t="str">
        <f t="shared" si="402"/>
        <v/>
      </c>
      <c r="AK193" s="238">
        <v>0</v>
      </c>
      <c r="AL193" s="54" t="str">
        <f t="shared" si="403"/>
        <v/>
      </c>
      <c r="AM193" s="353">
        <f>+Расходы!F143/1000</f>
        <v>0</v>
      </c>
      <c r="AN193" s="54" t="str">
        <f t="shared" si="404"/>
        <v/>
      </c>
      <c r="AO193" s="468" t="str">
        <f t="shared" si="368"/>
        <v/>
      </c>
      <c r="AP193" s="468" t="str">
        <f t="shared" si="369"/>
        <v/>
      </c>
      <c r="AQ193" s="344"/>
      <c r="AR193" s="54" t="str">
        <f t="shared" si="405"/>
        <v/>
      </c>
      <c r="AS193" s="238">
        <v>0</v>
      </c>
      <c r="AT193" s="54" t="str">
        <f t="shared" si="406"/>
        <v/>
      </c>
      <c r="AU193" s="353">
        <f>+Расходы!G143/1000</f>
        <v>0</v>
      </c>
      <c r="AV193" s="54" t="str">
        <f t="shared" si="407"/>
        <v/>
      </c>
      <c r="AW193" s="468" t="str">
        <f t="shared" si="370"/>
        <v/>
      </c>
      <c r="AX193" s="468" t="str">
        <f t="shared" si="371"/>
        <v/>
      </c>
      <c r="AY193" s="344"/>
      <c r="AZ193" s="54" t="str">
        <f t="shared" si="408"/>
        <v/>
      </c>
      <c r="BA193" s="238">
        <v>0</v>
      </c>
      <c r="BB193" s="54" t="str">
        <f t="shared" si="409"/>
        <v/>
      </c>
      <c r="BC193" s="353">
        <f>+Расходы!H143/1000</f>
        <v>0</v>
      </c>
      <c r="BD193" s="54" t="str">
        <f t="shared" si="410"/>
        <v/>
      </c>
      <c r="BE193" s="468" t="str">
        <f t="shared" si="372"/>
        <v/>
      </c>
      <c r="BF193" s="468" t="str">
        <f t="shared" si="373"/>
        <v/>
      </c>
      <c r="BG193" s="344"/>
      <c r="BH193" s="54" t="str">
        <f t="shared" si="411"/>
        <v/>
      </c>
      <c r="BI193" s="238">
        <v>0</v>
      </c>
      <c r="BJ193" s="54" t="str">
        <f t="shared" si="412"/>
        <v/>
      </c>
      <c r="BK193" s="353">
        <f>+Расходы!I143/1000</f>
        <v>0</v>
      </c>
      <c r="BL193" s="54" t="str">
        <f t="shared" si="413"/>
        <v/>
      </c>
      <c r="BM193" s="468" t="str">
        <f t="shared" si="374"/>
        <v/>
      </c>
      <c r="BN193" s="468" t="str">
        <f t="shared" si="375"/>
        <v/>
      </c>
      <c r="BO193" s="344"/>
      <c r="BP193" s="54" t="str">
        <f t="shared" si="414"/>
        <v/>
      </c>
      <c r="BQ193" s="238">
        <v>0</v>
      </c>
      <c r="BR193" s="54" t="str">
        <f t="shared" si="415"/>
        <v/>
      </c>
      <c r="BS193" s="353">
        <f>+Расходы!J143/1000</f>
        <v>0</v>
      </c>
      <c r="BT193" s="54" t="str">
        <f t="shared" si="416"/>
        <v/>
      </c>
      <c r="BU193" s="468" t="str">
        <f t="shared" si="376"/>
        <v/>
      </c>
      <c r="BV193" s="468" t="str">
        <f t="shared" si="377"/>
        <v/>
      </c>
      <c r="BW193" s="344"/>
      <c r="BX193" s="54" t="str">
        <f t="shared" si="417"/>
        <v/>
      </c>
      <c r="BY193" s="238">
        <v>0</v>
      </c>
      <c r="BZ193" s="54" t="str">
        <f t="shared" si="418"/>
        <v/>
      </c>
      <c r="CA193" s="353">
        <f>+Расходы!K143/1000</f>
        <v>0</v>
      </c>
      <c r="CB193" s="54" t="str">
        <f t="shared" si="419"/>
        <v/>
      </c>
      <c r="CC193" s="468" t="str">
        <f t="shared" si="378"/>
        <v/>
      </c>
      <c r="CD193" s="468" t="str">
        <f t="shared" si="379"/>
        <v/>
      </c>
      <c r="CE193" s="344"/>
      <c r="CF193" s="54" t="str">
        <f t="shared" si="420"/>
        <v/>
      </c>
      <c r="CG193" s="238">
        <v>0</v>
      </c>
      <c r="CH193" s="54" t="str">
        <f t="shared" si="421"/>
        <v/>
      </c>
      <c r="CI193" s="353">
        <f>+Расходы!L143/1000</f>
        <v>0</v>
      </c>
      <c r="CJ193" s="54" t="str">
        <f t="shared" si="422"/>
        <v/>
      </c>
      <c r="CK193" s="468" t="str">
        <f t="shared" si="380"/>
        <v/>
      </c>
      <c r="CL193" s="468" t="str">
        <f t="shared" si="381"/>
        <v/>
      </c>
      <c r="CM193" s="344"/>
      <c r="CN193" s="54" t="str">
        <f t="shared" si="423"/>
        <v/>
      </c>
      <c r="CO193" s="238">
        <v>0</v>
      </c>
      <c r="CP193" s="54" t="str">
        <f t="shared" si="424"/>
        <v/>
      </c>
      <c r="CQ193" s="353">
        <f>+Расходы!M143/1000</f>
        <v>0</v>
      </c>
      <c r="CR193" s="54" t="str">
        <f t="shared" si="425"/>
        <v/>
      </c>
      <c r="CS193" s="468" t="str">
        <f t="shared" si="382"/>
        <v/>
      </c>
      <c r="CT193" s="468" t="str">
        <f t="shared" si="383"/>
        <v/>
      </c>
      <c r="CU193" s="344">
        <f t="shared" si="292"/>
        <v>0</v>
      </c>
      <c r="CV193" s="54" t="str">
        <f t="shared" si="384"/>
        <v/>
      </c>
      <c r="CW193" s="238">
        <f t="shared" si="293"/>
        <v>0</v>
      </c>
      <c r="CX193" s="54">
        <f t="shared" si="385"/>
        <v>0</v>
      </c>
      <c r="CY193" s="353">
        <f t="shared" si="386"/>
        <v>0</v>
      </c>
      <c r="CZ193" s="54">
        <f t="shared" si="387"/>
        <v>0</v>
      </c>
      <c r="DA193" s="468" t="str">
        <f t="shared" si="388"/>
        <v/>
      </c>
      <c r="DB193" s="468" t="str">
        <f t="shared" si="389"/>
        <v/>
      </c>
    </row>
    <row r="194" spans="2:106" s="103" customFormat="1" ht="13.15" customHeight="1" outlineLevel="2">
      <c r="B194" s="61" t="str">
        <f>+Расходы!A144</f>
        <v>Упаковка (посуда однораз., пакеты, коробки, наклейки)</v>
      </c>
      <c r="C194" s="238"/>
      <c r="D194" s="54" t="str">
        <f t="shared" si="390"/>
        <v/>
      </c>
      <c r="E194" s="238"/>
      <c r="F194" s="54" t="str">
        <f t="shared" si="391"/>
        <v/>
      </c>
      <c r="G194" s="353">
        <f>+Расходы!B144/1000</f>
        <v>0</v>
      </c>
      <c r="H194" s="54" t="str">
        <f t="shared" si="392"/>
        <v/>
      </c>
      <c r="I194" s="468" t="str">
        <f t="shared" si="360"/>
        <v/>
      </c>
      <c r="J194" s="468" t="str">
        <f t="shared" si="361"/>
        <v/>
      </c>
      <c r="K194" s="238"/>
      <c r="L194" s="54" t="str">
        <f t="shared" si="393"/>
        <v/>
      </c>
      <c r="M194" s="238"/>
      <c r="N194" s="54" t="str">
        <f t="shared" si="394"/>
        <v/>
      </c>
      <c r="O194" s="353">
        <f>+Расходы!C144/1000</f>
        <v>0</v>
      </c>
      <c r="P194" s="54" t="str">
        <f t="shared" si="395"/>
        <v/>
      </c>
      <c r="Q194" s="468" t="str">
        <f t="shared" si="362"/>
        <v/>
      </c>
      <c r="R194" s="468" t="str">
        <f t="shared" si="363"/>
        <v/>
      </c>
      <c r="S194" s="238"/>
      <c r="T194" s="54" t="str">
        <f t="shared" si="396"/>
        <v/>
      </c>
      <c r="U194" s="238">
        <v>0</v>
      </c>
      <c r="V194" s="54" t="str">
        <f t="shared" si="397"/>
        <v/>
      </c>
      <c r="W194" s="353">
        <f>+Расходы!D144/1000</f>
        <v>2.4504000000000001</v>
      </c>
      <c r="X194" s="54">
        <f t="shared" si="398"/>
        <v>4.132278790536097E-4</v>
      </c>
      <c r="Y194" s="468" t="str">
        <f t="shared" si="364"/>
        <v/>
      </c>
      <c r="Z194" s="468" t="str">
        <f t="shared" si="365"/>
        <v/>
      </c>
      <c r="AA194" s="238"/>
      <c r="AB194" s="54" t="str">
        <f t="shared" si="399"/>
        <v/>
      </c>
      <c r="AC194" s="238">
        <v>30</v>
      </c>
      <c r="AD194" s="54">
        <f t="shared" si="400"/>
        <v>2.1942913316715233E-3</v>
      </c>
      <c r="AE194" s="353">
        <f>+Расходы!E144/1000</f>
        <v>45.044069999999998</v>
      </c>
      <c r="AF194" s="54">
        <f t="shared" si="401"/>
        <v>3.2847234781086831E-3</v>
      </c>
      <c r="AG194" s="468">
        <f t="shared" si="366"/>
        <v>0.50146899999999994</v>
      </c>
      <c r="AH194" s="468" t="str">
        <f t="shared" si="367"/>
        <v/>
      </c>
      <c r="AI194" s="238"/>
      <c r="AJ194" s="54" t="str">
        <f t="shared" si="402"/>
        <v/>
      </c>
      <c r="AK194" s="238">
        <v>40</v>
      </c>
      <c r="AL194" s="54">
        <f t="shared" si="403"/>
        <v>2.8628685943315204E-3</v>
      </c>
      <c r="AM194" s="353">
        <f>+Расходы!F144/1000</f>
        <v>119.54966999999999</v>
      </c>
      <c r="AN194" s="54">
        <f t="shared" si="404"/>
        <v>7.6085273019915875E-3</v>
      </c>
      <c r="AO194" s="468">
        <f t="shared" si="368"/>
        <v>1.98874175</v>
      </c>
      <c r="AP194" s="468" t="str">
        <f t="shared" si="369"/>
        <v/>
      </c>
      <c r="AQ194" s="344"/>
      <c r="AR194" s="54" t="str">
        <f t="shared" si="405"/>
        <v/>
      </c>
      <c r="AS194" s="238">
        <v>60</v>
      </c>
      <c r="AT194" s="54">
        <f t="shared" si="406"/>
        <v>3.9787798408488064E-3</v>
      </c>
      <c r="AU194" s="353">
        <f>+Расходы!G144/1000</f>
        <v>66.840469999999996</v>
      </c>
      <c r="AV194" s="54">
        <f t="shared" si="407"/>
        <v>4.6894565355192607E-3</v>
      </c>
      <c r="AW194" s="468">
        <f t="shared" si="370"/>
        <v>0.1140078333333332</v>
      </c>
      <c r="AX194" s="468" t="str">
        <f t="shared" si="371"/>
        <v/>
      </c>
      <c r="AY194" s="344"/>
      <c r="AZ194" s="54" t="str">
        <f t="shared" si="408"/>
        <v/>
      </c>
      <c r="BA194" s="238">
        <v>60</v>
      </c>
      <c r="BB194" s="54">
        <f t="shared" si="409"/>
        <v>3.829583532790809E-3</v>
      </c>
      <c r="BC194" s="353">
        <f>+Расходы!H144/1000</f>
        <v>0</v>
      </c>
      <c r="BD194" s="54" t="str">
        <f t="shared" si="410"/>
        <v/>
      </c>
      <c r="BE194" s="468">
        <f t="shared" si="372"/>
        <v>-1</v>
      </c>
      <c r="BF194" s="468" t="str">
        <f t="shared" si="373"/>
        <v/>
      </c>
      <c r="BG194" s="344"/>
      <c r="BH194" s="54" t="str">
        <f t="shared" si="411"/>
        <v/>
      </c>
      <c r="BI194" s="238">
        <v>60</v>
      </c>
      <c r="BJ194" s="54">
        <f t="shared" si="412"/>
        <v>3.829583532790809E-3</v>
      </c>
      <c r="BK194" s="353">
        <f>+Расходы!I144/1000</f>
        <v>0</v>
      </c>
      <c r="BL194" s="54" t="str">
        <f t="shared" si="413"/>
        <v/>
      </c>
      <c r="BM194" s="468">
        <f t="shared" si="374"/>
        <v>-1</v>
      </c>
      <c r="BN194" s="468" t="str">
        <f t="shared" si="375"/>
        <v/>
      </c>
      <c r="BO194" s="344"/>
      <c r="BP194" s="54" t="str">
        <f t="shared" si="414"/>
        <v/>
      </c>
      <c r="BQ194" s="238">
        <v>60</v>
      </c>
      <c r="BR194" s="54">
        <f t="shared" si="415"/>
        <v>4.1436464088397788E-3</v>
      </c>
      <c r="BS194" s="353">
        <f>+Расходы!J144/1000</f>
        <v>0</v>
      </c>
      <c r="BT194" s="54" t="str">
        <f t="shared" si="416"/>
        <v/>
      </c>
      <c r="BU194" s="468">
        <f t="shared" si="376"/>
        <v>-1</v>
      </c>
      <c r="BV194" s="468" t="str">
        <f t="shared" si="377"/>
        <v/>
      </c>
      <c r="BW194" s="344"/>
      <c r="BX194" s="54" t="str">
        <f t="shared" si="417"/>
        <v/>
      </c>
      <c r="BY194" s="238">
        <v>0</v>
      </c>
      <c r="BZ194" s="54" t="str">
        <f t="shared" si="418"/>
        <v/>
      </c>
      <c r="CA194" s="353">
        <f>+Расходы!K144/1000</f>
        <v>0</v>
      </c>
      <c r="CB194" s="54" t="str">
        <f t="shared" si="419"/>
        <v/>
      </c>
      <c r="CC194" s="468" t="str">
        <f t="shared" si="378"/>
        <v/>
      </c>
      <c r="CD194" s="468" t="str">
        <f t="shared" si="379"/>
        <v/>
      </c>
      <c r="CE194" s="344"/>
      <c r="CF194" s="54" t="str">
        <f t="shared" si="420"/>
        <v/>
      </c>
      <c r="CG194" s="238">
        <v>0</v>
      </c>
      <c r="CH194" s="54" t="str">
        <f t="shared" si="421"/>
        <v/>
      </c>
      <c r="CI194" s="353">
        <f>+Расходы!L144/1000</f>
        <v>0</v>
      </c>
      <c r="CJ194" s="54" t="str">
        <f t="shared" si="422"/>
        <v/>
      </c>
      <c r="CK194" s="468" t="str">
        <f t="shared" si="380"/>
        <v/>
      </c>
      <c r="CL194" s="468" t="str">
        <f t="shared" si="381"/>
        <v/>
      </c>
      <c r="CM194" s="344"/>
      <c r="CN194" s="54" t="str">
        <f t="shared" si="423"/>
        <v/>
      </c>
      <c r="CO194" s="238">
        <v>0</v>
      </c>
      <c r="CP194" s="54" t="str">
        <f t="shared" si="424"/>
        <v/>
      </c>
      <c r="CQ194" s="353">
        <f>+Расходы!M144/1000</f>
        <v>0</v>
      </c>
      <c r="CR194" s="54" t="str">
        <f t="shared" si="425"/>
        <v/>
      </c>
      <c r="CS194" s="468" t="str">
        <f t="shared" si="382"/>
        <v/>
      </c>
      <c r="CT194" s="468" t="str">
        <f t="shared" si="383"/>
        <v/>
      </c>
      <c r="CU194" s="344">
        <f t="shared" si="292"/>
        <v>0</v>
      </c>
      <c r="CV194" s="54" t="str">
        <f t="shared" si="384"/>
        <v/>
      </c>
      <c r="CW194" s="238">
        <f t="shared" si="293"/>
        <v>310</v>
      </c>
      <c r="CX194" s="54">
        <f t="shared" si="385"/>
        <v>2.3376823565182318E-3</v>
      </c>
      <c r="CY194" s="353">
        <f t="shared" si="386"/>
        <v>233.88461000000001</v>
      </c>
      <c r="CZ194" s="54">
        <f t="shared" si="387"/>
        <v>4.7145561632606437E-3</v>
      </c>
      <c r="DA194" s="468">
        <f t="shared" si="388"/>
        <v>-0.24553351612903218</v>
      </c>
      <c r="DB194" s="468" t="str">
        <f t="shared" si="389"/>
        <v/>
      </c>
    </row>
    <row r="195" spans="2:106" s="103" customFormat="1" ht="13.15" customHeight="1" outlineLevel="2">
      <c r="B195" s="61" t="str">
        <f>+Расходы!A145</f>
        <v>Хоз расходы прочие</v>
      </c>
      <c r="C195" s="238"/>
      <c r="D195" s="54" t="str">
        <f t="shared" si="390"/>
        <v/>
      </c>
      <c r="E195" s="238"/>
      <c r="F195" s="54" t="str">
        <f t="shared" si="391"/>
        <v/>
      </c>
      <c r="G195" s="353">
        <f>+Расходы!B145/1000</f>
        <v>0</v>
      </c>
      <c r="H195" s="54" t="str">
        <f t="shared" si="392"/>
        <v/>
      </c>
      <c r="I195" s="468" t="str">
        <f t="shared" si="360"/>
        <v/>
      </c>
      <c r="J195" s="468" t="str">
        <f t="shared" si="361"/>
        <v/>
      </c>
      <c r="K195" s="238"/>
      <c r="L195" s="54" t="str">
        <f t="shared" si="393"/>
        <v/>
      </c>
      <c r="M195" s="238"/>
      <c r="N195" s="54" t="str">
        <f t="shared" si="394"/>
        <v/>
      </c>
      <c r="O195" s="353">
        <f>+Расходы!C145/1000</f>
        <v>0</v>
      </c>
      <c r="P195" s="54" t="str">
        <f t="shared" si="395"/>
        <v/>
      </c>
      <c r="Q195" s="468" t="str">
        <f t="shared" si="362"/>
        <v/>
      </c>
      <c r="R195" s="468" t="str">
        <f t="shared" si="363"/>
        <v/>
      </c>
      <c r="S195" s="238"/>
      <c r="T195" s="54" t="str">
        <f t="shared" si="396"/>
        <v/>
      </c>
      <c r="U195" s="238">
        <v>0</v>
      </c>
      <c r="V195" s="54" t="str">
        <f t="shared" si="397"/>
        <v/>
      </c>
      <c r="W195" s="353">
        <f>+Расходы!D145/1000</f>
        <v>0</v>
      </c>
      <c r="X195" s="54" t="str">
        <f t="shared" si="398"/>
        <v/>
      </c>
      <c r="Y195" s="468" t="str">
        <f t="shared" si="364"/>
        <v/>
      </c>
      <c r="Z195" s="468" t="str">
        <f t="shared" si="365"/>
        <v/>
      </c>
      <c r="AA195" s="238"/>
      <c r="AB195" s="54" t="str">
        <f t="shared" si="399"/>
        <v/>
      </c>
      <c r="AC195" s="238">
        <v>20</v>
      </c>
      <c r="AD195" s="54">
        <f t="shared" si="400"/>
        <v>1.4628608877810157E-3</v>
      </c>
      <c r="AE195" s="353">
        <f>+Расходы!E145/1000</f>
        <v>0</v>
      </c>
      <c r="AF195" s="54" t="str">
        <f t="shared" si="401"/>
        <v/>
      </c>
      <c r="AG195" s="468">
        <f t="shared" si="366"/>
        <v>-1</v>
      </c>
      <c r="AH195" s="468" t="str">
        <f t="shared" si="367"/>
        <v/>
      </c>
      <c r="AI195" s="238"/>
      <c r="AJ195" s="54" t="str">
        <f t="shared" si="402"/>
        <v/>
      </c>
      <c r="AK195" s="238">
        <v>20</v>
      </c>
      <c r="AL195" s="54">
        <f t="shared" si="403"/>
        <v>1.4314342971657602E-3</v>
      </c>
      <c r="AM195" s="353">
        <f>+Расходы!F145/1000</f>
        <v>0</v>
      </c>
      <c r="AN195" s="54" t="str">
        <f t="shared" si="404"/>
        <v/>
      </c>
      <c r="AO195" s="468">
        <f t="shared" si="368"/>
        <v>-1</v>
      </c>
      <c r="AP195" s="468" t="str">
        <f t="shared" si="369"/>
        <v/>
      </c>
      <c r="AQ195" s="344"/>
      <c r="AR195" s="54" t="str">
        <f t="shared" si="405"/>
        <v/>
      </c>
      <c r="AS195" s="238">
        <v>0</v>
      </c>
      <c r="AT195" s="54" t="str">
        <f t="shared" si="406"/>
        <v/>
      </c>
      <c r="AU195" s="353">
        <f>+Расходы!G145/1000</f>
        <v>0</v>
      </c>
      <c r="AV195" s="54" t="str">
        <f t="shared" si="407"/>
        <v/>
      </c>
      <c r="AW195" s="468" t="str">
        <f t="shared" si="370"/>
        <v/>
      </c>
      <c r="AX195" s="468" t="str">
        <f t="shared" si="371"/>
        <v/>
      </c>
      <c r="AY195" s="344"/>
      <c r="AZ195" s="54" t="str">
        <f t="shared" si="408"/>
        <v/>
      </c>
      <c r="BA195" s="238">
        <v>0</v>
      </c>
      <c r="BB195" s="54" t="str">
        <f t="shared" si="409"/>
        <v/>
      </c>
      <c r="BC195" s="353">
        <f>+Расходы!H145/1000</f>
        <v>0</v>
      </c>
      <c r="BD195" s="54" t="str">
        <f t="shared" si="410"/>
        <v/>
      </c>
      <c r="BE195" s="468" t="str">
        <f t="shared" si="372"/>
        <v/>
      </c>
      <c r="BF195" s="468" t="str">
        <f t="shared" si="373"/>
        <v/>
      </c>
      <c r="BG195" s="344"/>
      <c r="BH195" s="54" t="str">
        <f t="shared" si="411"/>
        <v/>
      </c>
      <c r="BI195" s="238">
        <v>0</v>
      </c>
      <c r="BJ195" s="54" t="str">
        <f t="shared" si="412"/>
        <v/>
      </c>
      <c r="BK195" s="353">
        <f>+Расходы!I145/1000</f>
        <v>0</v>
      </c>
      <c r="BL195" s="54" t="str">
        <f t="shared" si="413"/>
        <v/>
      </c>
      <c r="BM195" s="468" t="str">
        <f t="shared" si="374"/>
        <v/>
      </c>
      <c r="BN195" s="468" t="str">
        <f t="shared" si="375"/>
        <v/>
      </c>
      <c r="BO195" s="344"/>
      <c r="BP195" s="54" t="str">
        <f t="shared" si="414"/>
        <v/>
      </c>
      <c r="BQ195" s="238">
        <v>0</v>
      </c>
      <c r="BR195" s="54" t="str">
        <f t="shared" si="415"/>
        <v/>
      </c>
      <c r="BS195" s="353">
        <f>+Расходы!J145/1000</f>
        <v>0</v>
      </c>
      <c r="BT195" s="54" t="str">
        <f t="shared" si="416"/>
        <v/>
      </c>
      <c r="BU195" s="468" t="str">
        <f t="shared" si="376"/>
        <v/>
      </c>
      <c r="BV195" s="468" t="str">
        <f t="shared" si="377"/>
        <v/>
      </c>
      <c r="BW195" s="344"/>
      <c r="BX195" s="54" t="str">
        <f t="shared" si="417"/>
        <v/>
      </c>
      <c r="BY195" s="238">
        <v>0</v>
      </c>
      <c r="BZ195" s="54" t="str">
        <f t="shared" si="418"/>
        <v/>
      </c>
      <c r="CA195" s="353">
        <f>+Расходы!K145/1000</f>
        <v>0</v>
      </c>
      <c r="CB195" s="54" t="str">
        <f t="shared" si="419"/>
        <v/>
      </c>
      <c r="CC195" s="468" t="str">
        <f t="shared" si="378"/>
        <v/>
      </c>
      <c r="CD195" s="468" t="str">
        <f t="shared" si="379"/>
        <v/>
      </c>
      <c r="CE195" s="344"/>
      <c r="CF195" s="54" t="str">
        <f t="shared" si="420"/>
        <v/>
      </c>
      <c r="CG195" s="238">
        <v>0</v>
      </c>
      <c r="CH195" s="54" t="str">
        <f t="shared" si="421"/>
        <v/>
      </c>
      <c r="CI195" s="353">
        <f>+Расходы!L145/1000</f>
        <v>0</v>
      </c>
      <c r="CJ195" s="54" t="str">
        <f t="shared" si="422"/>
        <v/>
      </c>
      <c r="CK195" s="468" t="str">
        <f t="shared" si="380"/>
        <v/>
      </c>
      <c r="CL195" s="468" t="str">
        <f t="shared" si="381"/>
        <v/>
      </c>
      <c r="CM195" s="344"/>
      <c r="CN195" s="54" t="str">
        <f t="shared" si="423"/>
        <v/>
      </c>
      <c r="CO195" s="238">
        <v>0</v>
      </c>
      <c r="CP195" s="54" t="str">
        <f t="shared" si="424"/>
        <v/>
      </c>
      <c r="CQ195" s="353">
        <f>+Расходы!M145/1000</f>
        <v>0</v>
      </c>
      <c r="CR195" s="54" t="str">
        <f t="shared" si="425"/>
        <v/>
      </c>
      <c r="CS195" s="468" t="str">
        <f t="shared" si="382"/>
        <v/>
      </c>
      <c r="CT195" s="468" t="str">
        <f t="shared" si="383"/>
        <v/>
      </c>
      <c r="CU195" s="344">
        <f t="shared" si="292"/>
        <v>0</v>
      </c>
      <c r="CV195" s="54" t="str">
        <f t="shared" si="384"/>
        <v/>
      </c>
      <c r="CW195" s="238">
        <f t="shared" si="293"/>
        <v>40</v>
      </c>
      <c r="CX195" s="54">
        <f t="shared" si="385"/>
        <v>3.0163643309912669E-4</v>
      </c>
      <c r="CY195" s="353">
        <f t="shared" si="386"/>
        <v>0</v>
      </c>
      <c r="CZ195" s="54">
        <f t="shared" si="387"/>
        <v>0</v>
      </c>
      <c r="DA195" s="468">
        <f t="shared" si="388"/>
        <v>-1</v>
      </c>
      <c r="DB195" s="468" t="str">
        <f t="shared" si="389"/>
        <v/>
      </c>
    </row>
    <row r="196" spans="2:106" s="103" customFormat="1" ht="13.15" customHeight="1" outlineLevel="2">
      <c r="B196" s="61" t="str">
        <f>+Расходы!A146</f>
        <v>Электроматериалы</v>
      </c>
      <c r="C196" s="238"/>
      <c r="D196" s="54" t="str">
        <f t="shared" si="390"/>
        <v/>
      </c>
      <c r="E196" s="238"/>
      <c r="F196" s="54" t="str">
        <f t="shared" si="391"/>
        <v/>
      </c>
      <c r="G196" s="353">
        <f>+Расходы!B146/1000</f>
        <v>0</v>
      </c>
      <c r="H196" s="54" t="str">
        <f t="shared" si="392"/>
        <v/>
      </c>
      <c r="I196" s="468" t="str">
        <f t="shared" si="360"/>
        <v/>
      </c>
      <c r="J196" s="468" t="str">
        <f t="shared" si="361"/>
        <v/>
      </c>
      <c r="K196" s="238"/>
      <c r="L196" s="54" t="str">
        <f t="shared" si="393"/>
        <v/>
      </c>
      <c r="M196" s="238"/>
      <c r="N196" s="54" t="str">
        <f t="shared" si="394"/>
        <v/>
      </c>
      <c r="O196" s="353">
        <f>+Расходы!C146/1000</f>
        <v>0</v>
      </c>
      <c r="P196" s="54" t="str">
        <f t="shared" si="395"/>
        <v/>
      </c>
      <c r="Q196" s="468" t="str">
        <f t="shared" si="362"/>
        <v/>
      </c>
      <c r="R196" s="468" t="str">
        <f t="shared" si="363"/>
        <v/>
      </c>
      <c r="S196" s="238"/>
      <c r="T196" s="54" t="str">
        <f t="shared" si="396"/>
        <v/>
      </c>
      <c r="U196" s="238">
        <v>0</v>
      </c>
      <c r="V196" s="54" t="str">
        <f t="shared" si="397"/>
        <v/>
      </c>
      <c r="W196" s="353">
        <f>+Расходы!D146/1000</f>
        <v>1.218</v>
      </c>
      <c r="X196" s="54">
        <f t="shared" si="398"/>
        <v>2.0539975379011452E-4</v>
      </c>
      <c r="Y196" s="468" t="str">
        <f t="shared" si="364"/>
        <v/>
      </c>
      <c r="Z196" s="468" t="str">
        <f t="shared" si="365"/>
        <v/>
      </c>
      <c r="AA196" s="238"/>
      <c r="AB196" s="54" t="str">
        <f t="shared" si="399"/>
        <v/>
      </c>
      <c r="AC196" s="238">
        <v>5</v>
      </c>
      <c r="AD196" s="54">
        <f t="shared" si="400"/>
        <v>3.6571522194525391E-4</v>
      </c>
      <c r="AE196" s="353">
        <f>+Расходы!E146/1000</f>
        <v>6.8868999999999998</v>
      </c>
      <c r="AF196" s="54">
        <f t="shared" si="401"/>
        <v>5.022095499227022E-4</v>
      </c>
      <c r="AG196" s="468">
        <f t="shared" si="366"/>
        <v>0.37738000000000005</v>
      </c>
      <c r="AH196" s="468" t="str">
        <f t="shared" si="367"/>
        <v/>
      </c>
      <c r="AI196" s="238"/>
      <c r="AJ196" s="54" t="str">
        <f t="shared" si="402"/>
        <v/>
      </c>
      <c r="AK196" s="238">
        <v>5</v>
      </c>
      <c r="AL196" s="54">
        <f t="shared" si="403"/>
        <v>3.5785857429144005E-4</v>
      </c>
      <c r="AM196" s="353">
        <f>+Расходы!F146/1000</f>
        <v>23.638000000000002</v>
      </c>
      <c r="AN196" s="54">
        <f t="shared" si="404"/>
        <v>1.504398701932654E-3</v>
      </c>
      <c r="AO196" s="468">
        <f t="shared" si="368"/>
        <v>3.7276000000000007</v>
      </c>
      <c r="AP196" s="468" t="str">
        <f t="shared" si="369"/>
        <v/>
      </c>
      <c r="AQ196" s="344"/>
      <c r="AR196" s="54" t="str">
        <f t="shared" si="405"/>
        <v/>
      </c>
      <c r="AS196" s="238">
        <v>5</v>
      </c>
      <c r="AT196" s="54">
        <f t="shared" si="406"/>
        <v>3.3156498673740051E-4</v>
      </c>
      <c r="AU196" s="353">
        <f>+Расходы!G146/1000</f>
        <v>1.9059999999999999</v>
      </c>
      <c r="AV196" s="54">
        <f t="shared" si="407"/>
        <v>1.3372293995987327E-4</v>
      </c>
      <c r="AW196" s="468">
        <f t="shared" si="370"/>
        <v>-0.61880000000000002</v>
      </c>
      <c r="AX196" s="468" t="str">
        <f t="shared" si="371"/>
        <v/>
      </c>
      <c r="AY196" s="344"/>
      <c r="AZ196" s="54" t="str">
        <f t="shared" si="408"/>
        <v/>
      </c>
      <c r="BA196" s="238">
        <v>5</v>
      </c>
      <c r="BB196" s="54">
        <f t="shared" si="409"/>
        <v>3.1913196106590075E-4</v>
      </c>
      <c r="BC196" s="353">
        <f>+Расходы!H146/1000</f>
        <v>0</v>
      </c>
      <c r="BD196" s="54" t="str">
        <f t="shared" si="410"/>
        <v/>
      </c>
      <c r="BE196" s="468">
        <f t="shared" si="372"/>
        <v>-1</v>
      </c>
      <c r="BF196" s="468" t="str">
        <f t="shared" si="373"/>
        <v/>
      </c>
      <c r="BG196" s="344"/>
      <c r="BH196" s="54" t="str">
        <f t="shared" si="411"/>
        <v/>
      </c>
      <c r="BI196" s="238">
        <v>5</v>
      </c>
      <c r="BJ196" s="54">
        <f t="shared" si="412"/>
        <v>3.1913196106590075E-4</v>
      </c>
      <c r="BK196" s="353">
        <f>+Расходы!I146/1000</f>
        <v>0</v>
      </c>
      <c r="BL196" s="54" t="str">
        <f t="shared" si="413"/>
        <v/>
      </c>
      <c r="BM196" s="468">
        <f t="shared" si="374"/>
        <v>-1</v>
      </c>
      <c r="BN196" s="468" t="str">
        <f t="shared" si="375"/>
        <v/>
      </c>
      <c r="BO196" s="344"/>
      <c r="BP196" s="54" t="str">
        <f t="shared" si="414"/>
        <v/>
      </c>
      <c r="BQ196" s="238">
        <v>5</v>
      </c>
      <c r="BR196" s="54">
        <f t="shared" si="415"/>
        <v>3.453038674033149E-4</v>
      </c>
      <c r="BS196" s="353">
        <f>+Расходы!J146/1000</f>
        <v>0</v>
      </c>
      <c r="BT196" s="54" t="str">
        <f t="shared" si="416"/>
        <v/>
      </c>
      <c r="BU196" s="468">
        <f t="shared" si="376"/>
        <v>-1</v>
      </c>
      <c r="BV196" s="468" t="str">
        <f t="shared" si="377"/>
        <v/>
      </c>
      <c r="BW196" s="344"/>
      <c r="BX196" s="54" t="str">
        <f t="shared" si="417"/>
        <v/>
      </c>
      <c r="BY196" s="238">
        <v>0</v>
      </c>
      <c r="BZ196" s="54" t="str">
        <f t="shared" si="418"/>
        <v/>
      </c>
      <c r="CA196" s="353">
        <f>+Расходы!K146/1000</f>
        <v>0</v>
      </c>
      <c r="CB196" s="54" t="str">
        <f t="shared" si="419"/>
        <v/>
      </c>
      <c r="CC196" s="468" t="str">
        <f t="shared" si="378"/>
        <v/>
      </c>
      <c r="CD196" s="468" t="str">
        <f t="shared" si="379"/>
        <v/>
      </c>
      <c r="CE196" s="344"/>
      <c r="CF196" s="54" t="str">
        <f t="shared" si="420"/>
        <v/>
      </c>
      <c r="CG196" s="238">
        <v>0</v>
      </c>
      <c r="CH196" s="54" t="str">
        <f t="shared" si="421"/>
        <v/>
      </c>
      <c r="CI196" s="353">
        <f>+Расходы!L146/1000</f>
        <v>0</v>
      </c>
      <c r="CJ196" s="54" t="str">
        <f t="shared" si="422"/>
        <v/>
      </c>
      <c r="CK196" s="468" t="str">
        <f t="shared" si="380"/>
        <v/>
      </c>
      <c r="CL196" s="468" t="str">
        <f t="shared" si="381"/>
        <v/>
      </c>
      <c r="CM196" s="344"/>
      <c r="CN196" s="54" t="str">
        <f t="shared" si="423"/>
        <v/>
      </c>
      <c r="CO196" s="238">
        <v>0</v>
      </c>
      <c r="CP196" s="54" t="str">
        <f t="shared" si="424"/>
        <v/>
      </c>
      <c r="CQ196" s="353">
        <f>+Расходы!M146/1000</f>
        <v>0</v>
      </c>
      <c r="CR196" s="54" t="str">
        <f t="shared" si="425"/>
        <v/>
      </c>
      <c r="CS196" s="468" t="str">
        <f t="shared" si="382"/>
        <v/>
      </c>
      <c r="CT196" s="468" t="str">
        <f t="shared" si="383"/>
        <v/>
      </c>
      <c r="CU196" s="344">
        <f t="shared" ref="CU196:CU232" si="426">SUM(C196,K196,S196,AA196,AI196,AQ196,AY196,BG196,BO196,BW196,CE196,CM196)</f>
        <v>0</v>
      </c>
      <c r="CV196" s="54" t="str">
        <f t="shared" si="384"/>
        <v/>
      </c>
      <c r="CW196" s="238">
        <f t="shared" ref="CW196:CW232" si="427">SUM(E196,M196,U196,AC196,AK196,AS196,BA196,BI196,BQ196,BY196,CG196,CO196)</f>
        <v>30</v>
      </c>
      <c r="CX196" s="54">
        <f t="shared" si="385"/>
        <v>2.2622732482434501E-4</v>
      </c>
      <c r="CY196" s="353">
        <f t="shared" si="386"/>
        <v>33.648900000000005</v>
      </c>
      <c r="CZ196" s="54">
        <f t="shared" si="387"/>
        <v>6.78281605967751E-4</v>
      </c>
      <c r="DA196" s="468">
        <f t="shared" si="388"/>
        <v>0.12163000000000013</v>
      </c>
      <c r="DB196" s="468" t="str">
        <f t="shared" si="389"/>
        <v/>
      </c>
    </row>
    <row r="197" spans="2:106" s="103" customFormat="1" ht="13.9" customHeight="1" outlineLevel="1">
      <c r="B197" s="58" t="str">
        <f>+Расходы!A147</f>
        <v>Прочие расходы</v>
      </c>
      <c r="C197" s="480">
        <f>SUM(C198:C203)</f>
        <v>0</v>
      </c>
      <c r="D197" s="51" t="str">
        <f t="shared" si="390"/>
        <v/>
      </c>
      <c r="E197" s="480">
        <f>SUM(E198:E203)</f>
        <v>0</v>
      </c>
      <c r="F197" s="51" t="str">
        <f t="shared" si="391"/>
        <v/>
      </c>
      <c r="G197" s="354">
        <f>+Расходы!B147/1000</f>
        <v>0</v>
      </c>
      <c r="H197" s="51" t="str">
        <f t="shared" si="392"/>
        <v/>
      </c>
      <c r="I197" s="478" t="str">
        <f t="shared" si="360"/>
        <v/>
      </c>
      <c r="J197" s="478" t="str">
        <f t="shared" si="361"/>
        <v/>
      </c>
      <c r="K197" s="480">
        <f>SUM(K198:K203)</f>
        <v>0</v>
      </c>
      <c r="L197" s="51" t="str">
        <f t="shared" si="393"/>
        <v/>
      </c>
      <c r="M197" s="480">
        <f>SUM(M198:M203)</f>
        <v>0</v>
      </c>
      <c r="N197" s="51" t="str">
        <f t="shared" si="394"/>
        <v/>
      </c>
      <c r="O197" s="354">
        <f>+Расходы!C147/1000</f>
        <v>0</v>
      </c>
      <c r="P197" s="51" t="str">
        <f t="shared" si="395"/>
        <v/>
      </c>
      <c r="Q197" s="478" t="str">
        <f t="shared" si="362"/>
        <v/>
      </c>
      <c r="R197" s="478" t="str">
        <f t="shared" si="363"/>
        <v/>
      </c>
      <c r="S197" s="480">
        <f>SUM(S198:S203)</f>
        <v>0</v>
      </c>
      <c r="T197" s="51" t="str">
        <f t="shared" si="396"/>
        <v/>
      </c>
      <c r="U197" s="480">
        <f>SUM(U198:U203)</f>
        <v>0</v>
      </c>
      <c r="V197" s="51" t="str">
        <f t="shared" si="397"/>
        <v/>
      </c>
      <c r="W197" s="354">
        <f>+Расходы!D147/1000</f>
        <v>1.0417799999999999</v>
      </c>
      <c r="X197" s="51">
        <f t="shared" si="398"/>
        <v>1.7568255788461863E-4</v>
      </c>
      <c r="Y197" s="478" t="str">
        <f t="shared" si="364"/>
        <v/>
      </c>
      <c r="Z197" s="478" t="str">
        <f t="shared" si="365"/>
        <v/>
      </c>
      <c r="AA197" s="480">
        <f>SUM(AA198:AA203)</f>
        <v>0</v>
      </c>
      <c r="AB197" s="51" t="str">
        <f t="shared" si="399"/>
        <v/>
      </c>
      <c r="AC197" s="480">
        <f>SUM(AC198:AC203)</f>
        <v>35</v>
      </c>
      <c r="AD197" s="51">
        <f t="shared" si="400"/>
        <v>2.5600065536167771E-3</v>
      </c>
      <c r="AE197" s="354">
        <f>+Расходы!E147/1000</f>
        <v>7.8698999999999995</v>
      </c>
      <c r="AF197" s="51">
        <f t="shared" si="401"/>
        <v>5.7389230814106106E-4</v>
      </c>
      <c r="AG197" s="478">
        <f t="shared" si="366"/>
        <v>-0.77514571428571433</v>
      </c>
      <c r="AH197" s="478" t="str">
        <f t="shared" si="367"/>
        <v/>
      </c>
      <c r="AI197" s="480">
        <f>SUM(AI198:AI203)</f>
        <v>0</v>
      </c>
      <c r="AJ197" s="51" t="str">
        <f t="shared" si="402"/>
        <v/>
      </c>
      <c r="AK197" s="480">
        <f>SUM(AK198:AK203)</f>
        <v>35</v>
      </c>
      <c r="AL197" s="51">
        <f t="shared" si="403"/>
        <v>2.5050100200400801E-3</v>
      </c>
      <c r="AM197" s="354">
        <f>+Расходы!F147/1000</f>
        <v>28.598849999999999</v>
      </c>
      <c r="AN197" s="51">
        <f t="shared" si="404"/>
        <v>1.8201232260244809E-3</v>
      </c>
      <c r="AO197" s="478">
        <f t="shared" si="368"/>
        <v>-0.18289</v>
      </c>
      <c r="AP197" s="478" t="str">
        <f t="shared" si="369"/>
        <v/>
      </c>
      <c r="AQ197" s="481">
        <f>SUM(AQ198:AQ203)</f>
        <v>0</v>
      </c>
      <c r="AR197" s="51" t="str">
        <f t="shared" si="405"/>
        <v/>
      </c>
      <c r="AS197" s="480">
        <f>SUM(AS198:AS203)</f>
        <v>20</v>
      </c>
      <c r="AT197" s="51">
        <f t="shared" si="406"/>
        <v>1.3262599469496021E-3</v>
      </c>
      <c r="AU197" s="354">
        <f>+Расходы!G147/1000</f>
        <v>-7.34</v>
      </c>
      <c r="AV197" s="51">
        <f t="shared" si="407"/>
        <v>-5.1496662083183099E-4</v>
      </c>
      <c r="AW197" s="478">
        <f t="shared" si="370"/>
        <v>-1.367</v>
      </c>
      <c r="AX197" s="478" t="str">
        <f t="shared" si="371"/>
        <v/>
      </c>
      <c r="AY197" s="481">
        <f>SUM(AY198:AY203)</f>
        <v>0</v>
      </c>
      <c r="AZ197" s="51" t="str">
        <f t="shared" si="408"/>
        <v/>
      </c>
      <c r="BA197" s="480">
        <f>SUM(BA198:BA203)</f>
        <v>20</v>
      </c>
      <c r="BB197" s="51">
        <f t="shared" si="409"/>
        <v>1.276527844263603E-3</v>
      </c>
      <c r="BC197" s="354">
        <f>+Расходы!H147/1000</f>
        <v>0</v>
      </c>
      <c r="BD197" s="51" t="str">
        <f t="shared" si="410"/>
        <v/>
      </c>
      <c r="BE197" s="478">
        <f t="shared" si="372"/>
        <v>-1</v>
      </c>
      <c r="BF197" s="478" t="str">
        <f t="shared" si="373"/>
        <v/>
      </c>
      <c r="BG197" s="481">
        <f>SUM(BG198:BG203)</f>
        <v>0</v>
      </c>
      <c r="BH197" s="51" t="str">
        <f t="shared" si="411"/>
        <v/>
      </c>
      <c r="BI197" s="480">
        <f>SUM(BI198:BI203)</f>
        <v>20</v>
      </c>
      <c r="BJ197" s="51">
        <f t="shared" si="412"/>
        <v>1.276527844263603E-3</v>
      </c>
      <c r="BK197" s="354">
        <f>+Расходы!I147/1000</f>
        <v>0</v>
      </c>
      <c r="BL197" s="51" t="str">
        <f t="shared" si="413"/>
        <v/>
      </c>
      <c r="BM197" s="478">
        <f t="shared" si="374"/>
        <v>-1</v>
      </c>
      <c r="BN197" s="478" t="str">
        <f t="shared" si="375"/>
        <v/>
      </c>
      <c r="BO197" s="481">
        <f>SUM(BO198:BO203)</f>
        <v>0</v>
      </c>
      <c r="BP197" s="51" t="str">
        <f t="shared" si="414"/>
        <v/>
      </c>
      <c r="BQ197" s="480">
        <f>SUM(BQ198:BQ203)</f>
        <v>20</v>
      </c>
      <c r="BR197" s="51">
        <f t="shared" si="415"/>
        <v>1.3812154696132596E-3</v>
      </c>
      <c r="BS197" s="354">
        <f>+Расходы!J147/1000</f>
        <v>0</v>
      </c>
      <c r="BT197" s="51" t="str">
        <f t="shared" si="416"/>
        <v/>
      </c>
      <c r="BU197" s="478">
        <f t="shared" si="376"/>
        <v>-1</v>
      </c>
      <c r="BV197" s="478" t="str">
        <f t="shared" si="377"/>
        <v/>
      </c>
      <c r="BW197" s="481">
        <f>SUM(BW198:BW203)</f>
        <v>0</v>
      </c>
      <c r="BX197" s="51" t="str">
        <f t="shared" si="417"/>
        <v/>
      </c>
      <c r="BY197" s="480">
        <f>SUM(BY198:BY203)</f>
        <v>0</v>
      </c>
      <c r="BZ197" s="51" t="str">
        <f t="shared" si="418"/>
        <v/>
      </c>
      <c r="CA197" s="354">
        <f>+Расходы!K147/1000</f>
        <v>0</v>
      </c>
      <c r="CB197" s="51" t="str">
        <f t="shared" si="419"/>
        <v/>
      </c>
      <c r="CC197" s="478" t="str">
        <f t="shared" si="378"/>
        <v/>
      </c>
      <c r="CD197" s="478" t="str">
        <f t="shared" si="379"/>
        <v/>
      </c>
      <c r="CE197" s="481">
        <f>SUM(CE198:CE203)</f>
        <v>0</v>
      </c>
      <c r="CF197" s="51" t="str">
        <f t="shared" si="420"/>
        <v/>
      </c>
      <c r="CG197" s="480">
        <f>SUM(CG198:CG203)</f>
        <v>0</v>
      </c>
      <c r="CH197" s="51" t="str">
        <f t="shared" si="421"/>
        <v/>
      </c>
      <c r="CI197" s="354">
        <f>+Расходы!L147/1000</f>
        <v>0</v>
      </c>
      <c r="CJ197" s="51" t="str">
        <f t="shared" si="422"/>
        <v/>
      </c>
      <c r="CK197" s="478" t="str">
        <f t="shared" si="380"/>
        <v/>
      </c>
      <c r="CL197" s="478" t="str">
        <f t="shared" si="381"/>
        <v/>
      </c>
      <c r="CM197" s="481">
        <f>SUM(CM198:CM203)</f>
        <v>0</v>
      </c>
      <c r="CN197" s="51" t="str">
        <f t="shared" si="423"/>
        <v/>
      </c>
      <c r="CO197" s="480">
        <f>SUM(CO198:CO203)</f>
        <v>0</v>
      </c>
      <c r="CP197" s="51" t="str">
        <f t="shared" si="424"/>
        <v/>
      </c>
      <c r="CQ197" s="354">
        <f>+Расходы!M147/1000</f>
        <v>0</v>
      </c>
      <c r="CR197" s="51" t="str">
        <f t="shared" si="425"/>
        <v/>
      </c>
      <c r="CS197" s="478" t="str">
        <f t="shared" si="382"/>
        <v/>
      </c>
      <c r="CT197" s="478" t="str">
        <f t="shared" si="383"/>
        <v/>
      </c>
      <c r="CU197" s="481">
        <f t="shared" si="426"/>
        <v>0</v>
      </c>
      <c r="CV197" s="51" t="str">
        <f t="shared" si="384"/>
        <v/>
      </c>
      <c r="CW197" s="480">
        <f t="shared" si="427"/>
        <v>150</v>
      </c>
      <c r="CX197" s="51">
        <f t="shared" si="385"/>
        <v>1.131136624121725E-3</v>
      </c>
      <c r="CY197" s="354">
        <f t="shared" si="386"/>
        <v>30.170529999999996</v>
      </c>
      <c r="CZ197" s="51">
        <f t="shared" si="387"/>
        <v>6.0816595910410747E-4</v>
      </c>
      <c r="DA197" s="478">
        <f t="shared" si="388"/>
        <v>-0.79886313333333336</v>
      </c>
      <c r="DB197" s="478" t="str">
        <f t="shared" si="389"/>
        <v/>
      </c>
    </row>
    <row r="198" spans="2:106" s="103" customFormat="1" ht="13.15" customHeight="1" outlineLevel="2">
      <c r="B198" s="61" t="str">
        <f>+Расходы!A148</f>
        <v>Детский клуб</v>
      </c>
      <c r="C198" s="238"/>
      <c r="D198" s="54" t="str">
        <f t="shared" si="390"/>
        <v/>
      </c>
      <c r="E198" s="238"/>
      <c r="F198" s="54" t="str">
        <f t="shared" si="391"/>
        <v/>
      </c>
      <c r="G198" s="353">
        <f>+Расходы!B148/1000</f>
        <v>0</v>
      </c>
      <c r="H198" s="54" t="str">
        <f t="shared" si="392"/>
        <v/>
      </c>
      <c r="I198" s="468" t="str">
        <f t="shared" si="360"/>
        <v/>
      </c>
      <c r="J198" s="468" t="str">
        <f t="shared" si="361"/>
        <v/>
      </c>
      <c r="K198" s="238"/>
      <c r="L198" s="54" t="str">
        <f t="shared" si="393"/>
        <v/>
      </c>
      <c r="M198" s="238"/>
      <c r="N198" s="54" t="str">
        <f t="shared" si="394"/>
        <v/>
      </c>
      <c r="O198" s="353">
        <f>+Расходы!C148/1000</f>
        <v>0</v>
      </c>
      <c r="P198" s="54" t="str">
        <f t="shared" si="395"/>
        <v/>
      </c>
      <c r="Q198" s="468" t="str">
        <f t="shared" si="362"/>
        <v/>
      </c>
      <c r="R198" s="468" t="str">
        <f t="shared" si="363"/>
        <v/>
      </c>
      <c r="S198" s="238"/>
      <c r="T198" s="54" t="str">
        <f t="shared" si="396"/>
        <v/>
      </c>
      <c r="U198" s="238">
        <v>0</v>
      </c>
      <c r="V198" s="54" t="str">
        <f t="shared" si="397"/>
        <v/>
      </c>
      <c r="W198" s="353">
        <f>+Расходы!D148/1000</f>
        <v>0</v>
      </c>
      <c r="X198" s="54" t="str">
        <f t="shared" si="398"/>
        <v/>
      </c>
      <c r="Y198" s="468" t="str">
        <f t="shared" si="364"/>
        <v/>
      </c>
      <c r="Z198" s="468" t="str">
        <f t="shared" si="365"/>
        <v/>
      </c>
      <c r="AA198" s="238"/>
      <c r="AB198" s="54" t="str">
        <f t="shared" si="399"/>
        <v/>
      </c>
      <c r="AC198" s="238">
        <v>0</v>
      </c>
      <c r="AD198" s="54" t="str">
        <f t="shared" si="400"/>
        <v/>
      </c>
      <c r="AE198" s="353">
        <f>+Расходы!E148/1000</f>
        <v>0</v>
      </c>
      <c r="AF198" s="54" t="str">
        <f t="shared" si="401"/>
        <v/>
      </c>
      <c r="AG198" s="468" t="str">
        <f t="shared" si="366"/>
        <v/>
      </c>
      <c r="AH198" s="468" t="str">
        <f t="shared" si="367"/>
        <v/>
      </c>
      <c r="AI198" s="238"/>
      <c r="AJ198" s="54" t="str">
        <f t="shared" si="402"/>
        <v/>
      </c>
      <c r="AK198" s="238">
        <v>0</v>
      </c>
      <c r="AL198" s="54" t="str">
        <f t="shared" si="403"/>
        <v/>
      </c>
      <c r="AM198" s="353">
        <f>+Расходы!F148/1000</f>
        <v>0</v>
      </c>
      <c r="AN198" s="54" t="str">
        <f t="shared" si="404"/>
        <v/>
      </c>
      <c r="AO198" s="468" t="str">
        <f t="shared" si="368"/>
        <v/>
      </c>
      <c r="AP198" s="468" t="str">
        <f t="shared" si="369"/>
        <v/>
      </c>
      <c r="AQ198" s="344"/>
      <c r="AR198" s="54" t="str">
        <f t="shared" si="405"/>
        <v/>
      </c>
      <c r="AS198" s="238">
        <v>0</v>
      </c>
      <c r="AT198" s="54" t="str">
        <f t="shared" si="406"/>
        <v/>
      </c>
      <c r="AU198" s="353">
        <f>+Расходы!G148/1000</f>
        <v>0</v>
      </c>
      <c r="AV198" s="54" t="str">
        <f t="shared" si="407"/>
        <v/>
      </c>
      <c r="AW198" s="468" t="str">
        <f t="shared" si="370"/>
        <v/>
      </c>
      <c r="AX198" s="468" t="str">
        <f t="shared" si="371"/>
        <v/>
      </c>
      <c r="AY198" s="344"/>
      <c r="AZ198" s="54" t="str">
        <f t="shared" si="408"/>
        <v/>
      </c>
      <c r="BA198" s="238">
        <v>0</v>
      </c>
      <c r="BB198" s="54" t="str">
        <f t="shared" si="409"/>
        <v/>
      </c>
      <c r="BC198" s="353">
        <f>+Расходы!H148/1000</f>
        <v>0</v>
      </c>
      <c r="BD198" s="54" t="str">
        <f t="shared" si="410"/>
        <v/>
      </c>
      <c r="BE198" s="468" t="str">
        <f t="shared" si="372"/>
        <v/>
      </c>
      <c r="BF198" s="468" t="str">
        <f t="shared" si="373"/>
        <v/>
      </c>
      <c r="BG198" s="344"/>
      <c r="BH198" s="54" t="str">
        <f t="shared" si="411"/>
        <v/>
      </c>
      <c r="BI198" s="238">
        <v>0</v>
      </c>
      <c r="BJ198" s="54" t="str">
        <f t="shared" si="412"/>
        <v/>
      </c>
      <c r="BK198" s="353">
        <f>+Расходы!I148/1000</f>
        <v>0</v>
      </c>
      <c r="BL198" s="54" t="str">
        <f t="shared" si="413"/>
        <v/>
      </c>
      <c r="BM198" s="468" t="str">
        <f t="shared" si="374"/>
        <v/>
      </c>
      <c r="BN198" s="468" t="str">
        <f t="shared" si="375"/>
        <v/>
      </c>
      <c r="BO198" s="344"/>
      <c r="BP198" s="54" t="str">
        <f t="shared" si="414"/>
        <v/>
      </c>
      <c r="BQ198" s="238">
        <v>0</v>
      </c>
      <c r="BR198" s="54" t="str">
        <f t="shared" si="415"/>
        <v/>
      </c>
      <c r="BS198" s="353">
        <f>+Расходы!J148/1000</f>
        <v>0</v>
      </c>
      <c r="BT198" s="54" t="str">
        <f t="shared" si="416"/>
        <v/>
      </c>
      <c r="BU198" s="468" t="str">
        <f t="shared" si="376"/>
        <v/>
      </c>
      <c r="BV198" s="468" t="str">
        <f t="shared" si="377"/>
        <v/>
      </c>
      <c r="BW198" s="344"/>
      <c r="BX198" s="54" t="str">
        <f t="shared" si="417"/>
        <v/>
      </c>
      <c r="BY198" s="238">
        <v>0</v>
      </c>
      <c r="BZ198" s="54" t="str">
        <f t="shared" si="418"/>
        <v/>
      </c>
      <c r="CA198" s="353">
        <f>+Расходы!K148/1000</f>
        <v>0</v>
      </c>
      <c r="CB198" s="54" t="str">
        <f t="shared" si="419"/>
        <v/>
      </c>
      <c r="CC198" s="468" t="str">
        <f t="shared" si="378"/>
        <v/>
      </c>
      <c r="CD198" s="468" t="str">
        <f t="shared" si="379"/>
        <v/>
      </c>
      <c r="CE198" s="344"/>
      <c r="CF198" s="54" t="str">
        <f t="shared" si="420"/>
        <v/>
      </c>
      <c r="CG198" s="238">
        <v>0</v>
      </c>
      <c r="CH198" s="54" t="str">
        <f t="shared" si="421"/>
        <v/>
      </c>
      <c r="CI198" s="353">
        <f>+Расходы!L148/1000</f>
        <v>0</v>
      </c>
      <c r="CJ198" s="54" t="str">
        <f t="shared" si="422"/>
        <v/>
      </c>
      <c r="CK198" s="468" t="str">
        <f t="shared" si="380"/>
        <v/>
      </c>
      <c r="CL198" s="468" t="str">
        <f t="shared" si="381"/>
        <v/>
      </c>
      <c r="CM198" s="344"/>
      <c r="CN198" s="54" t="str">
        <f t="shared" si="423"/>
        <v/>
      </c>
      <c r="CO198" s="238">
        <v>0</v>
      </c>
      <c r="CP198" s="54" t="str">
        <f t="shared" si="424"/>
        <v/>
      </c>
      <c r="CQ198" s="353">
        <f>+Расходы!M148/1000</f>
        <v>0</v>
      </c>
      <c r="CR198" s="54" t="str">
        <f t="shared" si="425"/>
        <v/>
      </c>
      <c r="CS198" s="468" t="str">
        <f t="shared" si="382"/>
        <v/>
      </c>
      <c r="CT198" s="468" t="str">
        <f t="shared" si="383"/>
        <v/>
      </c>
      <c r="CU198" s="344">
        <f t="shared" si="426"/>
        <v>0</v>
      </c>
      <c r="CV198" s="54" t="str">
        <f t="shared" si="384"/>
        <v/>
      </c>
      <c r="CW198" s="238">
        <f t="shared" si="427"/>
        <v>0</v>
      </c>
      <c r="CX198" s="54">
        <f t="shared" si="385"/>
        <v>0</v>
      </c>
      <c r="CY198" s="353">
        <f t="shared" si="386"/>
        <v>0</v>
      </c>
      <c r="CZ198" s="54">
        <f t="shared" si="387"/>
        <v>0</v>
      </c>
      <c r="DA198" s="468" t="str">
        <f t="shared" si="388"/>
        <v/>
      </c>
      <c r="DB198" s="468" t="str">
        <f t="shared" si="389"/>
        <v/>
      </c>
    </row>
    <row r="199" spans="2:106" s="103" customFormat="1" ht="13.15" customHeight="1" outlineLevel="2">
      <c r="B199" s="61" t="str">
        <f>+Расходы!A149</f>
        <v>Материалы/продукты для обучения/мероприятий</v>
      </c>
      <c r="C199" s="238"/>
      <c r="D199" s="54" t="str">
        <f t="shared" si="390"/>
        <v/>
      </c>
      <c r="E199" s="238"/>
      <c r="F199" s="54" t="str">
        <f t="shared" si="391"/>
        <v/>
      </c>
      <c r="G199" s="353">
        <f>+Расходы!B149/1000</f>
        <v>0</v>
      </c>
      <c r="H199" s="54" t="str">
        <f t="shared" si="392"/>
        <v/>
      </c>
      <c r="I199" s="468" t="str">
        <f t="shared" si="360"/>
        <v/>
      </c>
      <c r="J199" s="468" t="str">
        <f t="shared" si="361"/>
        <v/>
      </c>
      <c r="K199" s="238"/>
      <c r="L199" s="54" t="str">
        <f t="shared" si="393"/>
        <v/>
      </c>
      <c r="M199" s="238"/>
      <c r="N199" s="54" t="str">
        <f t="shared" si="394"/>
        <v/>
      </c>
      <c r="O199" s="353">
        <f>+Расходы!C149/1000</f>
        <v>0</v>
      </c>
      <c r="P199" s="54" t="str">
        <f t="shared" si="395"/>
        <v/>
      </c>
      <c r="Q199" s="468" t="str">
        <f t="shared" si="362"/>
        <v/>
      </c>
      <c r="R199" s="468" t="str">
        <f t="shared" si="363"/>
        <v/>
      </c>
      <c r="S199" s="238"/>
      <c r="T199" s="54" t="str">
        <f t="shared" si="396"/>
        <v/>
      </c>
      <c r="U199" s="238">
        <v>0</v>
      </c>
      <c r="V199" s="54" t="str">
        <f t="shared" si="397"/>
        <v/>
      </c>
      <c r="W199" s="353">
        <f>+Расходы!D149/1000</f>
        <v>0</v>
      </c>
      <c r="X199" s="54" t="str">
        <f t="shared" si="398"/>
        <v/>
      </c>
      <c r="Y199" s="468" t="str">
        <f t="shared" si="364"/>
        <v/>
      </c>
      <c r="Z199" s="468" t="str">
        <f t="shared" si="365"/>
        <v/>
      </c>
      <c r="AA199" s="238"/>
      <c r="AB199" s="54" t="str">
        <f t="shared" si="399"/>
        <v/>
      </c>
      <c r="AC199" s="238">
        <v>0</v>
      </c>
      <c r="AD199" s="54" t="str">
        <f t="shared" si="400"/>
        <v/>
      </c>
      <c r="AE199" s="353">
        <f>+Расходы!E149/1000</f>
        <v>0</v>
      </c>
      <c r="AF199" s="54" t="str">
        <f t="shared" si="401"/>
        <v/>
      </c>
      <c r="AG199" s="468" t="str">
        <f t="shared" si="366"/>
        <v/>
      </c>
      <c r="AH199" s="468" t="str">
        <f t="shared" si="367"/>
        <v/>
      </c>
      <c r="AI199" s="238"/>
      <c r="AJ199" s="54" t="str">
        <f t="shared" si="402"/>
        <v/>
      </c>
      <c r="AK199" s="238">
        <v>0</v>
      </c>
      <c r="AL199" s="54" t="str">
        <f t="shared" si="403"/>
        <v/>
      </c>
      <c r="AM199" s="353">
        <f>+Расходы!F149/1000</f>
        <v>0</v>
      </c>
      <c r="AN199" s="54" t="str">
        <f t="shared" si="404"/>
        <v/>
      </c>
      <c r="AO199" s="468" t="str">
        <f t="shared" si="368"/>
        <v/>
      </c>
      <c r="AP199" s="468" t="str">
        <f t="shared" si="369"/>
        <v/>
      </c>
      <c r="AQ199" s="344"/>
      <c r="AR199" s="54" t="str">
        <f t="shared" si="405"/>
        <v/>
      </c>
      <c r="AS199" s="238">
        <v>0</v>
      </c>
      <c r="AT199" s="54" t="str">
        <f t="shared" si="406"/>
        <v/>
      </c>
      <c r="AU199" s="353">
        <f>+Расходы!G149/1000</f>
        <v>0</v>
      </c>
      <c r="AV199" s="54" t="str">
        <f t="shared" si="407"/>
        <v/>
      </c>
      <c r="AW199" s="468" t="str">
        <f t="shared" si="370"/>
        <v/>
      </c>
      <c r="AX199" s="468" t="str">
        <f t="shared" si="371"/>
        <v/>
      </c>
      <c r="AY199" s="344"/>
      <c r="AZ199" s="54" t="str">
        <f t="shared" si="408"/>
        <v/>
      </c>
      <c r="BA199" s="238">
        <v>0</v>
      </c>
      <c r="BB199" s="54" t="str">
        <f t="shared" si="409"/>
        <v/>
      </c>
      <c r="BC199" s="353">
        <f>+Расходы!H149/1000</f>
        <v>0</v>
      </c>
      <c r="BD199" s="54" t="str">
        <f t="shared" si="410"/>
        <v/>
      </c>
      <c r="BE199" s="468" t="str">
        <f t="shared" si="372"/>
        <v/>
      </c>
      <c r="BF199" s="468" t="str">
        <f t="shared" si="373"/>
        <v/>
      </c>
      <c r="BG199" s="344"/>
      <c r="BH199" s="54" t="str">
        <f t="shared" si="411"/>
        <v/>
      </c>
      <c r="BI199" s="238">
        <v>0</v>
      </c>
      <c r="BJ199" s="54" t="str">
        <f t="shared" si="412"/>
        <v/>
      </c>
      <c r="BK199" s="353">
        <f>+Расходы!I149/1000</f>
        <v>0</v>
      </c>
      <c r="BL199" s="54" t="str">
        <f t="shared" si="413"/>
        <v/>
      </c>
      <c r="BM199" s="468" t="str">
        <f t="shared" si="374"/>
        <v/>
      </c>
      <c r="BN199" s="468" t="str">
        <f t="shared" si="375"/>
        <v/>
      </c>
      <c r="BO199" s="344"/>
      <c r="BP199" s="54" t="str">
        <f t="shared" si="414"/>
        <v/>
      </c>
      <c r="BQ199" s="238">
        <v>0</v>
      </c>
      <c r="BR199" s="54" t="str">
        <f t="shared" si="415"/>
        <v/>
      </c>
      <c r="BS199" s="353">
        <f>+Расходы!J149/1000</f>
        <v>0</v>
      </c>
      <c r="BT199" s="54" t="str">
        <f t="shared" si="416"/>
        <v/>
      </c>
      <c r="BU199" s="468" t="str">
        <f t="shared" si="376"/>
        <v/>
      </c>
      <c r="BV199" s="468" t="str">
        <f t="shared" si="377"/>
        <v/>
      </c>
      <c r="BW199" s="344"/>
      <c r="BX199" s="54" t="str">
        <f t="shared" si="417"/>
        <v/>
      </c>
      <c r="BY199" s="238">
        <v>0</v>
      </c>
      <c r="BZ199" s="54" t="str">
        <f t="shared" si="418"/>
        <v/>
      </c>
      <c r="CA199" s="353">
        <f>+Расходы!K149/1000</f>
        <v>0</v>
      </c>
      <c r="CB199" s="54" t="str">
        <f t="shared" si="419"/>
        <v/>
      </c>
      <c r="CC199" s="468" t="str">
        <f t="shared" si="378"/>
        <v/>
      </c>
      <c r="CD199" s="468" t="str">
        <f t="shared" si="379"/>
        <v/>
      </c>
      <c r="CE199" s="344"/>
      <c r="CF199" s="54" t="str">
        <f t="shared" si="420"/>
        <v/>
      </c>
      <c r="CG199" s="238">
        <v>0</v>
      </c>
      <c r="CH199" s="54" t="str">
        <f t="shared" si="421"/>
        <v/>
      </c>
      <c r="CI199" s="353">
        <f>+Расходы!L149/1000</f>
        <v>0</v>
      </c>
      <c r="CJ199" s="54" t="str">
        <f t="shared" si="422"/>
        <v/>
      </c>
      <c r="CK199" s="468" t="str">
        <f t="shared" si="380"/>
        <v/>
      </c>
      <c r="CL199" s="468" t="str">
        <f t="shared" si="381"/>
        <v/>
      </c>
      <c r="CM199" s="344"/>
      <c r="CN199" s="54" t="str">
        <f t="shared" si="423"/>
        <v/>
      </c>
      <c r="CO199" s="238">
        <v>0</v>
      </c>
      <c r="CP199" s="54" t="str">
        <f t="shared" si="424"/>
        <v/>
      </c>
      <c r="CQ199" s="353">
        <f>+Расходы!M149/1000</f>
        <v>0</v>
      </c>
      <c r="CR199" s="54" t="str">
        <f t="shared" si="425"/>
        <v/>
      </c>
      <c r="CS199" s="468" t="str">
        <f t="shared" si="382"/>
        <v/>
      </c>
      <c r="CT199" s="468" t="str">
        <f t="shared" si="383"/>
        <v/>
      </c>
      <c r="CU199" s="344">
        <f t="shared" si="426"/>
        <v>0</v>
      </c>
      <c r="CV199" s="54" t="str">
        <f t="shared" si="384"/>
        <v/>
      </c>
      <c r="CW199" s="238">
        <f t="shared" si="427"/>
        <v>0</v>
      </c>
      <c r="CX199" s="54">
        <f t="shared" si="385"/>
        <v>0</v>
      </c>
      <c r="CY199" s="353">
        <f t="shared" si="386"/>
        <v>0</v>
      </c>
      <c r="CZ199" s="54">
        <f t="shared" si="387"/>
        <v>0</v>
      </c>
      <c r="DA199" s="468" t="str">
        <f t="shared" si="388"/>
        <v/>
      </c>
      <c r="DB199" s="468" t="str">
        <f t="shared" si="389"/>
        <v/>
      </c>
    </row>
    <row r="200" spans="2:106" s="103" customFormat="1" ht="13.15" customHeight="1" outlineLevel="2">
      <c r="B200" s="61" t="str">
        <f>+Расходы!A150</f>
        <v>Недополученная выручка</v>
      </c>
      <c r="C200" s="238"/>
      <c r="D200" s="54" t="str">
        <f t="shared" si="390"/>
        <v/>
      </c>
      <c r="E200" s="238"/>
      <c r="F200" s="54" t="str">
        <f t="shared" si="391"/>
        <v/>
      </c>
      <c r="G200" s="353">
        <f>+Расходы!B150/1000</f>
        <v>0</v>
      </c>
      <c r="H200" s="54" t="str">
        <f t="shared" si="392"/>
        <v/>
      </c>
      <c r="I200" s="468" t="str">
        <f t="shared" si="360"/>
        <v/>
      </c>
      <c r="J200" s="468" t="str">
        <f t="shared" si="361"/>
        <v/>
      </c>
      <c r="K200" s="238"/>
      <c r="L200" s="54" t="str">
        <f t="shared" si="393"/>
        <v/>
      </c>
      <c r="M200" s="238"/>
      <c r="N200" s="54" t="str">
        <f t="shared" si="394"/>
        <v/>
      </c>
      <c r="O200" s="353">
        <f>+Расходы!C150/1000</f>
        <v>0</v>
      </c>
      <c r="P200" s="54" t="str">
        <f t="shared" si="395"/>
        <v/>
      </c>
      <c r="Q200" s="468" t="str">
        <f t="shared" si="362"/>
        <v/>
      </c>
      <c r="R200" s="468" t="str">
        <f t="shared" si="363"/>
        <v/>
      </c>
      <c r="S200" s="238"/>
      <c r="T200" s="54" t="str">
        <f t="shared" si="396"/>
        <v/>
      </c>
      <c r="U200" s="238">
        <v>0</v>
      </c>
      <c r="V200" s="54" t="str">
        <f t="shared" si="397"/>
        <v/>
      </c>
      <c r="W200" s="353">
        <f>+Расходы!D150/1000</f>
        <v>0.24399999999999999</v>
      </c>
      <c r="X200" s="54">
        <f t="shared" si="398"/>
        <v>4.1147405521172365E-5</v>
      </c>
      <c r="Y200" s="468" t="str">
        <f t="shared" si="364"/>
        <v/>
      </c>
      <c r="Z200" s="468" t="str">
        <f t="shared" si="365"/>
        <v/>
      </c>
      <c r="AA200" s="238"/>
      <c r="AB200" s="54" t="str">
        <f t="shared" si="399"/>
        <v/>
      </c>
      <c r="AC200" s="238">
        <v>10</v>
      </c>
      <c r="AD200" s="54">
        <f t="shared" si="400"/>
        <v>7.3143044389050783E-4</v>
      </c>
      <c r="AE200" s="353">
        <f>+Расходы!E150/1000</f>
        <v>0</v>
      </c>
      <c r="AF200" s="54" t="str">
        <f t="shared" si="401"/>
        <v/>
      </c>
      <c r="AG200" s="468">
        <f t="shared" si="366"/>
        <v>-1</v>
      </c>
      <c r="AH200" s="468" t="str">
        <f t="shared" si="367"/>
        <v/>
      </c>
      <c r="AI200" s="238"/>
      <c r="AJ200" s="54" t="str">
        <f t="shared" si="402"/>
        <v/>
      </c>
      <c r="AK200" s="238">
        <v>10</v>
      </c>
      <c r="AL200" s="54">
        <f t="shared" si="403"/>
        <v>7.1571714858288009E-4</v>
      </c>
      <c r="AM200" s="353">
        <f>+Расходы!F150/1000</f>
        <v>8.27</v>
      </c>
      <c r="AN200" s="54">
        <f t="shared" si="404"/>
        <v>5.2632952301307422E-4</v>
      </c>
      <c r="AO200" s="468">
        <f t="shared" si="368"/>
        <v>-0.17300000000000004</v>
      </c>
      <c r="AP200" s="468" t="str">
        <f t="shared" si="369"/>
        <v/>
      </c>
      <c r="AQ200" s="344"/>
      <c r="AR200" s="54" t="str">
        <f t="shared" si="405"/>
        <v/>
      </c>
      <c r="AS200" s="238">
        <v>5</v>
      </c>
      <c r="AT200" s="54">
        <f t="shared" si="406"/>
        <v>3.3156498673740051E-4</v>
      </c>
      <c r="AU200" s="353">
        <f>+Расходы!G150/1000</f>
        <v>-7.34</v>
      </c>
      <c r="AV200" s="54">
        <f t="shared" si="407"/>
        <v>-5.1496662083183099E-4</v>
      </c>
      <c r="AW200" s="468">
        <f t="shared" si="370"/>
        <v>-2.468</v>
      </c>
      <c r="AX200" s="468" t="str">
        <f t="shared" si="371"/>
        <v/>
      </c>
      <c r="AY200" s="344"/>
      <c r="AZ200" s="54" t="str">
        <f t="shared" si="408"/>
        <v/>
      </c>
      <c r="BA200" s="238">
        <v>5</v>
      </c>
      <c r="BB200" s="54">
        <f t="shared" si="409"/>
        <v>3.1913196106590075E-4</v>
      </c>
      <c r="BC200" s="353">
        <f>+Расходы!H150/1000</f>
        <v>0</v>
      </c>
      <c r="BD200" s="54" t="str">
        <f t="shared" si="410"/>
        <v/>
      </c>
      <c r="BE200" s="468">
        <f t="shared" si="372"/>
        <v>-1</v>
      </c>
      <c r="BF200" s="468" t="str">
        <f t="shared" si="373"/>
        <v/>
      </c>
      <c r="BG200" s="344"/>
      <c r="BH200" s="54" t="str">
        <f t="shared" si="411"/>
        <v/>
      </c>
      <c r="BI200" s="238">
        <v>5</v>
      </c>
      <c r="BJ200" s="54">
        <f t="shared" si="412"/>
        <v>3.1913196106590075E-4</v>
      </c>
      <c r="BK200" s="353">
        <f>+Расходы!I150/1000</f>
        <v>0</v>
      </c>
      <c r="BL200" s="54" t="str">
        <f t="shared" si="413"/>
        <v/>
      </c>
      <c r="BM200" s="468">
        <f t="shared" si="374"/>
        <v>-1</v>
      </c>
      <c r="BN200" s="468" t="str">
        <f t="shared" si="375"/>
        <v/>
      </c>
      <c r="BO200" s="344"/>
      <c r="BP200" s="54" t="str">
        <f t="shared" si="414"/>
        <v/>
      </c>
      <c r="BQ200" s="238">
        <v>5</v>
      </c>
      <c r="BR200" s="54">
        <f t="shared" si="415"/>
        <v>3.453038674033149E-4</v>
      </c>
      <c r="BS200" s="353">
        <f>+Расходы!J150/1000</f>
        <v>0</v>
      </c>
      <c r="BT200" s="54" t="str">
        <f t="shared" si="416"/>
        <v/>
      </c>
      <c r="BU200" s="468">
        <f t="shared" si="376"/>
        <v>-1</v>
      </c>
      <c r="BV200" s="468" t="str">
        <f t="shared" si="377"/>
        <v/>
      </c>
      <c r="BW200" s="344"/>
      <c r="BX200" s="54" t="str">
        <f t="shared" si="417"/>
        <v/>
      </c>
      <c r="BY200" s="238">
        <v>0</v>
      </c>
      <c r="BZ200" s="54" t="str">
        <f t="shared" si="418"/>
        <v/>
      </c>
      <c r="CA200" s="353">
        <f>+Расходы!K150/1000</f>
        <v>0</v>
      </c>
      <c r="CB200" s="54" t="str">
        <f t="shared" si="419"/>
        <v/>
      </c>
      <c r="CC200" s="468" t="str">
        <f t="shared" si="378"/>
        <v/>
      </c>
      <c r="CD200" s="468" t="str">
        <f t="shared" si="379"/>
        <v/>
      </c>
      <c r="CE200" s="344"/>
      <c r="CF200" s="54" t="str">
        <f t="shared" si="420"/>
        <v/>
      </c>
      <c r="CG200" s="238">
        <v>0</v>
      </c>
      <c r="CH200" s="54" t="str">
        <f t="shared" si="421"/>
        <v/>
      </c>
      <c r="CI200" s="353">
        <f>+Расходы!L150/1000</f>
        <v>0</v>
      </c>
      <c r="CJ200" s="54" t="str">
        <f t="shared" si="422"/>
        <v/>
      </c>
      <c r="CK200" s="468" t="str">
        <f t="shared" si="380"/>
        <v/>
      </c>
      <c r="CL200" s="468" t="str">
        <f t="shared" si="381"/>
        <v/>
      </c>
      <c r="CM200" s="344"/>
      <c r="CN200" s="54" t="str">
        <f t="shared" si="423"/>
        <v/>
      </c>
      <c r="CO200" s="238">
        <v>0</v>
      </c>
      <c r="CP200" s="54" t="str">
        <f t="shared" si="424"/>
        <v/>
      </c>
      <c r="CQ200" s="353">
        <f>+Расходы!M150/1000</f>
        <v>0</v>
      </c>
      <c r="CR200" s="54" t="str">
        <f t="shared" si="425"/>
        <v/>
      </c>
      <c r="CS200" s="468" t="str">
        <f t="shared" si="382"/>
        <v/>
      </c>
      <c r="CT200" s="468" t="str">
        <f t="shared" si="383"/>
        <v/>
      </c>
      <c r="CU200" s="344">
        <f t="shared" si="426"/>
        <v>0</v>
      </c>
      <c r="CV200" s="54" t="str">
        <f t="shared" si="384"/>
        <v/>
      </c>
      <c r="CW200" s="238">
        <f t="shared" si="427"/>
        <v>40</v>
      </c>
      <c r="CX200" s="54">
        <f t="shared" si="385"/>
        <v>3.0163643309912669E-4</v>
      </c>
      <c r="CY200" s="353">
        <f t="shared" si="386"/>
        <v>1.1739999999999995</v>
      </c>
      <c r="CZ200" s="54">
        <f t="shared" si="387"/>
        <v>2.3665041216982997E-5</v>
      </c>
      <c r="DA200" s="468">
        <f t="shared" si="388"/>
        <v>-0.97065000000000001</v>
      </c>
      <c r="DB200" s="468" t="str">
        <f t="shared" si="389"/>
        <v/>
      </c>
    </row>
    <row r="201" spans="2:106" s="103" customFormat="1" ht="13.15" customHeight="1" outlineLevel="2">
      <c r="B201" s="61" t="str">
        <f>+Расходы!A151</f>
        <v>Представительские расходы</v>
      </c>
      <c r="C201" s="238"/>
      <c r="D201" s="54" t="str">
        <f t="shared" si="390"/>
        <v/>
      </c>
      <c r="E201" s="238"/>
      <c r="F201" s="54" t="str">
        <f t="shared" si="391"/>
        <v/>
      </c>
      <c r="G201" s="353">
        <f>+Расходы!B151/1000</f>
        <v>0</v>
      </c>
      <c r="H201" s="54" t="str">
        <f t="shared" si="392"/>
        <v/>
      </c>
      <c r="I201" s="468" t="str">
        <f t="shared" si="360"/>
        <v/>
      </c>
      <c r="J201" s="468" t="str">
        <f t="shared" si="361"/>
        <v/>
      </c>
      <c r="K201" s="238"/>
      <c r="L201" s="54" t="str">
        <f t="shared" si="393"/>
        <v/>
      </c>
      <c r="M201" s="238"/>
      <c r="N201" s="54" t="str">
        <f t="shared" si="394"/>
        <v/>
      </c>
      <c r="O201" s="353">
        <f>+Расходы!C151/1000</f>
        <v>0</v>
      </c>
      <c r="P201" s="54" t="str">
        <f t="shared" si="395"/>
        <v/>
      </c>
      <c r="Q201" s="468" t="str">
        <f t="shared" si="362"/>
        <v/>
      </c>
      <c r="R201" s="468" t="str">
        <f t="shared" si="363"/>
        <v/>
      </c>
      <c r="S201" s="238"/>
      <c r="T201" s="54" t="str">
        <f t="shared" si="396"/>
        <v/>
      </c>
      <c r="U201" s="238">
        <v>0</v>
      </c>
      <c r="V201" s="54" t="str">
        <f t="shared" si="397"/>
        <v/>
      </c>
      <c r="W201" s="353">
        <f>+Расходы!D151/1000</f>
        <v>0.79777999999999993</v>
      </c>
      <c r="X201" s="54">
        <f t="shared" si="398"/>
        <v>1.3453515236344627E-4</v>
      </c>
      <c r="Y201" s="468" t="str">
        <f t="shared" si="364"/>
        <v/>
      </c>
      <c r="Z201" s="468" t="str">
        <f t="shared" si="365"/>
        <v/>
      </c>
      <c r="AA201" s="238"/>
      <c r="AB201" s="54" t="str">
        <f t="shared" si="399"/>
        <v/>
      </c>
      <c r="AC201" s="238">
        <v>10</v>
      </c>
      <c r="AD201" s="54">
        <f t="shared" si="400"/>
        <v>7.3143044389050783E-4</v>
      </c>
      <c r="AE201" s="353">
        <f>+Расходы!E151/1000</f>
        <v>6.6298999999999992</v>
      </c>
      <c r="AF201" s="54">
        <f t="shared" si="401"/>
        <v>4.8346848292156453E-4</v>
      </c>
      <c r="AG201" s="468">
        <f t="shared" si="366"/>
        <v>-0.33701000000000003</v>
      </c>
      <c r="AH201" s="468" t="str">
        <f t="shared" si="367"/>
        <v/>
      </c>
      <c r="AI201" s="238"/>
      <c r="AJ201" s="54" t="str">
        <f t="shared" si="402"/>
        <v/>
      </c>
      <c r="AK201" s="238">
        <v>10</v>
      </c>
      <c r="AL201" s="54">
        <f t="shared" si="403"/>
        <v>7.1571714858288009E-4</v>
      </c>
      <c r="AM201" s="353">
        <f>+Расходы!F151/1000</f>
        <v>19.989999999999998</v>
      </c>
      <c r="AN201" s="54">
        <f t="shared" si="404"/>
        <v>1.2722281940787609E-3</v>
      </c>
      <c r="AO201" s="468">
        <f t="shared" si="368"/>
        <v>0.99899999999999989</v>
      </c>
      <c r="AP201" s="468" t="str">
        <f t="shared" si="369"/>
        <v/>
      </c>
      <c r="AQ201" s="344"/>
      <c r="AR201" s="54" t="str">
        <f t="shared" si="405"/>
        <v/>
      </c>
      <c r="AS201" s="238">
        <v>10</v>
      </c>
      <c r="AT201" s="54">
        <f t="shared" si="406"/>
        <v>6.6312997347480103E-4</v>
      </c>
      <c r="AU201" s="353">
        <f>+Расходы!G151/1000</f>
        <v>0</v>
      </c>
      <c r="AV201" s="54" t="str">
        <f t="shared" si="407"/>
        <v/>
      </c>
      <c r="AW201" s="468">
        <f t="shared" si="370"/>
        <v>-1</v>
      </c>
      <c r="AX201" s="468" t="str">
        <f t="shared" si="371"/>
        <v/>
      </c>
      <c r="AY201" s="344"/>
      <c r="AZ201" s="54" t="str">
        <f t="shared" si="408"/>
        <v/>
      </c>
      <c r="BA201" s="238">
        <v>10</v>
      </c>
      <c r="BB201" s="54">
        <f t="shared" si="409"/>
        <v>6.382639221318015E-4</v>
      </c>
      <c r="BC201" s="353">
        <f>+Расходы!H151/1000</f>
        <v>0</v>
      </c>
      <c r="BD201" s="54" t="str">
        <f t="shared" si="410"/>
        <v/>
      </c>
      <c r="BE201" s="468">
        <f t="shared" si="372"/>
        <v>-1</v>
      </c>
      <c r="BF201" s="468" t="str">
        <f t="shared" si="373"/>
        <v/>
      </c>
      <c r="BG201" s="344"/>
      <c r="BH201" s="54" t="str">
        <f t="shared" si="411"/>
        <v/>
      </c>
      <c r="BI201" s="238">
        <v>10</v>
      </c>
      <c r="BJ201" s="54">
        <f t="shared" si="412"/>
        <v>6.382639221318015E-4</v>
      </c>
      <c r="BK201" s="353">
        <f>+Расходы!I151/1000</f>
        <v>0</v>
      </c>
      <c r="BL201" s="54" t="str">
        <f t="shared" si="413"/>
        <v/>
      </c>
      <c r="BM201" s="468">
        <f t="shared" si="374"/>
        <v>-1</v>
      </c>
      <c r="BN201" s="468" t="str">
        <f t="shared" si="375"/>
        <v/>
      </c>
      <c r="BO201" s="344"/>
      <c r="BP201" s="54" t="str">
        <f t="shared" si="414"/>
        <v/>
      </c>
      <c r="BQ201" s="238">
        <v>10</v>
      </c>
      <c r="BR201" s="54">
        <f t="shared" si="415"/>
        <v>6.9060773480662981E-4</v>
      </c>
      <c r="BS201" s="353">
        <f>+Расходы!J151/1000</f>
        <v>0</v>
      </c>
      <c r="BT201" s="54" t="str">
        <f t="shared" si="416"/>
        <v/>
      </c>
      <c r="BU201" s="468">
        <f t="shared" si="376"/>
        <v>-1</v>
      </c>
      <c r="BV201" s="468" t="str">
        <f t="shared" si="377"/>
        <v/>
      </c>
      <c r="BW201" s="344"/>
      <c r="BX201" s="54" t="str">
        <f t="shared" si="417"/>
        <v/>
      </c>
      <c r="BY201" s="238">
        <v>0</v>
      </c>
      <c r="BZ201" s="54" t="str">
        <f t="shared" si="418"/>
        <v/>
      </c>
      <c r="CA201" s="353">
        <f>+Расходы!K151/1000</f>
        <v>0</v>
      </c>
      <c r="CB201" s="54" t="str">
        <f t="shared" si="419"/>
        <v/>
      </c>
      <c r="CC201" s="468" t="str">
        <f t="shared" si="378"/>
        <v/>
      </c>
      <c r="CD201" s="468" t="str">
        <f t="shared" si="379"/>
        <v/>
      </c>
      <c r="CE201" s="344"/>
      <c r="CF201" s="54" t="str">
        <f t="shared" si="420"/>
        <v/>
      </c>
      <c r="CG201" s="238">
        <v>0</v>
      </c>
      <c r="CH201" s="54" t="str">
        <f t="shared" si="421"/>
        <v/>
      </c>
      <c r="CI201" s="353">
        <f>+Расходы!L151/1000</f>
        <v>0</v>
      </c>
      <c r="CJ201" s="54" t="str">
        <f t="shared" si="422"/>
        <v/>
      </c>
      <c r="CK201" s="468" t="str">
        <f t="shared" si="380"/>
        <v/>
      </c>
      <c r="CL201" s="468" t="str">
        <f t="shared" si="381"/>
        <v/>
      </c>
      <c r="CM201" s="344"/>
      <c r="CN201" s="54" t="str">
        <f t="shared" si="423"/>
        <v/>
      </c>
      <c r="CO201" s="238">
        <v>0</v>
      </c>
      <c r="CP201" s="54" t="str">
        <f t="shared" si="424"/>
        <v/>
      </c>
      <c r="CQ201" s="353">
        <f>+Расходы!M151/1000</f>
        <v>0</v>
      </c>
      <c r="CR201" s="54" t="str">
        <f t="shared" si="425"/>
        <v/>
      </c>
      <c r="CS201" s="468" t="str">
        <f t="shared" si="382"/>
        <v/>
      </c>
      <c r="CT201" s="468" t="str">
        <f t="shared" si="383"/>
        <v/>
      </c>
      <c r="CU201" s="344">
        <f t="shared" si="426"/>
        <v>0</v>
      </c>
      <c r="CV201" s="54" t="str">
        <f t="shared" si="384"/>
        <v/>
      </c>
      <c r="CW201" s="238">
        <f t="shared" si="427"/>
        <v>60</v>
      </c>
      <c r="CX201" s="54">
        <f t="shared" si="385"/>
        <v>4.5245464964869002E-4</v>
      </c>
      <c r="CY201" s="353">
        <f t="shared" si="386"/>
        <v>27.417679999999997</v>
      </c>
      <c r="CZ201" s="54">
        <f t="shared" si="387"/>
        <v>5.5267506582116739E-4</v>
      </c>
      <c r="DA201" s="468">
        <f t="shared" si="388"/>
        <v>-0.54303866666666667</v>
      </c>
      <c r="DB201" s="468" t="str">
        <f t="shared" si="389"/>
        <v/>
      </c>
    </row>
    <row r="202" spans="2:106" s="103" customFormat="1" ht="13.15" customHeight="1" outlineLevel="2">
      <c r="B202" s="61" t="str">
        <f>+Расходы!A152</f>
        <v>Прочие текущие расходы</v>
      </c>
      <c r="C202" s="238"/>
      <c r="D202" s="54" t="str">
        <f t="shared" si="390"/>
        <v/>
      </c>
      <c r="E202" s="238"/>
      <c r="F202" s="54" t="str">
        <f t="shared" si="391"/>
        <v/>
      </c>
      <c r="G202" s="353">
        <f>+Расходы!B152/1000</f>
        <v>0</v>
      </c>
      <c r="H202" s="54" t="str">
        <f t="shared" si="392"/>
        <v/>
      </c>
      <c r="I202" s="468" t="str">
        <f t="shared" si="360"/>
        <v/>
      </c>
      <c r="J202" s="468" t="str">
        <f t="shared" si="361"/>
        <v/>
      </c>
      <c r="K202" s="238"/>
      <c r="L202" s="54" t="str">
        <f t="shared" si="393"/>
        <v/>
      </c>
      <c r="M202" s="238"/>
      <c r="N202" s="54" t="str">
        <f t="shared" si="394"/>
        <v/>
      </c>
      <c r="O202" s="353">
        <f>+Расходы!C152/1000</f>
        <v>0</v>
      </c>
      <c r="P202" s="54" t="str">
        <f t="shared" si="395"/>
        <v/>
      </c>
      <c r="Q202" s="468" t="str">
        <f t="shared" si="362"/>
        <v/>
      </c>
      <c r="R202" s="468" t="str">
        <f t="shared" si="363"/>
        <v/>
      </c>
      <c r="S202" s="238"/>
      <c r="T202" s="54" t="str">
        <f t="shared" si="396"/>
        <v/>
      </c>
      <c r="U202" s="238">
        <v>0</v>
      </c>
      <c r="V202" s="54" t="str">
        <f t="shared" si="397"/>
        <v/>
      </c>
      <c r="W202" s="353">
        <f>+Расходы!D152/1000</f>
        <v>0</v>
      </c>
      <c r="X202" s="54" t="str">
        <f t="shared" si="398"/>
        <v/>
      </c>
      <c r="Y202" s="468" t="str">
        <f t="shared" si="364"/>
        <v/>
      </c>
      <c r="Z202" s="468" t="str">
        <f t="shared" si="365"/>
        <v/>
      </c>
      <c r="AA202" s="238"/>
      <c r="AB202" s="54" t="str">
        <f t="shared" si="399"/>
        <v/>
      </c>
      <c r="AC202" s="238">
        <v>15</v>
      </c>
      <c r="AD202" s="54">
        <f t="shared" si="400"/>
        <v>1.0971456658357616E-3</v>
      </c>
      <c r="AE202" s="353">
        <f>+Расходы!E152/1000</f>
        <v>1.24</v>
      </c>
      <c r="AF202" s="54">
        <f t="shared" si="401"/>
        <v>9.0423825219496535E-5</v>
      </c>
      <c r="AG202" s="468">
        <f t="shared" si="366"/>
        <v>-0.91733333333333333</v>
      </c>
      <c r="AH202" s="468" t="str">
        <f t="shared" si="367"/>
        <v/>
      </c>
      <c r="AI202" s="238"/>
      <c r="AJ202" s="54" t="str">
        <f t="shared" si="402"/>
        <v/>
      </c>
      <c r="AK202" s="238">
        <v>15</v>
      </c>
      <c r="AL202" s="54">
        <f t="shared" si="403"/>
        <v>1.0735757228743201E-3</v>
      </c>
      <c r="AM202" s="353">
        <f>+Расходы!F152/1000</f>
        <v>0.33885000000000004</v>
      </c>
      <c r="AN202" s="54">
        <f t="shared" si="404"/>
        <v>2.1565508932645736E-5</v>
      </c>
      <c r="AO202" s="468">
        <f t="shared" si="368"/>
        <v>-0.97741</v>
      </c>
      <c r="AP202" s="468" t="str">
        <f t="shared" si="369"/>
        <v/>
      </c>
      <c r="AQ202" s="344"/>
      <c r="AR202" s="54" t="str">
        <f t="shared" si="405"/>
        <v/>
      </c>
      <c r="AS202" s="238">
        <v>5</v>
      </c>
      <c r="AT202" s="54">
        <f t="shared" si="406"/>
        <v>3.3156498673740051E-4</v>
      </c>
      <c r="AU202" s="353">
        <f>+Расходы!G152/1000</f>
        <v>0</v>
      </c>
      <c r="AV202" s="54" t="str">
        <f t="shared" si="407"/>
        <v/>
      </c>
      <c r="AW202" s="468">
        <f t="shared" si="370"/>
        <v>-1</v>
      </c>
      <c r="AX202" s="468" t="str">
        <f t="shared" si="371"/>
        <v/>
      </c>
      <c r="AY202" s="344"/>
      <c r="AZ202" s="54" t="str">
        <f t="shared" si="408"/>
        <v/>
      </c>
      <c r="BA202" s="238">
        <v>5</v>
      </c>
      <c r="BB202" s="54">
        <f t="shared" si="409"/>
        <v>3.1913196106590075E-4</v>
      </c>
      <c r="BC202" s="353">
        <f>+Расходы!H152/1000</f>
        <v>0</v>
      </c>
      <c r="BD202" s="54" t="str">
        <f t="shared" si="410"/>
        <v/>
      </c>
      <c r="BE202" s="468">
        <f t="shared" si="372"/>
        <v>-1</v>
      </c>
      <c r="BF202" s="468" t="str">
        <f t="shared" si="373"/>
        <v/>
      </c>
      <c r="BG202" s="344"/>
      <c r="BH202" s="54" t="str">
        <f t="shared" si="411"/>
        <v/>
      </c>
      <c r="BI202" s="238">
        <v>5</v>
      </c>
      <c r="BJ202" s="54">
        <f t="shared" si="412"/>
        <v>3.1913196106590075E-4</v>
      </c>
      <c r="BK202" s="353">
        <f>+Расходы!I152/1000</f>
        <v>0</v>
      </c>
      <c r="BL202" s="54" t="str">
        <f t="shared" si="413"/>
        <v/>
      </c>
      <c r="BM202" s="468">
        <f t="shared" si="374"/>
        <v>-1</v>
      </c>
      <c r="BN202" s="468" t="str">
        <f t="shared" si="375"/>
        <v/>
      </c>
      <c r="BO202" s="344"/>
      <c r="BP202" s="54" t="str">
        <f t="shared" si="414"/>
        <v/>
      </c>
      <c r="BQ202" s="238">
        <v>5</v>
      </c>
      <c r="BR202" s="54">
        <f t="shared" si="415"/>
        <v>3.453038674033149E-4</v>
      </c>
      <c r="BS202" s="353">
        <f>+Расходы!J152/1000</f>
        <v>0</v>
      </c>
      <c r="BT202" s="54" t="str">
        <f t="shared" si="416"/>
        <v/>
      </c>
      <c r="BU202" s="468">
        <f t="shared" si="376"/>
        <v>-1</v>
      </c>
      <c r="BV202" s="468" t="str">
        <f t="shared" si="377"/>
        <v/>
      </c>
      <c r="BW202" s="344"/>
      <c r="BX202" s="54" t="str">
        <f t="shared" si="417"/>
        <v/>
      </c>
      <c r="BY202" s="238">
        <v>0</v>
      </c>
      <c r="BZ202" s="54" t="str">
        <f t="shared" si="418"/>
        <v/>
      </c>
      <c r="CA202" s="353">
        <f>+Расходы!K152/1000</f>
        <v>0</v>
      </c>
      <c r="CB202" s="54" t="str">
        <f t="shared" si="419"/>
        <v/>
      </c>
      <c r="CC202" s="468" t="str">
        <f t="shared" si="378"/>
        <v/>
      </c>
      <c r="CD202" s="468" t="str">
        <f t="shared" si="379"/>
        <v/>
      </c>
      <c r="CE202" s="344"/>
      <c r="CF202" s="54" t="str">
        <f t="shared" si="420"/>
        <v/>
      </c>
      <c r="CG202" s="238">
        <v>0</v>
      </c>
      <c r="CH202" s="54" t="str">
        <f t="shared" si="421"/>
        <v/>
      </c>
      <c r="CI202" s="353">
        <f>+Расходы!L152/1000</f>
        <v>0</v>
      </c>
      <c r="CJ202" s="54" t="str">
        <f t="shared" si="422"/>
        <v/>
      </c>
      <c r="CK202" s="468" t="str">
        <f t="shared" si="380"/>
        <v/>
      </c>
      <c r="CL202" s="468" t="str">
        <f t="shared" si="381"/>
        <v/>
      </c>
      <c r="CM202" s="344"/>
      <c r="CN202" s="54" t="str">
        <f t="shared" si="423"/>
        <v/>
      </c>
      <c r="CO202" s="238">
        <v>0</v>
      </c>
      <c r="CP202" s="54" t="str">
        <f t="shared" si="424"/>
        <v/>
      </c>
      <c r="CQ202" s="353">
        <f>+Расходы!M152/1000</f>
        <v>0</v>
      </c>
      <c r="CR202" s="54" t="str">
        <f t="shared" si="425"/>
        <v/>
      </c>
      <c r="CS202" s="468" t="str">
        <f t="shared" si="382"/>
        <v/>
      </c>
      <c r="CT202" s="468" t="str">
        <f t="shared" si="383"/>
        <v/>
      </c>
      <c r="CU202" s="344">
        <f t="shared" si="426"/>
        <v>0</v>
      </c>
      <c r="CV202" s="54" t="str">
        <f t="shared" si="384"/>
        <v/>
      </c>
      <c r="CW202" s="238">
        <f t="shared" si="427"/>
        <v>50</v>
      </c>
      <c r="CX202" s="54">
        <f t="shared" si="385"/>
        <v>3.7704554137390833E-4</v>
      </c>
      <c r="CY202" s="353">
        <f t="shared" si="386"/>
        <v>1.5788500000000001</v>
      </c>
      <c r="CZ202" s="54">
        <f t="shared" si="387"/>
        <v>3.1825852065957092E-5</v>
      </c>
      <c r="DA202" s="468">
        <f t="shared" si="388"/>
        <v>-0.96842300000000003</v>
      </c>
      <c r="DB202" s="468" t="str">
        <f t="shared" si="389"/>
        <v/>
      </c>
    </row>
    <row r="203" spans="2:106" s="103" customFormat="1" ht="13.15" customHeight="1" outlineLevel="2">
      <c r="B203" s="61" t="str">
        <f>+Расходы!A153</f>
        <v>Штрафы</v>
      </c>
      <c r="C203" s="238"/>
      <c r="D203" s="54" t="str">
        <f t="shared" si="390"/>
        <v/>
      </c>
      <c r="E203" s="238"/>
      <c r="F203" s="54" t="str">
        <f t="shared" si="391"/>
        <v/>
      </c>
      <c r="G203" s="353">
        <f>+Расходы!B153/1000</f>
        <v>0</v>
      </c>
      <c r="H203" s="54" t="str">
        <f t="shared" si="392"/>
        <v/>
      </c>
      <c r="I203" s="468" t="str">
        <f t="shared" si="360"/>
        <v/>
      </c>
      <c r="J203" s="468" t="str">
        <f t="shared" si="361"/>
        <v/>
      </c>
      <c r="K203" s="238"/>
      <c r="L203" s="54" t="str">
        <f t="shared" si="393"/>
        <v/>
      </c>
      <c r="M203" s="238"/>
      <c r="N203" s="54" t="str">
        <f t="shared" si="394"/>
        <v/>
      </c>
      <c r="O203" s="353">
        <f>+Расходы!C153/1000</f>
        <v>0</v>
      </c>
      <c r="P203" s="54" t="str">
        <f t="shared" si="395"/>
        <v/>
      </c>
      <c r="Q203" s="468" t="str">
        <f t="shared" si="362"/>
        <v/>
      </c>
      <c r="R203" s="468" t="str">
        <f t="shared" si="363"/>
        <v/>
      </c>
      <c r="S203" s="238"/>
      <c r="T203" s="54" t="str">
        <f t="shared" si="396"/>
        <v/>
      </c>
      <c r="U203" s="238">
        <v>0</v>
      </c>
      <c r="V203" s="54" t="str">
        <f t="shared" si="397"/>
        <v/>
      </c>
      <c r="W203" s="353">
        <f>+Расходы!D153/1000</f>
        <v>0</v>
      </c>
      <c r="X203" s="54" t="str">
        <f t="shared" si="398"/>
        <v/>
      </c>
      <c r="Y203" s="468" t="str">
        <f t="shared" si="364"/>
        <v/>
      </c>
      <c r="Z203" s="468" t="str">
        <f t="shared" si="365"/>
        <v/>
      </c>
      <c r="AA203" s="238"/>
      <c r="AB203" s="54" t="str">
        <f t="shared" si="399"/>
        <v/>
      </c>
      <c r="AC203" s="238">
        <v>0</v>
      </c>
      <c r="AD203" s="54" t="str">
        <f t="shared" si="400"/>
        <v/>
      </c>
      <c r="AE203" s="353">
        <f>+Расходы!E153/1000</f>
        <v>0</v>
      </c>
      <c r="AF203" s="54" t="str">
        <f t="shared" si="401"/>
        <v/>
      </c>
      <c r="AG203" s="468" t="str">
        <f t="shared" si="366"/>
        <v/>
      </c>
      <c r="AH203" s="468" t="str">
        <f t="shared" si="367"/>
        <v/>
      </c>
      <c r="AI203" s="238"/>
      <c r="AJ203" s="54" t="str">
        <f t="shared" si="402"/>
        <v/>
      </c>
      <c r="AK203" s="238">
        <v>0</v>
      </c>
      <c r="AL203" s="54" t="str">
        <f t="shared" si="403"/>
        <v/>
      </c>
      <c r="AM203" s="353">
        <f>+Расходы!F153/1000</f>
        <v>0</v>
      </c>
      <c r="AN203" s="54" t="str">
        <f t="shared" si="404"/>
        <v/>
      </c>
      <c r="AO203" s="468" t="str">
        <f t="shared" si="368"/>
        <v/>
      </c>
      <c r="AP203" s="468" t="str">
        <f t="shared" si="369"/>
        <v/>
      </c>
      <c r="AQ203" s="344"/>
      <c r="AR203" s="54" t="str">
        <f t="shared" si="405"/>
        <v/>
      </c>
      <c r="AS203" s="238">
        <v>0</v>
      </c>
      <c r="AT203" s="54" t="str">
        <f t="shared" si="406"/>
        <v/>
      </c>
      <c r="AU203" s="353">
        <f>+Расходы!G153/1000</f>
        <v>0</v>
      </c>
      <c r="AV203" s="54" t="str">
        <f t="shared" si="407"/>
        <v/>
      </c>
      <c r="AW203" s="468" t="str">
        <f t="shared" si="370"/>
        <v/>
      </c>
      <c r="AX203" s="468" t="str">
        <f t="shared" si="371"/>
        <v/>
      </c>
      <c r="AY203" s="344"/>
      <c r="AZ203" s="54" t="str">
        <f t="shared" si="408"/>
        <v/>
      </c>
      <c r="BA203" s="238">
        <v>0</v>
      </c>
      <c r="BB203" s="54" t="str">
        <f t="shared" si="409"/>
        <v/>
      </c>
      <c r="BC203" s="353">
        <f>+Расходы!H153/1000</f>
        <v>0</v>
      </c>
      <c r="BD203" s="54" t="str">
        <f t="shared" si="410"/>
        <v/>
      </c>
      <c r="BE203" s="468" t="str">
        <f t="shared" si="372"/>
        <v/>
      </c>
      <c r="BF203" s="468" t="str">
        <f t="shared" si="373"/>
        <v/>
      </c>
      <c r="BG203" s="344"/>
      <c r="BH203" s="54" t="str">
        <f t="shared" si="411"/>
        <v/>
      </c>
      <c r="BI203" s="238">
        <v>0</v>
      </c>
      <c r="BJ203" s="54" t="str">
        <f t="shared" si="412"/>
        <v/>
      </c>
      <c r="BK203" s="353">
        <f>+Расходы!I153/1000</f>
        <v>0</v>
      </c>
      <c r="BL203" s="54" t="str">
        <f t="shared" si="413"/>
        <v/>
      </c>
      <c r="BM203" s="468" t="str">
        <f t="shared" si="374"/>
        <v/>
      </c>
      <c r="BN203" s="468" t="str">
        <f t="shared" si="375"/>
        <v/>
      </c>
      <c r="BO203" s="344"/>
      <c r="BP203" s="54" t="str">
        <f t="shared" si="414"/>
        <v/>
      </c>
      <c r="BQ203" s="238">
        <v>0</v>
      </c>
      <c r="BR203" s="54" t="str">
        <f t="shared" si="415"/>
        <v/>
      </c>
      <c r="BS203" s="353">
        <f>+Расходы!J153/1000</f>
        <v>0</v>
      </c>
      <c r="BT203" s="54" t="str">
        <f t="shared" si="416"/>
        <v/>
      </c>
      <c r="BU203" s="468" t="str">
        <f t="shared" si="376"/>
        <v/>
      </c>
      <c r="BV203" s="468" t="str">
        <f t="shared" si="377"/>
        <v/>
      </c>
      <c r="BW203" s="344"/>
      <c r="BX203" s="54" t="str">
        <f t="shared" si="417"/>
        <v/>
      </c>
      <c r="BY203" s="238">
        <v>0</v>
      </c>
      <c r="BZ203" s="54" t="str">
        <f t="shared" si="418"/>
        <v/>
      </c>
      <c r="CA203" s="353">
        <f>+Расходы!K153/1000</f>
        <v>0</v>
      </c>
      <c r="CB203" s="54" t="str">
        <f t="shared" si="419"/>
        <v/>
      </c>
      <c r="CC203" s="468" t="str">
        <f t="shared" si="378"/>
        <v/>
      </c>
      <c r="CD203" s="468" t="str">
        <f t="shared" si="379"/>
        <v/>
      </c>
      <c r="CE203" s="344"/>
      <c r="CF203" s="54" t="str">
        <f t="shared" si="420"/>
        <v/>
      </c>
      <c r="CG203" s="238">
        <v>0</v>
      </c>
      <c r="CH203" s="54" t="str">
        <f t="shared" si="421"/>
        <v/>
      </c>
      <c r="CI203" s="353">
        <f>+Расходы!L153/1000</f>
        <v>0</v>
      </c>
      <c r="CJ203" s="54" t="str">
        <f t="shared" si="422"/>
        <v/>
      </c>
      <c r="CK203" s="468" t="str">
        <f t="shared" si="380"/>
        <v/>
      </c>
      <c r="CL203" s="468" t="str">
        <f t="shared" si="381"/>
        <v/>
      </c>
      <c r="CM203" s="344"/>
      <c r="CN203" s="54" t="str">
        <f t="shared" si="423"/>
        <v/>
      </c>
      <c r="CO203" s="238">
        <v>0</v>
      </c>
      <c r="CP203" s="54" t="str">
        <f t="shared" si="424"/>
        <v/>
      </c>
      <c r="CQ203" s="353">
        <f>+Расходы!M153/1000</f>
        <v>0</v>
      </c>
      <c r="CR203" s="54" t="str">
        <f t="shared" si="425"/>
        <v/>
      </c>
      <c r="CS203" s="468" t="str">
        <f t="shared" si="382"/>
        <v/>
      </c>
      <c r="CT203" s="468" t="str">
        <f t="shared" si="383"/>
        <v/>
      </c>
      <c r="CU203" s="344">
        <f t="shared" si="426"/>
        <v>0</v>
      </c>
      <c r="CV203" s="54" t="str">
        <f t="shared" si="384"/>
        <v/>
      </c>
      <c r="CW203" s="238">
        <f t="shared" si="427"/>
        <v>0</v>
      </c>
      <c r="CX203" s="54">
        <f t="shared" si="385"/>
        <v>0</v>
      </c>
      <c r="CY203" s="353">
        <f t="shared" si="386"/>
        <v>0</v>
      </c>
      <c r="CZ203" s="54">
        <f t="shared" si="387"/>
        <v>0</v>
      </c>
      <c r="DA203" s="468" t="str">
        <f t="shared" si="388"/>
        <v/>
      </c>
      <c r="DB203" s="468" t="str">
        <f t="shared" si="389"/>
        <v/>
      </c>
    </row>
    <row r="204" spans="2:106" s="103" customFormat="1" ht="7.15" customHeight="1" outlineLevel="1">
      <c r="B204" s="61"/>
      <c r="C204" s="467"/>
      <c r="D204" s="54"/>
      <c r="E204" s="467"/>
      <c r="F204" s="54"/>
      <c r="G204" s="467"/>
      <c r="H204" s="54"/>
      <c r="I204" s="468"/>
      <c r="J204" s="468"/>
      <c r="K204" s="467"/>
      <c r="L204" s="54"/>
      <c r="M204" s="467"/>
      <c r="N204" s="54"/>
      <c r="O204" s="467"/>
      <c r="P204" s="54"/>
      <c r="Q204" s="468"/>
      <c r="R204" s="468"/>
      <c r="S204" s="467"/>
      <c r="T204" s="54"/>
      <c r="U204" s="467"/>
      <c r="V204" s="54"/>
      <c r="W204" s="467"/>
      <c r="X204" s="54"/>
      <c r="Y204" s="468"/>
      <c r="Z204" s="468"/>
      <c r="AA204" s="467"/>
      <c r="AB204" s="54"/>
      <c r="AC204" s="467"/>
      <c r="AD204" s="54"/>
      <c r="AE204" s="467"/>
      <c r="AF204" s="54"/>
      <c r="AG204" s="468"/>
      <c r="AH204" s="468"/>
      <c r="AI204" s="467"/>
      <c r="AJ204" s="54"/>
      <c r="AK204" s="467"/>
      <c r="AL204" s="54"/>
      <c r="AM204" s="467"/>
      <c r="AN204" s="54"/>
      <c r="AO204" s="468"/>
      <c r="AP204" s="468"/>
      <c r="AQ204" s="487"/>
      <c r="AR204" s="54"/>
      <c r="AS204" s="467"/>
      <c r="AT204" s="54"/>
      <c r="AU204" s="467"/>
      <c r="AV204" s="54"/>
      <c r="AW204" s="468"/>
      <c r="AX204" s="468"/>
      <c r="AY204" s="487"/>
      <c r="AZ204" s="54"/>
      <c r="BA204" s="467"/>
      <c r="BB204" s="54"/>
      <c r="BC204" s="467"/>
      <c r="BD204" s="54"/>
      <c r="BE204" s="468"/>
      <c r="BF204" s="468"/>
      <c r="BG204" s="487"/>
      <c r="BH204" s="54"/>
      <c r="BI204" s="467"/>
      <c r="BJ204" s="54"/>
      <c r="BK204" s="467"/>
      <c r="BL204" s="54"/>
      <c r="BM204" s="468"/>
      <c r="BN204" s="468"/>
      <c r="BO204" s="487"/>
      <c r="BP204" s="54"/>
      <c r="BQ204" s="467"/>
      <c r="BR204" s="54"/>
      <c r="BS204" s="467"/>
      <c r="BT204" s="54"/>
      <c r="BU204" s="468"/>
      <c r="BV204" s="468"/>
      <c r="BW204" s="487"/>
      <c r="BX204" s="54"/>
      <c r="BY204" s="467"/>
      <c r="BZ204" s="54"/>
      <c r="CA204" s="467"/>
      <c r="CB204" s="54"/>
      <c r="CC204" s="468"/>
      <c r="CD204" s="468"/>
      <c r="CE204" s="487"/>
      <c r="CF204" s="54"/>
      <c r="CG204" s="467"/>
      <c r="CH204" s="54"/>
      <c r="CI204" s="467"/>
      <c r="CJ204" s="54"/>
      <c r="CK204" s="468"/>
      <c r="CL204" s="468"/>
      <c r="CM204" s="487"/>
      <c r="CN204" s="54"/>
      <c r="CO204" s="467"/>
      <c r="CP204" s="54"/>
      <c r="CQ204" s="467"/>
      <c r="CR204" s="54"/>
      <c r="CS204" s="468"/>
      <c r="CT204" s="468"/>
      <c r="CU204" s="487">
        <f t="shared" si="426"/>
        <v>0</v>
      </c>
      <c r="CV204" s="54"/>
      <c r="CW204" s="467">
        <f t="shared" si="427"/>
        <v>0</v>
      </c>
      <c r="CX204" s="54"/>
      <c r="CY204" s="467"/>
      <c r="CZ204" s="54"/>
      <c r="DA204" s="468"/>
      <c r="DB204" s="468"/>
    </row>
    <row r="205" spans="2:106" s="103" customFormat="1" ht="13.15" customHeight="1">
      <c r="B205" s="114" t="s">
        <v>368</v>
      </c>
      <c r="C205" s="359"/>
      <c r="D205" s="56" t="str">
        <f>IF(IFERROR(C205/C$4,"")=0,"",IFERROR(C205/C$4,""))</f>
        <v/>
      </c>
      <c r="E205" s="359"/>
      <c r="F205" s="56" t="str">
        <f>IF(IFERROR(E205/E$4,"")=0,"",IFERROR(E205/E$4,""))</f>
        <v/>
      </c>
      <c r="G205" s="359">
        <f>+Расходы!B155/1000</f>
        <v>0</v>
      </c>
      <c r="H205" s="56" t="str">
        <f>IF(IFERROR(G205/G$4,"")=0,"",IFERROR(G205/G$4,""))</f>
        <v/>
      </c>
      <c r="I205" s="488" t="str">
        <f t="shared" ref="I205:I230" si="428">IF(IFERROR(G205/E205-1,"")=0,"",IFERROR(+G205/E205-1,""))</f>
        <v/>
      </c>
      <c r="J205" s="488" t="str">
        <f t="shared" ref="J205:J230" si="429">IF(IFERROR(G205/C205-1,"")=0,"",IFERROR(+G205/C205-1,""))</f>
        <v/>
      </c>
      <c r="K205" s="359"/>
      <c r="L205" s="56" t="str">
        <f>IF(IFERROR(K205/K$4,"")=0,"",IFERROR(K205/K$4,""))</f>
        <v/>
      </c>
      <c r="M205" s="359"/>
      <c r="N205" s="56" t="str">
        <f>IF(IFERROR(M205/M$4,"")=0,"",IFERROR(M205/M$4,""))</f>
        <v/>
      </c>
      <c r="O205" s="359">
        <f>+Расходы!C155/1000</f>
        <v>0</v>
      </c>
      <c r="P205" s="56" t="str">
        <f>IF(IFERROR(O205/O$4,"")=0,"",IFERROR(O205/O$4,""))</f>
        <v/>
      </c>
      <c r="Q205" s="488" t="str">
        <f t="shared" ref="Q205:Q230" si="430">IF(IFERROR(O205/M205-1,"")=0,"",IFERROR(+O205/M205-1,""))</f>
        <v/>
      </c>
      <c r="R205" s="488" t="str">
        <f t="shared" ref="R205:R230" si="431">IF(IFERROR(O205/K205-1,"")=0,"",IFERROR(+O205/K205-1,""))</f>
        <v/>
      </c>
      <c r="S205" s="359"/>
      <c r="T205" s="56" t="str">
        <f>IF(IFERROR(S205/S$4,"")=0,"",IFERROR(S205/S$4,""))</f>
        <v/>
      </c>
      <c r="U205" s="359">
        <v>0</v>
      </c>
      <c r="V205" s="56" t="str">
        <f>IF(IFERROR(U205/U$4,"")=0,"",IFERROR(U205/U$4,""))</f>
        <v/>
      </c>
      <c r="W205" s="359">
        <f>+Расходы!D155/1000</f>
        <v>26.28</v>
      </c>
      <c r="X205" s="56">
        <f>IF(IFERROR(W205/W$4,"")=0,"",IFERROR(W205/W$4,""))</f>
        <v>4.4317779389197124E-3</v>
      </c>
      <c r="Y205" s="488" t="str">
        <f t="shared" ref="Y205:Y230" si="432">IF(IFERROR(W205/U205-1,"")=0,"",IFERROR(+W205/U205-1,""))</f>
        <v/>
      </c>
      <c r="Z205" s="488" t="str">
        <f t="shared" ref="Z205:Z230" si="433">IF(IFERROR(W205/S205-1,"")=0,"",IFERROR(+W205/S205-1,""))</f>
        <v/>
      </c>
      <c r="AA205" s="359"/>
      <c r="AB205" s="56" t="str">
        <f>IF(IFERROR(AA205/AA$4,"")=0,"",IFERROR(AA205/AA$4,""))</f>
        <v/>
      </c>
      <c r="AC205" s="359">
        <v>432.34249999999997</v>
      </c>
      <c r="AD205" s="56">
        <f>IF(IFERROR(AC205/AC$4,"")=0,"",IFERROR(AC205/AC$4,""))</f>
        <v>3.1622846668773186E-2</v>
      </c>
      <c r="AE205" s="359">
        <f>+Расходы!E155/1000</f>
        <v>148.31984</v>
      </c>
      <c r="AF205" s="56">
        <f>IF(IFERROR(AE205/AE$4,"")=0,"",IFERROR(AE205/AE$4,""))</f>
        <v>1.0815844587696525E-2</v>
      </c>
      <c r="AG205" s="488">
        <f t="shared" ref="AG205:AG230" si="434">IF(IFERROR(AE205/AC205-1,"")=0,"",IFERROR(+AE205/AC205-1,""))</f>
        <v>-0.65693902403765536</v>
      </c>
      <c r="AH205" s="488" t="str">
        <f t="shared" ref="AH205:AH230" si="435">IF(IFERROR(AE205/AA205-1,"")=0,"",IFERROR(+AE205/AA205-1,""))</f>
        <v/>
      </c>
      <c r="AI205" s="359"/>
      <c r="AJ205" s="56" t="str">
        <f>IF(IFERROR(AI205/AI$4,"")=0,"",IFERROR(AI205/AI$4,""))</f>
        <v/>
      </c>
      <c r="AK205" s="359">
        <v>390.59750000000003</v>
      </c>
      <c r="AL205" s="56">
        <f>IF(IFERROR(AK205/AK$4,"")=0,"",IFERROR(AK205/AK$4,""))</f>
        <v>2.7955732894360149E-2</v>
      </c>
      <c r="AM205" s="359">
        <f>+Расходы!F155/1000</f>
        <v>187.30199999999999</v>
      </c>
      <c r="AN205" s="56">
        <f>IF(IFERROR(AM205/AM$4,"")=0,"",IFERROR(AM205/AM$4,""))</f>
        <v>1.1920504512623315E-2</v>
      </c>
      <c r="AO205" s="488">
        <f t="shared" ref="AO205:AO230" si="436">IF(IFERROR(AM205/AK205-1,"")=0,"",IFERROR(+AM205/AK205-1,""))</f>
        <v>-0.52047312130774004</v>
      </c>
      <c r="AP205" s="488" t="str">
        <f t="shared" ref="AP205:AP230" si="437">IF(IFERROR(AM205/AI205-1,"")=0,"",IFERROR(+AM205/AI205-1,""))</f>
        <v/>
      </c>
      <c r="AQ205" s="359"/>
      <c r="AR205" s="56" t="str">
        <f>IF(IFERROR(AQ205/AQ$4,"")=0,"",IFERROR(AQ205/AQ$4,""))</f>
        <v/>
      </c>
      <c r="AS205" s="359">
        <v>230</v>
      </c>
      <c r="AT205" s="56">
        <f>IF(IFERROR(AS205/AS$4,"")=0,"",IFERROR(AS205/AS$4,""))</f>
        <v>1.5251989389920425E-2</v>
      </c>
      <c r="AU205" s="359">
        <f>+Расходы!G155/1000</f>
        <v>297.40508999999997</v>
      </c>
      <c r="AV205" s="56">
        <f>IF(IFERROR(AU205/AU$4,"")=0,"",IFERROR(AU205/AU$4,""))</f>
        <v>2.0865625914916426E-2</v>
      </c>
      <c r="AW205" s="488">
        <f t="shared" ref="AW205:AW230" si="438">IF(IFERROR(AU205/AS205-1,"")=0,"",IFERROR(+AU205/AS205-1,""))</f>
        <v>0.29306560869565201</v>
      </c>
      <c r="AX205" s="488" t="str">
        <f t="shared" ref="AX205:AX230" si="439">IF(IFERROR(AU205/AQ205-1,"")=0,"",IFERROR(+AU205/AQ205-1,""))</f>
        <v/>
      </c>
      <c r="AY205" s="359"/>
      <c r="AZ205" s="56" t="str">
        <f>IF(IFERROR(AY205/AY$4,"")=0,"",IFERROR(AY205/AY$4,""))</f>
        <v/>
      </c>
      <c r="BA205" s="359">
        <v>90</v>
      </c>
      <c r="BB205" s="56">
        <f>IF(IFERROR(BA205/BA$4,"")=0,"",IFERROR(BA205/BA$4,""))</f>
        <v>5.7443752991862135E-3</v>
      </c>
      <c r="BC205" s="359">
        <f>+Расходы!H155/1000</f>
        <v>0</v>
      </c>
      <c r="BD205" s="56" t="str">
        <f>IF(IFERROR(BC205/BC$4,"")=0,"",IFERROR(BC205/BC$4,""))</f>
        <v/>
      </c>
      <c r="BE205" s="488">
        <f t="shared" ref="BE205:BE230" si="440">IF(IFERROR(BC205/BA205-1,"")=0,"",IFERROR(+BC205/BA205-1,""))</f>
        <v>-1</v>
      </c>
      <c r="BF205" s="488" t="str">
        <f t="shared" ref="BF205:BF230" si="441">IF(IFERROR(BC205/AY205-1,"")=0,"",IFERROR(+BC205/AY205-1,""))</f>
        <v/>
      </c>
      <c r="BG205" s="359"/>
      <c r="BH205" s="56" t="str">
        <f>IF(IFERROR(BG205/BG$4,"")=0,"",IFERROR(BG205/BG$4,""))</f>
        <v/>
      </c>
      <c r="BI205" s="359">
        <v>115</v>
      </c>
      <c r="BJ205" s="56">
        <f>IF(IFERROR(BI205/BI$4,"")=0,"",IFERROR(BI205/BI$4,""))</f>
        <v>7.3400351045157172E-3</v>
      </c>
      <c r="BK205" s="359">
        <f>+Расходы!I155/1000</f>
        <v>0</v>
      </c>
      <c r="BL205" s="56" t="str">
        <f>IF(IFERROR(BK205/BK$4,"")=0,"",IFERROR(BK205/BK$4,""))</f>
        <v/>
      </c>
      <c r="BM205" s="488">
        <f t="shared" ref="BM205:BM230" si="442">IF(IFERROR(BK205/BI205-1,"")=0,"",IFERROR(+BK205/BI205-1,""))</f>
        <v>-1</v>
      </c>
      <c r="BN205" s="488" t="str">
        <f t="shared" ref="BN205:BN230" si="443">IF(IFERROR(BK205/BG205-1,"")=0,"",IFERROR(+BK205/BG205-1,""))</f>
        <v/>
      </c>
      <c r="BO205" s="359"/>
      <c r="BP205" s="56" t="str">
        <f>IF(IFERROR(BO205/BO$4,"")=0,"",IFERROR(BO205/BO$4,""))</f>
        <v/>
      </c>
      <c r="BQ205" s="359">
        <v>150</v>
      </c>
      <c r="BR205" s="56">
        <f>IF(IFERROR(BQ205/BQ$4,"")=0,"",IFERROR(BQ205/BQ$4,""))</f>
        <v>1.0359116022099447E-2</v>
      </c>
      <c r="BS205" s="359">
        <f>+Расходы!J155/1000</f>
        <v>0</v>
      </c>
      <c r="BT205" s="56" t="str">
        <f>IF(IFERROR(BS205/BS$4,"")=0,"",IFERROR(BS205/BS$4,""))</f>
        <v/>
      </c>
      <c r="BU205" s="488">
        <f t="shared" ref="BU205:BU230" si="444">IF(IFERROR(BS205/BQ205-1,"")=0,"",IFERROR(+BS205/BQ205-1,""))</f>
        <v>-1</v>
      </c>
      <c r="BV205" s="488" t="str">
        <f t="shared" ref="BV205:BV230" si="445">IF(IFERROR(BS205/BO205-1,"")=0,"",IFERROR(+BS205/BO205-1,""))</f>
        <v/>
      </c>
      <c r="BW205" s="359"/>
      <c r="BX205" s="56" t="str">
        <f>IF(IFERROR(BW205/BW$4,"")=0,"",IFERROR(BW205/BW$4,""))</f>
        <v/>
      </c>
      <c r="BY205" s="359">
        <v>0</v>
      </c>
      <c r="BZ205" s="56" t="str">
        <f>IF(IFERROR(BY205/BY$4,"")=0,"",IFERROR(BY205/BY$4,""))</f>
        <v/>
      </c>
      <c r="CA205" s="359">
        <f>+Расходы!K155/1000</f>
        <v>0</v>
      </c>
      <c r="CB205" s="56" t="str">
        <f>IF(IFERROR(CA205/CA$4,"")=0,"",IFERROR(CA205/CA$4,""))</f>
        <v/>
      </c>
      <c r="CC205" s="488" t="str">
        <f t="shared" ref="CC205:CC230" si="446">IF(IFERROR(CA205/BY205-1,"")=0,"",IFERROR(+CA205/BY205-1,""))</f>
        <v/>
      </c>
      <c r="CD205" s="488" t="str">
        <f t="shared" ref="CD205:CD230" si="447">IF(IFERROR(CA205/BW205-1,"")=0,"",IFERROR(+CA205/BW205-1,""))</f>
        <v/>
      </c>
      <c r="CE205" s="359"/>
      <c r="CF205" s="56" t="str">
        <f>IF(IFERROR(CE205/CE$4,"")=0,"",IFERROR(CE205/CE$4,""))</f>
        <v/>
      </c>
      <c r="CG205" s="359">
        <v>0</v>
      </c>
      <c r="CH205" s="56" t="str">
        <f>IF(IFERROR(CG205/CG$4,"")=0,"",IFERROR(CG205/CG$4,""))</f>
        <v/>
      </c>
      <c r="CI205" s="359">
        <f>+Расходы!L155/1000</f>
        <v>0</v>
      </c>
      <c r="CJ205" s="56" t="str">
        <f>IF(IFERROR(CI205/CI$4,"")=0,"",IFERROR(CI205/CI$4,""))</f>
        <v/>
      </c>
      <c r="CK205" s="488" t="str">
        <f t="shared" ref="CK205:CK230" si="448">IF(IFERROR(CI205/CG205-1,"")=0,"",IFERROR(+CI205/CG205-1,""))</f>
        <v/>
      </c>
      <c r="CL205" s="488" t="str">
        <f t="shared" ref="CL205:CL230" si="449">IF(IFERROR(CI205/CE205-1,"")=0,"",IFERROR(+CI205/CE205-1,""))</f>
        <v/>
      </c>
      <c r="CM205" s="359"/>
      <c r="CN205" s="56" t="str">
        <f>IF(IFERROR(CM205/CM$4,"")=0,"",IFERROR(CM205/CM$4,""))</f>
        <v/>
      </c>
      <c r="CO205" s="359">
        <v>0</v>
      </c>
      <c r="CP205" s="56" t="str">
        <f>IF(IFERROR(CO205/CO$4,"")=0,"",IFERROR(CO205/CO$4,""))</f>
        <v/>
      </c>
      <c r="CQ205" s="359">
        <f>+Расходы!M155/1000</f>
        <v>0</v>
      </c>
      <c r="CR205" s="56" t="str">
        <f>IF(IFERROR(CQ205/CQ$4,"")=0,"",IFERROR(CQ205/CQ$4,""))</f>
        <v/>
      </c>
      <c r="CS205" s="488" t="str">
        <f t="shared" ref="CS205:CS230" si="450">IF(IFERROR(CQ205/CO205-1,"")=0,"",IFERROR(+CQ205/CO205-1,""))</f>
        <v/>
      </c>
      <c r="CT205" s="488" t="str">
        <f t="shared" ref="CT205:CT230" si="451">IF(IFERROR(CQ205/CM205-1,"")=0,"",IFERROR(+CQ205/CM205-1,""))</f>
        <v/>
      </c>
      <c r="CU205" s="359">
        <f t="shared" si="426"/>
        <v>0</v>
      </c>
      <c r="CV205" s="56" t="str">
        <f t="shared" ref="CV205:CV230" si="452">IFERROR(CU205/CU$4,"")</f>
        <v/>
      </c>
      <c r="CW205" s="359">
        <f t="shared" si="427"/>
        <v>1407.94</v>
      </c>
      <c r="CX205" s="56">
        <f t="shared" ref="CX205:CX230" si="453">IFERROR(CW205/CW$4,"")</f>
        <v>1.0617149990439612E-2</v>
      </c>
      <c r="CY205" s="359">
        <f t="shared" ref="CY205:CY230" si="454">SUM(G205,O205,W205,AE205,AM205,AU205,BC205,BK205,BS205,CA205,CI205,CQ205)</f>
        <v>659.30692999999997</v>
      </c>
      <c r="CZ205" s="56">
        <f t="shared" ref="CZ205:CZ230" si="455">IFERROR(CY205/CY$4,"")</f>
        <v>1.3290055939601813E-2</v>
      </c>
      <c r="DA205" s="488">
        <f t="shared" ref="DA205:DA230" si="456">IF(IFERROR(CY205/CW205-1,"")=0,"",IFERROR(+CY205/CW205-1,""))</f>
        <v>-0.53172228219952555</v>
      </c>
      <c r="DB205" s="488" t="str">
        <f t="shared" ref="DB205:DB230" si="457">IF(IFERROR(CY205/CU205-1,"")=0,"",IFERROR(+CY205/CU205-1,""))</f>
        <v/>
      </c>
    </row>
    <row r="206" spans="2:106" s="103" customFormat="1" ht="13.15" customHeight="1">
      <c r="B206" s="114" t="s">
        <v>670</v>
      </c>
      <c r="C206" s="359"/>
      <c r="D206" s="56" t="str">
        <f>IF(IFERROR(C206/C$4,"")=0,"",IFERROR(C206/C$4,""))</f>
        <v/>
      </c>
      <c r="E206" s="359"/>
      <c r="F206" s="56" t="str">
        <f>IF(IFERROR(E206/E$4,"")=0,"",IFERROR(E206/E$4,""))</f>
        <v/>
      </c>
      <c r="G206" s="359">
        <f>+Расходы!B176/1000</f>
        <v>0</v>
      </c>
      <c r="H206" s="56" t="str">
        <f>IF(IFERROR(G206/G$4,"")=0,"",IFERROR(G206/G$4,""))</f>
        <v/>
      </c>
      <c r="I206" s="488" t="str">
        <f t="shared" si="428"/>
        <v/>
      </c>
      <c r="J206" s="488" t="str">
        <f t="shared" si="429"/>
        <v/>
      </c>
      <c r="K206" s="359"/>
      <c r="L206" s="56" t="str">
        <f>IF(IFERROR(K206/K$4,"")=0,"",IFERROR(K206/K$4,""))</f>
        <v/>
      </c>
      <c r="M206" s="359"/>
      <c r="N206" s="56" t="str">
        <f>IF(IFERROR(M206/M$4,"")=0,"",IFERROR(M206/M$4,""))</f>
        <v/>
      </c>
      <c r="O206" s="359">
        <f>+Расходы!C176/1000</f>
        <v>0</v>
      </c>
      <c r="P206" s="56" t="str">
        <f>IF(IFERROR(O206/O$4,"")=0,"",IFERROR(O206/O$4,""))</f>
        <v/>
      </c>
      <c r="Q206" s="488" t="str">
        <f t="shared" si="430"/>
        <v/>
      </c>
      <c r="R206" s="488" t="str">
        <f t="shared" si="431"/>
        <v/>
      </c>
      <c r="S206" s="359"/>
      <c r="T206" s="56" t="str">
        <f>IF(IFERROR(S206/S$4,"")=0,"",IFERROR(S206/S$4,""))</f>
        <v/>
      </c>
      <c r="U206" s="359">
        <v>0</v>
      </c>
      <c r="V206" s="56" t="str">
        <f>IF(IFERROR(U206/U$4,"")=0,"",IFERROR(U206/U$4,""))</f>
        <v/>
      </c>
      <c r="W206" s="359">
        <f>+Расходы!D176/1000</f>
        <v>576.43643999999995</v>
      </c>
      <c r="X206" s="56">
        <f>IF(IFERROR(W206/W$4,"")=0,"",IFERROR(W206/W$4,""))</f>
        <v>9.7208458827298935E-2</v>
      </c>
      <c r="Y206" s="488" t="str">
        <f t="shared" si="432"/>
        <v/>
      </c>
      <c r="Z206" s="488" t="str">
        <f t="shared" si="433"/>
        <v/>
      </c>
      <c r="AA206" s="359"/>
      <c r="AB206" s="56" t="str">
        <f>IF(IFERROR(AA206/AA$4,"")=0,"",IFERROR(AA206/AA$4,""))</f>
        <v/>
      </c>
      <c r="AC206" s="359">
        <v>1230.4656</v>
      </c>
      <c r="AD206" s="56">
        <f>IF(IFERROR(AC206/AC$4,"")=0,"",IFERROR(AC206/AC$4,""))</f>
        <v>0.09</v>
      </c>
      <c r="AE206" s="359">
        <f>+Расходы!E176/1000</f>
        <v>1349.07456</v>
      </c>
      <c r="AF206" s="56">
        <f>IF(IFERROR(AE206/AE$4,"")=0,"",IFERROR(AE206/AE$4,""))</f>
        <v>9.8377808243152579E-2</v>
      </c>
      <c r="AG206" s="488">
        <f t="shared" si="434"/>
        <v>9.6393560291323954E-2</v>
      </c>
      <c r="AH206" s="488" t="str">
        <f t="shared" si="435"/>
        <v/>
      </c>
      <c r="AI206" s="359"/>
      <c r="AJ206" s="56" t="str">
        <f>IF(IFERROR(AI206/AI$4,"")=0,"",IFERROR(AI206/AI$4,""))</f>
        <v/>
      </c>
      <c r="AK206" s="359">
        <v>1257.48</v>
      </c>
      <c r="AL206" s="56">
        <f>IF(IFERROR(AK206/AK$4,"")=0,"",IFERROR(AK206/AK$4,""))</f>
        <v>0.09</v>
      </c>
      <c r="AM206" s="359">
        <f>+Расходы!F176/1000</f>
        <v>1537.08755</v>
      </c>
      <c r="AN206" s="56">
        <f>IF(IFERROR(AM206/AM$4,"")=0,"",IFERROR(AM206/AM$4,""))</f>
        <v>9.7825218503123923E-2</v>
      </c>
      <c r="AO206" s="488">
        <f t="shared" si="436"/>
        <v>0.22235546489804991</v>
      </c>
      <c r="AP206" s="488" t="str">
        <f t="shared" si="437"/>
        <v/>
      </c>
      <c r="AQ206" s="359"/>
      <c r="AR206" s="56" t="str">
        <f>IF(IFERROR(AQ206/AQ$4,"")=0,"",IFERROR(AQ206/AQ$4,""))</f>
        <v/>
      </c>
      <c r="AS206" s="359">
        <v>1357.2</v>
      </c>
      <c r="AT206" s="56">
        <f>IF(IFERROR(AS206/AS$4,"")=0,"",IFERROR(AS206/AS$4,""))</f>
        <v>0.09</v>
      </c>
      <c r="AU206" s="359">
        <f>+Расходы!G176/1000</f>
        <v>1234.39915</v>
      </c>
      <c r="AV206" s="56">
        <f>IF(IFERROR(AU206/AU$4,"")=0,"",IFERROR(AU206/AU$4,""))</f>
        <v>8.6604136108063279E-2</v>
      </c>
      <c r="AW206" s="488">
        <f t="shared" si="438"/>
        <v>-9.0481027114647894E-2</v>
      </c>
      <c r="AX206" s="488" t="str">
        <f t="shared" si="439"/>
        <v/>
      </c>
      <c r="AY206" s="359"/>
      <c r="AZ206" s="56" t="str">
        <f>IF(IFERROR(AY206/AY$4,"")=0,"",IFERROR(AY206/AY$4,""))</f>
        <v/>
      </c>
      <c r="BA206" s="359">
        <v>1410.075</v>
      </c>
      <c r="BB206" s="56">
        <f>IF(IFERROR(BA206/BA$4,"")=0,"",IFERROR(BA206/BA$4,""))</f>
        <v>0.09</v>
      </c>
      <c r="BC206" s="359">
        <f>+Расходы!H176/1000</f>
        <v>0</v>
      </c>
      <c r="BD206" s="56" t="str">
        <f>IF(IFERROR(BC206/BC$4,"")=0,"",IFERROR(BC206/BC$4,""))</f>
        <v/>
      </c>
      <c r="BE206" s="488">
        <f t="shared" si="440"/>
        <v>-1</v>
      </c>
      <c r="BF206" s="488" t="str">
        <f t="shared" si="441"/>
        <v/>
      </c>
      <c r="BG206" s="359"/>
      <c r="BH206" s="56" t="str">
        <f>IF(IFERROR(BG206/BG$4,"")=0,"",IFERROR(BG206/BG$4,""))</f>
        <v/>
      </c>
      <c r="BI206" s="359">
        <v>1410.075</v>
      </c>
      <c r="BJ206" s="56">
        <f>IF(IFERROR(BI206/BI$4,"")=0,"",IFERROR(BI206/BI$4,""))</f>
        <v>0.09</v>
      </c>
      <c r="BK206" s="359">
        <f>+Расходы!I176/1000</f>
        <v>0</v>
      </c>
      <c r="BL206" s="56" t="str">
        <f>IF(IFERROR(BK206/BK$4,"")=0,"",IFERROR(BK206/BK$4,""))</f>
        <v/>
      </c>
      <c r="BM206" s="488">
        <f t="shared" si="442"/>
        <v>-1</v>
      </c>
      <c r="BN206" s="488" t="str">
        <f t="shared" si="443"/>
        <v/>
      </c>
      <c r="BO206" s="359"/>
      <c r="BP206" s="56" t="str">
        <f>IF(IFERROR(BO206/BO$4,"")=0,"",IFERROR(BO206/BO$4,""))</f>
        <v/>
      </c>
      <c r="BQ206" s="359">
        <v>1303.2</v>
      </c>
      <c r="BR206" s="56">
        <f>IF(IFERROR(BQ206/BQ$4,"")=0,"",IFERROR(BQ206/BQ$4,""))</f>
        <v>0.09</v>
      </c>
      <c r="BS206" s="359">
        <f>+Расходы!J176/1000</f>
        <v>0</v>
      </c>
      <c r="BT206" s="56" t="str">
        <f>IF(IFERROR(BS206/BS$4,"")=0,"",IFERROR(BS206/BS$4,""))</f>
        <v/>
      </c>
      <c r="BU206" s="488">
        <f t="shared" si="444"/>
        <v>-1</v>
      </c>
      <c r="BV206" s="488" t="str">
        <f t="shared" si="445"/>
        <v/>
      </c>
      <c r="BW206" s="359"/>
      <c r="BX206" s="56" t="str">
        <f>IF(IFERROR(BW206/BW$4,"")=0,"",IFERROR(BW206/BW$4,""))</f>
        <v/>
      </c>
      <c r="BY206" s="359">
        <v>1267.562763280692</v>
      </c>
      <c r="BZ206" s="56">
        <f>IF(IFERROR(BY206/BY$4,"")=0,"",IFERROR(BY206/BY$4,""))</f>
        <v>0.09</v>
      </c>
      <c r="CA206" s="359">
        <f>+Расходы!K176/1000</f>
        <v>0</v>
      </c>
      <c r="CB206" s="56" t="str">
        <f>IF(IFERROR(CA206/CA$4,"")=0,"",IFERROR(CA206/CA$4,""))</f>
        <v/>
      </c>
      <c r="CC206" s="488">
        <f t="shared" si="446"/>
        <v>-1</v>
      </c>
      <c r="CD206" s="488" t="str">
        <f t="shared" si="447"/>
        <v/>
      </c>
      <c r="CE206" s="359"/>
      <c r="CF206" s="56" t="str">
        <f>IF(IFERROR(CE206/CE$4,"")=0,"",IFERROR(CE206/CE$4,""))</f>
        <v/>
      </c>
      <c r="CG206" s="359">
        <v>1308.692198541049</v>
      </c>
      <c r="CH206" s="56">
        <f>IF(IFERROR(CG206/CG$4,"")=0,"",IFERROR(CG206/CG$4,""))</f>
        <v>8.9999999999999983E-2</v>
      </c>
      <c r="CI206" s="359">
        <f>+Расходы!L176/1000</f>
        <v>0</v>
      </c>
      <c r="CJ206" s="56" t="str">
        <f>IF(IFERROR(CI206/CI$4,"")=0,"",IFERROR(CI206/CI$4,""))</f>
        <v/>
      </c>
      <c r="CK206" s="488">
        <f t="shared" si="448"/>
        <v>-1</v>
      </c>
      <c r="CL206" s="488" t="str">
        <f t="shared" si="449"/>
        <v/>
      </c>
      <c r="CM206" s="359"/>
      <c r="CN206" s="56" t="str">
        <f>IF(IFERROR(CM206/CM$4,"")=0,"",IFERROR(CM206/CM$4,""))</f>
        <v/>
      </c>
      <c r="CO206" s="359">
        <v>1390.147232228665</v>
      </c>
      <c r="CP206" s="56">
        <f>IF(IFERROR(CO206/CO$4,"")=0,"",IFERROR(CO206/CO$4,""))</f>
        <v>9.0000000000000038E-2</v>
      </c>
      <c r="CQ206" s="359">
        <f>+Расходы!M176/1000</f>
        <v>0</v>
      </c>
      <c r="CR206" s="56" t="str">
        <f>IF(IFERROR(CQ206/CQ$4,"")=0,"",IFERROR(CQ206/CQ$4,""))</f>
        <v/>
      </c>
      <c r="CS206" s="488">
        <f t="shared" si="450"/>
        <v>-1</v>
      </c>
      <c r="CT206" s="488" t="str">
        <f t="shared" si="451"/>
        <v/>
      </c>
      <c r="CU206" s="359">
        <f t="shared" si="426"/>
        <v>0</v>
      </c>
      <c r="CV206" s="56" t="str">
        <f t="shared" si="452"/>
        <v/>
      </c>
      <c r="CW206" s="359">
        <f t="shared" si="427"/>
        <v>11934.897794050405</v>
      </c>
      <c r="CX206" s="56">
        <f t="shared" si="453"/>
        <v>8.9999999999999983E-2</v>
      </c>
      <c r="CY206" s="359">
        <f t="shared" si="454"/>
        <v>4696.9976999999999</v>
      </c>
      <c r="CZ206" s="56">
        <f t="shared" si="455"/>
        <v>9.4680276121443252E-2</v>
      </c>
      <c r="DA206" s="488">
        <f t="shared" si="456"/>
        <v>-0.60644843541588833</v>
      </c>
      <c r="DB206" s="488" t="str">
        <f t="shared" si="457"/>
        <v/>
      </c>
    </row>
    <row r="207" spans="2:106" ht="9" customHeight="1">
      <c r="B207" s="115"/>
      <c r="C207" s="489"/>
      <c r="D207" s="54" t="str">
        <f>IF(IFERROR(C207/C$4,"")=0,"",IFERROR(C207/C$4,""))</f>
        <v/>
      </c>
      <c r="E207" s="489"/>
      <c r="F207" s="54" t="str">
        <f>IF(IFERROR(E207/E$4,"")=0,"",IFERROR(E207/E$4,""))</f>
        <v/>
      </c>
      <c r="G207" s="489"/>
      <c r="H207" s="54" t="str">
        <f>IF(IFERROR(G207/G$4,"")=0,"",IFERROR(G207/G$4,""))</f>
        <v/>
      </c>
      <c r="I207" s="490" t="str">
        <f t="shared" si="428"/>
        <v/>
      </c>
      <c r="J207" s="490" t="str">
        <f t="shared" si="429"/>
        <v/>
      </c>
      <c r="K207" s="489"/>
      <c r="L207" s="54" t="str">
        <f>IF(IFERROR(K207/K$4,"")=0,"",IFERROR(K207/K$4,""))</f>
        <v/>
      </c>
      <c r="M207" s="489"/>
      <c r="N207" s="54" t="str">
        <f>IF(IFERROR(M207/M$4,"")=0,"",IFERROR(M207/M$4,""))</f>
        <v/>
      </c>
      <c r="O207" s="489"/>
      <c r="P207" s="54" t="str">
        <f>IF(IFERROR(O207/O$4,"")=0,"",IFERROR(O207/O$4,""))</f>
        <v/>
      </c>
      <c r="Q207" s="490" t="str">
        <f t="shared" si="430"/>
        <v/>
      </c>
      <c r="R207" s="490" t="str">
        <f t="shared" si="431"/>
        <v/>
      </c>
      <c r="S207" s="489"/>
      <c r="T207" s="54" t="str">
        <f>IF(IFERROR(S207/S$4,"")=0,"",IFERROR(S207/S$4,""))</f>
        <v/>
      </c>
      <c r="U207" s="489"/>
      <c r="V207" s="54" t="str">
        <f>IF(IFERROR(U207/U$4,"")=0,"",IFERROR(U207/U$4,""))</f>
        <v/>
      </c>
      <c r="W207" s="489"/>
      <c r="X207" s="54" t="str">
        <f>IF(IFERROR(W207/W$4,"")=0,"",IFERROR(W207/W$4,""))</f>
        <v/>
      </c>
      <c r="Y207" s="490" t="str">
        <f t="shared" si="432"/>
        <v/>
      </c>
      <c r="Z207" s="490" t="str">
        <f t="shared" si="433"/>
        <v/>
      </c>
      <c r="AA207" s="489"/>
      <c r="AB207" s="54" t="str">
        <f>IF(IFERROR(AA207/AA$4,"")=0,"",IFERROR(AA207/AA$4,""))</f>
        <v/>
      </c>
      <c r="AC207" s="489"/>
      <c r="AD207" s="54" t="str">
        <f>IF(IFERROR(AC207/AC$4,"")=0,"",IFERROR(AC207/AC$4,""))</f>
        <v/>
      </c>
      <c r="AE207" s="489"/>
      <c r="AF207" s="54" t="str">
        <f>IF(IFERROR(AE207/AE$4,"")=0,"",IFERROR(AE207/AE$4,""))</f>
        <v/>
      </c>
      <c r="AG207" s="490" t="str">
        <f t="shared" si="434"/>
        <v/>
      </c>
      <c r="AH207" s="490" t="str">
        <f t="shared" si="435"/>
        <v/>
      </c>
      <c r="AI207" s="489"/>
      <c r="AJ207" s="54" t="str">
        <f>IF(IFERROR(AI207/AI$4,"")=0,"",IFERROR(AI207/AI$4,""))</f>
        <v/>
      </c>
      <c r="AK207" s="489"/>
      <c r="AL207" s="54" t="str">
        <f>IF(IFERROR(AK207/AK$4,"")=0,"",IFERROR(AK207/AK$4,""))</f>
        <v/>
      </c>
      <c r="AM207" s="489"/>
      <c r="AN207" s="54" t="str">
        <f>IF(IFERROR(AM207/AM$4,"")=0,"",IFERROR(AM207/AM$4,""))</f>
        <v/>
      </c>
      <c r="AO207" s="490" t="str">
        <f t="shared" si="436"/>
        <v/>
      </c>
      <c r="AP207" s="490" t="str">
        <f t="shared" si="437"/>
        <v/>
      </c>
      <c r="AQ207" s="491"/>
      <c r="AR207" s="54" t="str">
        <f>IF(IFERROR(AQ207/AQ$4,"")=0,"",IFERROR(AQ207/AQ$4,""))</f>
        <v/>
      </c>
      <c r="AS207" s="489"/>
      <c r="AT207" s="54" t="str">
        <f>IF(IFERROR(AS207/AS$4,"")=0,"",IFERROR(AS207/AS$4,""))</f>
        <v/>
      </c>
      <c r="AU207" s="489"/>
      <c r="AV207" s="54" t="str">
        <f>IF(IFERROR(AU207/AU$4,"")=0,"",IFERROR(AU207/AU$4,""))</f>
        <v/>
      </c>
      <c r="AW207" s="490" t="str">
        <f t="shared" si="438"/>
        <v/>
      </c>
      <c r="AX207" s="490" t="str">
        <f t="shared" si="439"/>
        <v/>
      </c>
      <c r="AY207" s="491"/>
      <c r="AZ207" s="54" t="str">
        <f>IF(IFERROR(AY207/AY$4,"")=0,"",IFERROR(AY207/AY$4,""))</f>
        <v/>
      </c>
      <c r="BA207" s="489"/>
      <c r="BB207" s="54" t="str">
        <f>IF(IFERROR(BA207/BA$4,"")=0,"",IFERROR(BA207/BA$4,""))</f>
        <v/>
      </c>
      <c r="BC207" s="489"/>
      <c r="BD207" s="54" t="str">
        <f>IF(IFERROR(BC207/BC$4,"")=0,"",IFERROR(BC207/BC$4,""))</f>
        <v/>
      </c>
      <c r="BE207" s="490" t="str">
        <f t="shared" si="440"/>
        <v/>
      </c>
      <c r="BF207" s="490" t="str">
        <f t="shared" si="441"/>
        <v/>
      </c>
      <c r="BG207" s="491"/>
      <c r="BH207" s="54" t="str">
        <f>IF(IFERROR(BG207/BG$4,"")=0,"",IFERROR(BG207/BG$4,""))</f>
        <v/>
      </c>
      <c r="BI207" s="489"/>
      <c r="BJ207" s="54" t="str">
        <f>IF(IFERROR(BI207/BI$4,"")=0,"",IFERROR(BI207/BI$4,""))</f>
        <v/>
      </c>
      <c r="BK207" s="489"/>
      <c r="BL207" s="54" t="str">
        <f>IF(IFERROR(BK207/BK$4,"")=0,"",IFERROR(BK207/BK$4,""))</f>
        <v/>
      </c>
      <c r="BM207" s="490" t="str">
        <f t="shared" si="442"/>
        <v/>
      </c>
      <c r="BN207" s="490" t="str">
        <f t="shared" si="443"/>
        <v/>
      </c>
      <c r="BO207" s="491"/>
      <c r="BP207" s="54" t="str">
        <f>IF(IFERROR(BO207/BO$4,"")=0,"",IFERROR(BO207/BO$4,""))</f>
        <v/>
      </c>
      <c r="BQ207" s="489"/>
      <c r="BR207" s="54" t="str">
        <f>IF(IFERROR(BQ207/BQ$4,"")=0,"",IFERROR(BQ207/BQ$4,""))</f>
        <v/>
      </c>
      <c r="BS207" s="489"/>
      <c r="BT207" s="54" t="str">
        <f>IF(IFERROR(BS207/BS$4,"")=0,"",IFERROR(BS207/BS$4,""))</f>
        <v/>
      </c>
      <c r="BU207" s="490" t="str">
        <f t="shared" si="444"/>
        <v/>
      </c>
      <c r="BV207" s="490" t="str">
        <f t="shared" si="445"/>
        <v/>
      </c>
      <c r="BW207" s="491"/>
      <c r="BX207" s="54" t="str">
        <f>IF(IFERROR(BW207/BW$4,"")=0,"",IFERROR(BW207/BW$4,""))</f>
        <v/>
      </c>
      <c r="BY207" s="489"/>
      <c r="BZ207" s="54" t="str">
        <f>IF(IFERROR(BY207/BY$4,"")=0,"",IFERROR(BY207/BY$4,""))</f>
        <v/>
      </c>
      <c r="CA207" s="489"/>
      <c r="CB207" s="54" t="str">
        <f>IF(IFERROR(CA207/CA$4,"")=0,"",IFERROR(CA207/CA$4,""))</f>
        <v/>
      </c>
      <c r="CC207" s="490" t="str">
        <f t="shared" si="446"/>
        <v/>
      </c>
      <c r="CD207" s="490" t="str">
        <f t="shared" si="447"/>
        <v/>
      </c>
      <c r="CE207" s="491"/>
      <c r="CF207" s="54" t="str">
        <f>IF(IFERROR(CE207/CE$4,"")=0,"",IFERROR(CE207/CE$4,""))</f>
        <v/>
      </c>
      <c r="CG207" s="489"/>
      <c r="CH207" s="54" t="str">
        <f>IF(IFERROR(CG207/CG$4,"")=0,"",IFERROR(CG207/CG$4,""))</f>
        <v/>
      </c>
      <c r="CI207" s="489"/>
      <c r="CJ207" s="54" t="str">
        <f>IF(IFERROR(CI207/CI$4,"")=0,"",IFERROR(CI207/CI$4,""))</f>
        <v/>
      </c>
      <c r="CK207" s="490" t="str">
        <f t="shared" si="448"/>
        <v/>
      </c>
      <c r="CL207" s="490" t="str">
        <f t="shared" si="449"/>
        <v/>
      </c>
      <c r="CM207" s="491"/>
      <c r="CN207" s="54" t="str">
        <f>IF(IFERROR(CM207/CM$4,"")=0,"",IFERROR(CM207/CM$4,""))</f>
        <v/>
      </c>
      <c r="CO207" s="489"/>
      <c r="CP207" s="54" t="str">
        <f>IF(IFERROR(CO207/CO$4,"")=0,"",IFERROR(CO207/CO$4,""))</f>
        <v/>
      </c>
      <c r="CQ207" s="489"/>
      <c r="CR207" s="54" t="str">
        <f>IF(IFERROR(CQ207/CQ$4,"")=0,"",IFERROR(CQ207/CQ$4,""))</f>
        <v/>
      </c>
      <c r="CS207" s="490" t="str">
        <f t="shared" si="450"/>
        <v/>
      </c>
      <c r="CT207" s="490" t="str">
        <f t="shared" si="451"/>
        <v/>
      </c>
      <c r="CU207" s="491">
        <f t="shared" si="426"/>
        <v>0</v>
      </c>
      <c r="CV207" s="54" t="str">
        <f t="shared" si="452"/>
        <v/>
      </c>
      <c r="CW207" s="489">
        <f t="shared" si="427"/>
        <v>0</v>
      </c>
      <c r="CX207" s="54">
        <f t="shared" si="453"/>
        <v>0</v>
      </c>
      <c r="CY207" s="489">
        <f t="shared" si="454"/>
        <v>0</v>
      </c>
      <c r="CZ207" s="54">
        <f t="shared" si="455"/>
        <v>0</v>
      </c>
      <c r="DA207" s="490" t="str">
        <f t="shared" si="456"/>
        <v/>
      </c>
      <c r="DB207" s="490" t="str">
        <f t="shared" si="457"/>
        <v/>
      </c>
    </row>
    <row r="208" spans="2:106" s="116" customFormat="1" ht="16.899999999999999" customHeight="1">
      <c r="B208" s="112" t="s">
        <v>671</v>
      </c>
      <c r="C208" s="350"/>
      <c r="D208" s="67" t="str">
        <f>IFERROR(C208/C$6,"")</f>
        <v/>
      </c>
      <c r="E208" s="350"/>
      <c r="F208" s="67" t="str">
        <f>IFERROR(E208/E$6,"")</f>
        <v/>
      </c>
      <c r="G208" s="350">
        <f>+'Отчет о фин.рез.'!B30</f>
        <v>0</v>
      </c>
      <c r="H208" s="67" t="str">
        <f>IFERROR(G208/G$6,"")</f>
        <v/>
      </c>
      <c r="I208" s="475" t="str">
        <f t="shared" si="428"/>
        <v/>
      </c>
      <c r="J208" s="475" t="str">
        <f t="shared" si="429"/>
        <v/>
      </c>
      <c r="K208" s="350"/>
      <c r="L208" s="67" t="str">
        <f>IFERROR(K208/K$6,"")</f>
        <v/>
      </c>
      <c r="M208" s="350"/>
      <c r="N208" s="67" t="str">
        <f>IFERROR(M208/M$6,"")</f>
        <v/>
      </c>
      <c r="O208" s="350">
        <f>+'Отчет о фин.рез.'!C30</f>
        <v>0</v>
      </c>
      <c r="P208" s="67" t="str">
        <f>IFERROR(O208/O$6,"")</f>
        <v/>
      </c>
      <c r="Q208" s="475" t="str">
        <f t="shared" si="430"/>
        <v/>
      </c>
      <c r="R208" s="475" t="str">
        <f t="shared" si="431"/>
        <v/>
      </c>
      <c r="S208" s="350"/>
      <c r="T208" s="67" t="str">
        <f>IFERROR(S208/S$6,"")</f>
        <v/>
      </c>
      <c r="U208" s="350">
        <v>0</v>
      </c>
      <c r="V208" s="67" t="str">
        <f>IFERROR(U208/U$6,"")</f>
        <v/>
      </c>
      <c r="W208" s="350">
        <f>+'Отчет о фин.рез.'!D30</f>
        <v>0</v>
      </c>
      <c r="X208" s="67" t="str">
        <f>IFERROR(W208/W$6,"")</f>
        <v/>
      </c>
      <c r="Y208" s="475" t="str">
        <f t="shared" si="432"/>
        <v/>
      </c>
      <c r="Z208" s="475" t="str">
        <f t="shared" si="433"/>
        <v/>
      </c>
      <c r="AA208" s="350"/>
      <c r="AB208" s="67" t="str">
        <f>IFERROR(AA208/AA$6,"")</f>
        <v/>
      </c>
      <c r="AC208" s="350">
        <v>0</v>
      </c>
      <c r="AD208" s="67" t="str">
        <f>IFERROR(AC208/AC$6,"")</f>
        <v/>
      </c>
      <c r="AE208" s="350">
        <f>+'Отчет о фин.рез.'!E30</f>
        <v>0</v>
      </c>
      <c r="AF208" s="67" t="str">
        <f>IFERROR(AE208/AE$6,"")</f>
        <v/>
      </c>
      <c r="AG208" s="475" t="str">
        <f t="shared" si="434"/>
        <v/>
      </c>
      <c r="AH208" s="475" t="str">
        <f t="shared" si="435"/>
        <v/>
      </c>
      <c r="AI208" s="350"/>
      <c r="AJ208" s="67" t="str">
        <f>IFERROR(AI208/AI$6,"")</f>
        <v/>
      </c>
      <c r="AK208" s="350">
        <v>0</v>
      </c>
      <c r="AL208" s="67">
        <f>IFERROR(AK208/AK$6,"")</f>
        <v>0</v>
      </c>
      <c r="AM208" s="350">
        <f>+'Отчет о фин.рез.'!F30</f>
        <v>30.104779999999998</v>
      </c>
      <c r="AN208" s="67" t="str">
        <f>IFERROR(AM208/AM$6,"")</f>
        <v/>
      </c>
      <c r="AO208" s="475" t="str">
        <f t="shared" si="436"/>
        <v/>
      </c>
      <c r="AP208" s="475" t="str">
        <f t="shared" si="437"/>
        <v/>
      </c>
      <c r="AQ208" s="350"/>
      <c r="AR208" s="67" t="str">
        <f>IFERROR(AQ208/AQ$6,"")</f>
        <v/>
      </c>
      <c r="AS208" s="350">
        <v>39.6</v>
      </c>
      <c r="AT208" s="67">
        <f>IFERROR(AS208/AS$6,"")</f>
        <v>0.33</v>
      </c>
      <c r="AU208" s="350">
        <f>+'Отчет о фин.рез.'!G30</f>
        <v>12.151489999999999</v>
      </c>
      <c r="AV208" s="67" t="str">
        <f>IFERROR(AU208/AU$6,"")</f>
        <v/>
      </c>
      <c r="AW208" s="475">
        <f t="shared" si="438"/>
        <v>-0.69314419191919197</v>
      </c>
      <c r="AX208" s="475" t="str">
        <f t="shared" si="439"/>
        <v/>
      </c>
      <c r="AY208" s="350"/>
      <c r="AZ208" s="67" t="str">
        <f>IFERROR(AY208/AY$6,"")</f>
        <v/>
      </c>
      <c r="BA208" s="350">
        <v>27.348925670247489</v>
      </c>
      <c r="BB208" s="67">
        <f>IFERROR(BA208/BA$6,"")</f>
        <v>0.15193847594581938</v>
      </c>
      <c r="BC208" s="350">
        <f>+'Отчет о фин.рез.'!H30</f>
        <v>0</v>
      </c>
      <c r="BD208" s="67" t="str">
        <f>IFERROR(BC208/BC$6,"")</f>
        <v/>
      </c>
      <c r="BE208" s="475">
        <f t="shared" si="440"/>
        <v>-1</v>
      </c>
      <c r="BF208" s="475" t="str">
        <f t="shared" si="441"/>
        <v/>
      </c>
      <c r="BG208" s="350"/>
      <c r="BH208" s="67" t="str">
        <f>IFERROR(BG208/BG$6,"")</f>
        <v/>
      </c>
      <c r="BI208" s="350">
        <v>31.289299616483621</v>
      </c>
      <c r="BJ208" s="67">
        <f>IFERROR(BI208/BI$6,"")</f>
        <v>0.17382944231379791</v>
      </c>
      <c r="BK208" s="350">
        <f>+'Отчет о фин.рез.'!I30</f>
        <v>0</v>
      </c>
      <c r="BL208" s="67" t="str">
        <f>IFERROR(BK208/BK$6,"")</f>
        <v/>
      </c>
      <c r="BM208" s="475">
        <f t="shared" si="442"/>
        <v>-1</v>
      </c>
      <c r="BN208" s="475" t="str">
        <f t="shared" si="443"/>
        <v/>
      </c>
      <c r="BO208" s="350"/>
      <c r="BP208" s="67" t="str">
        <f>IFERROR(BO208/BO$6,"")</f>
        <v/>
      </c>
      <c r="BQ208" s="350">
        <v>31.2789072178909</v>
      </c>
      <c r="BR208" s="67">
        <f>IFERROR(BQ208/BQ$6,"")</f>
        <v>0.1563945360894545</v>
      </c>
      <c r="BS208" s="350">
        <f>+'Отчет о фин.рез.'!J30</f>
        <v>0</v>
      </c>
      <c r="BT208" s="67" t="str">
        <f>IFERROR(BS208/BS$6,"")</f>
        <v/>
      </c>
      <c r="BU208" s="475">
        <f t="shared" si="444"/>
        <v>-1</v>
      </c>
      <c r="BV208" s="475" t="str">
        <f t="shared" si="445"/>
        <v/>
      </c>
      <c r="BW208" s="350"/>
      <c r="BX208" s="67" t="str">
        <f>IFERROR(BW208/BW$6,"")</f>
        <v/>
      </c>
      <c r="BY208" s="350">
        <v>573.56518617304823</v>
      </c>
      <c r="BZ208" s="67">
        <f>IFERROR(BY208/BY$6,"")</f>
        <v>0.15509836009656558</v>
      </c>
      <c r="CA208" s="350">
        <f>+'Отчет о фин.рез.'!K30</f>
        <v>0</v>
      </c>
      <c r="CB208" s="67" t="str">
        <f>IFERROR(CA208/CA$6,"")</f>
        <v/>
      </c>
      <c r="CC208" s="475">
        <f t="shared" si="446"/>
        <v>-1</v>
      </c>
      <c r="CD208" s="475" t="str">
        <f t="shared" si="447"/>
        <v/>
      </c>
      <c r="CE208" s="350"/>
      <c r="CF208" s="67" t="str">
        <f>IFERROR(CE208/CE$6,"")</f>
        <v/>
      </c>
      <c r="CG208" s="350">
        <v>583.4799300436166</v>
      </c>
      <c r="CH208" s="67">
        <f>IFERROR(CG208/CG$6,"")</f>
        <v>0.17015085739417979</v>
      </c>
      <c r="CI208" s="350">
        <f>+'Отчет о фин.рез.'!L30</f>
        <v>0</v>
      </c>
      <c r="CJ208" s="67" t="str">
        <f>IFERROR(CI208/CI$6,"")</f>
        <v/>
      </c>
      <c r="CK208" s="475">
        <f t="shared" si="448"/>
        <v>-1</v>
      </c>
      <c r="CL208" s="475" t="str">
        <f t="shared" si="449"/>
        <v/>
      </c>
      <c r="CM208" s="350"/>
      <c r="CN208" s="67" t="str">
        <f>IFERROR(CM208/CM$6,"")</f>
        <v/>
      </c>
      <c r="CO208" s="350">
        <v>699.56990491516376</v>
      </c>
      <c r="CP208" s="67">
        <f>IFERROR(CO208/CO$6,"")</f>
        <v>0.16824749539306721</v>
      </c>
      <c r="CQ208" s="350">
        <f>+'Отчет о фин.рез.'!M30</f>
        <v>0</v>
      </c>
      <c r="CR208" s="67" t="str">
        <f>IFERROR(CQ208/CQ$6,"")</f>
        <v/>
      </c>
      <c r="CS208" s="475">
        <f t="shared" si="450"/>
        <v>-1</v>
      </c>
      <c r="CT208" s="475" t="str">
        <f t="shared" si="451"/>
        <v/>
      </c>
      <c r="CU208" s="350">
        <f t="shared" si="426"/>
        <v>0</v>
      </c>
      <c r="CV208" s="67" t="str">
        <f t="shared" si="452"/>
        <v/>
      </c>
      <c r="CW208" s="350">
        <f t="shared" si="427"/>
        <v>1986.1321536364505</v>
      </c>
      <c r="CX208" s="67">
        <f t="shared" si="453"/>
        <v>1.4977245462159641E-2</v>
      </c>
      <c r="CY208" s="350">
        <f t="shared" si="454"/>
        <v>42.256270000000001</v>
      </c>
      <c r="CZ208" s="67">
        <f t="shared" si="455"/>
        <v>8.5178566543949114E-4</v>
      </c>
      <c r="DA208" s="475">
        <f t="shared" si="456"/>
        <v>-0.97872434121635254</v>
      </c>
      <c r="DB208" s="475" t="str">
        <f t="shared" si="457"/>
        <v/>
      </c>
    </row>
    <row r="209" spans="1:106" s="116" customFormat="1" ht="9" customHeight="1">
      <c r="B209" s="117"/>
      <c r="C209" s="360"/>
      <c r="D209" s="35"/>
      <c r="E209" s="360"/>
      <c r="F209" s="35"/>
      <c r="G209" s="360"/>
      <c r="H209" s="35"/>
      <c r="I209" s="492" t="str">
        <f t="shared" si="428"/>
        <v/>
      </c>
      <c r="J209" s="492" t="str">
        <f t="shared" si="429"/>
        <v/>
      </c>
      <c r="K209" s="360"/>
      <c r="L209" s="35"/>
      <c r="M209" s="360"/>
      <c r="N209" s="35"/>
      <c r="O209" s="360"/>
      <c r="P209" s="35"/>
      <c r="Q209" s="492" t="str">
        <f t="shared" si="430"/>
        <v/>
      </c>
      <c r="R209" s="492" t="str">
        <f t="shared" si="431"/>
        <v/>
      </c>
      <c r="S209" s="360"/>
      <c r="T209" s="35"/>
      <c r="U209" s="360"/>
      <c r="V209" s="35"/>
      <c r="W209" s="360"/>
      <c r="X209" s="35"/>
      <c r="Y209" s="492" t="str">
        <f t="shared" si="432"/>
        <v/>
      </c>
      <c r="Z209" s="492" t="str">
        <f t="shared" si="433"/>
        <v/>
      </c>
      <c r="AA209" s="360"/>
      <c r="AB209" s="35"/>
      <c r="AC209" s="360"/>
      <c r="AD209" s="35"/>
      <c r="AE209" s="360"/>
      <c r="AF209" s="35"/>
      <c r="AG209" s="492" t="str">
        <f t="shared" si="434"/>
        <v/>
      </c>
      <c r="AH209" s="492" t="str">
        <f t="shared" si="435"/>
        <v/>
      </c>
      <c r="AI209" s="360"/>
      <c r="AJ209" s="35"/>
      <c r="AK209" s="360"/>
      <c r="AL209" s="35"/>
      <c r="AM209" s="360"/>
      <c r="AN209" s="35"/>
      <c r="AO209" s="492" t="str">
        <f t="shared" si="436"/>
        <v/>
      </c>
      <c r="AP209" s="492" t="str">
        <f t="shared" si="437"/>
        <v/>
      </c>
      <c r="AQ209" s="361"/>
      <c r="AR209" s="231"/>
      <c r="AS209" s="360"/>
      <c r="AT209" s="35"/>
      <c r="AU209" s="360"/>
      <c r="AV209" s="35"/>
      <c r="AW209" s="492" t="str">
        <f t="shared" si="438"/>
        <v/>
      </c>
      <c r="AX209" s="492" t="str">
        <f t="shared" si="439"/>
        <v/>
      </c>
      <c r="AY209" s="361"/>
      <c r="AZ209" s="231"/>
      <c r="BA209" s="360"/>
      <c r="BB209" s="35"/>
      <c r="BC209" s="360"/>
      <c r="BD209" s="35"/>
      <c r="BE209" s="492" t="str">
        <f t="shared" si="440"/>
        <v/>
      </c>
      <c r="BF209" s="492" t="str">
        <f t="shared" si="441"/>
        <v/>
      </c>
      <c r="BG209" s="361"/>
      <c r="BH209" s="231"/>
      <c r="BI209" s="360"/>
      <c r="BJ209" s="35"/>
      <c r="BK209" s="360"/>
      <c r="BL209" s="35"/>
      <c r="BM209" s="492" t="str">
        <f t="shared" si="442"/>
        <v/>
      </c>
      <c r="BN209" s="492" t="str">
        <f t="shared" si="443"/>
        <v/>
      </c>
      <c r="BO209" s="361"/>
      <c r="BP209" s="231"/>
      <c r="BQ209" s="360"/>
      <c r="BR209" s="35"/>
      <c r="BS209" s="360"/>
      <c r="BT209" s="35"/>
      <c r="BU209" s="492" t="str">
        <f t="shared" si="444"/>
        <v/>
      </c>
      <c r="BV209" s="492" t="str">
        <f t="shared" si="445"/>
        <v/>
      </c>
      <c r="BW209" s="361"/>
      <c r="BX209" s="231"/>
      <c r="BY209" s="360"/>
      <c r="BZ209" s="35"/>
      <c r="CA209" s="360"/>
      <c r="CB209" s="35"/>
      <c r="CC209" s="492" t="str">
        <f t="shared" si="446"/>
        <v/>
      </c>
      <c r="CD209" s="492" t="str">
        <f t="shared" si="447"/>
        <v/>
      </c>
      <c r="CE209" s="361"/>
      <c r="CF209" s="231"/>
      <c r="CG209" s="360"/>
      <c r="CH209" s="35"/>
      <c r="CI209" s="360"/>
      <c r="CJ209" s="35"/>
      <c r="CK209" s="492" t="str">
        <f t="shared" si="448"/>
        <v/>
      </c>
      <c r="CL209" s="492" t="str">
        <f t="shared" si="449"/>
        <v/>
      </c>
      <c r="CM209" s="361"/>
      <c r="CN209" s="231"/>
      <c r="CO209" s="360"/>
      <c r="CP209" s="35"/>
      <c r="CQ209" s="360"/>
      <c r="CR209" s="35"/>
      <c r="CS209" s="492" t="str">
        <f t="shared" si="450"/>
        <v/>
      </c>
      <c r="CT209" s="492" t="str">
        <f t="shared" si="451"/>
        <v/>
      </c>
      <c r="CU209" s="361">
        <f t="shared" si="426"/>
        <v>0</v>
      </c>
      <c r="CV209" s="231" t="str">
        <f t="shared" si="452"/>
        <v/>
      </c>
      <c r="CW209" s="360">
        <f t="shared" si="427"/>
        <v>0</v>
      </c>
      <c r="CX209" s="35">
        <f t="shared" si="453"/>
        <v>0</v>
      </c>
      <c r="CY209" s="360">
        <f t="shared" si="454"/>
        <v>0</v>
      </c>
      <c r="CZ209" s="35">
        <f t="shared" si="455"/>
        <v>0</v>
      </c>
      <c r="DA209" s="492" t="str">
        <f t="shared" si="456"/>
        <v/>
      </c>
      <c r="DB209" s="492" t="str">
        <f t="shared" si="457"/>
        <v/>
      </c>
    </row>
    <row r="210" spans="1:106" s="105" customFormat="1" ht="18" customHeight="1">
      <c r="A210" s="116"/>
      <c r="B210" s="112" t="s">
        <v>29</v>
      </c>
      <c r="C210" s="350"/>
      <c r="D210" s="67" t="str">
        <f>IFERROR(C210/C$7,"")</f>
        <v/>
      </c>
      <c r="E210" s="350"/>
      <c r="F210" s="67" t="str">
        <f>IFERROR(E210/E$7,"")</f>
        <v/>
      </c>
      <c r="G210" s="350">
        <f>+'Отчет о фин.рез.'!B31</f>
        <v>0</v>
      </c>
      <c r="H210" s="67" t="str">
        <f>IFERROR(G210/G$7,"")</f>
        <v/>
      </c>
      <c r="I210" s="475" t="str">
        <f t="shared" si="428"/>
        <v/>
      </c>
      <c r="J210" s="475" t="str">
        <f t="shared" si="429"/>
        <v/>
      </c>
      <c r="K210" s="350"/>
      <c r="L210" s="67" t="str">
        <f>IFERROR(K210/K$7,"")</f>
        <v/>
      </c>
      <c r="M210" s="350"/>
      <c r="N210" s="67" t="str">
        <f>IFERROR(M210/M$7,"")</f>
        <v/>
      </c>
      <c r="O210" s="350">
        <f>+'Отчет о фин.рез.'!C31</f>
        <v>0</v>
      </c>
      <c r="P210" s="67" t="str">
        <f>IFERROR(O210/O$7,"")</f>
        <v/>
      </c>
      <c r="Q210" s="475" t="str">
        <f t="shared" si="430"/>
        <v/>
      </c>
      <c r="R210" s="475" t="str">
        <f t="shared" si="431"/>
        <v/>
      </c>
      <c r="S210" s="350"/>
      <c r="T210" s="67" t="str">
        <f>IFERROR(S210/S$7,"")</f>
        <v/>
      </c>
      <c r="U210" s="350"/>
      <c r="V210" s="67" t="str">
        <f>IFERROR(U210/U$7,"")</f>
        <v/>
      </c>
      <c r="W210" s="350">
        <f>+'Отчет о фин.рез.'!D31</f>
        <v>0</v>
      </c>
      <c r="X210" s="67" t="str">
        <f>IFERROR(W210/W$7,"")</f>
        <v/>
      </c>
      <c r="Y210" s="475" t="str">
        <f t="shared" si="432"/>
        <v/>
      </c>
      <c r="Z210" s="475" t="str">
        <f t="shared" si="433"/>
        <v/>
      </c>
      <c r="AA210" s="350"/>
      <c r="AB210" s="67" t="str">
        <f>IFERROR(AA210/AA$7,"")</f>
        <v/>
      </c>
      <c r="AC210" s="350"/>
      <c r="AD210" s="67" t="str">
        <f>IFERROR(AC210/AC$7,"")</f>
        <v/>
      </c>
      <c r="AE210" s="350">
        <f>+'Отчет о фин.рез.'!E31</f>
        <v>0</v>
      </c>
      <c r="AF210" s="67" t="str">
        <f>IFERROR(AE210/AE$7,"")</f>
        <v/>
      </c>
      <c r="AG210" s="475" t="str">
        <f t="shared" si="434"/>
        <v/>
      </c>
      <c r="AH210" s="475" t="str">
        <f t="shared" si="435"/>
        <v/>
      </c>
      <c r="AI210" s="350"/>
      <c r="AJ210" s="67" t="str">
        <f>IFERROR(AI210/AI$7,"")</f>
        <v/>
      </c>
      <c r="AK210" s="350"/>
      <c r="AL210" s="67" t="str">
        <f>IFERROR(AK210/AK$7,"")</f>
        <v/>
      </c>
      <c r="AM210" s="350">
        <f>+'Отчет о фин.рез.'!F31</f>
        <v>0</v>
      </c>
      <c r="AN210" s="67" t="str">
        <f>IFERROR(AM210/AM$7,"")</f>
        <v/>
      </c>
      <c r="AO210" s="475" t="str">
        <f t="shared" si="436"/>
        <v/>
      </c>
      <c r="AP210" s="475" t="str">
        <f t="shared" si="437"/>
        <v/>
      </c>
      <c r="AQ210" s="350"/>
      <c r="AR210" s="67" t="str">
        <f>IFERROR(AQ210/AQ$7,"")</f>
        <v/>
      </c>
      <c r="AS210" s="350">
        <v>0</v>
      </c>
      <c r="AT210" s="67" t="str">
        <f>IFERROR(AS210/AS$7,"")</f>
        <v/>
      </c>
      <c r="AU210" s="350">
        <f>+'Отчет о фин.рез.'!G31</f>
        <v>0</v>
      </c>
      <c r="AV210" s="67" t="str">
        <f>IFERROR(AU210/AU$7,"")</f>
        <v/>
      </c>
      <c r="AW210" s="475" t="str">
        <f t="shared" si="438"/>
        <v/>
      </c>
      <c r="AX210" s="475" t="str">
        <f t="shared" si="439"/>
        <v/>
      </c>
      <c r="AY210" s="350"/>
      <c r="AZ210" s="67" t="str">
        <f>IFERROR(AY210/AY$7,"")</f>
        <v/>
      </c>
      <c r="BA210" s="350">
        <v>0</v>
      </c>
      <c r="BB210" s="67" t="str">
        <f>IFERROR(BA210/BA$7,"")</f>
        <v/>
      </c>
      <c r="BC210" s="350">
        <f>+'Отчет о фин.рез.'!H31</f>
        <v>0</v>
      </c>
      <c r="BD210" s="67" t="str">
        <f>IFERROR(BC210/BC$7,"")</f>
        <v/>
      </c>
      <c r="BE210" s="475" t="str">
        <f t="shared" si="440"/>
        <v/>
      </c>
      <c r="BF210" s="475" t="str">
        <f t="shared" si="441"/>
        <v/>
      </c>
      <c r="BG210" s="350"/>
      <c r="BH210" s="67" t="str">
        <f>IFERROR(BG210/BG$7,"")</f>
        <v/>
      </c>
      <c r="BI210" s="350">
        <v>0</v>
      </c>
      <c r="BJ210" s="67" t="str">
        <f>IFERROR(BI210/BI$7,"")</f>
        <v/>
      </c>
      <c r="BK210" s="350">
        <f>+'Отчет о фин.рез.'!I31</f>
        <v>0</v>
      </c>
      <c r="BL210" s="67" t="str">
        <f>IFERROR(BK210/BK$7,"")</f>
        <v/>
      </c>
      <c r="BM210" s="475" t="str">
        <f t="shared" si="442"/>
        <v/>
      </c>
      <c r="BN210" s="475" t="str">
        <f t="shared" si="443"/>
        <v/>
      </c>
      <c r="BO210" s="350"/>
      <c r="BP210" s="67" t="str">
        <f>IFERROR(BO210/BO$7,"")</f>
        <v/>
      </c>
      <c r="BQ210" s="350">
        <v>0</v>
      </c>
      <c r="BR210" s="67" t="str">
        <f>IFERROR(BQ210/BQ$7,"")</f>
        <v/>
      </c>
      <c r="BS210" s="350">
        <f>+'Отчет о фин.рез.'!J31</f>
        <v>0</v>
      </c>
      <c r="BT210" s="67" t="str">
        <f>IFERROR(BS210/BS$7,"")</f>
        <v/>
      </c>
      <c r="BU210" s="475" t="str">
        <f t="shared" si="444"/>
        <v/>
      </c>
      <c r="BV210" s="475" t="str">
        <f t="shared" si="445"/>
        <v/>
      </c>
      <c r="BW210" s="350"/>
      <c r="BX210" s="67" t="str">
        <f>IFERROR(BW210/BW$7,"")</f>
        <v/>
      </c>
      <c r="BY210" s="350">
        <v>0</v>
      </c>
      <c r="BZ210" s="67" t="str">
        <f>IFERROR(BY210/BY$7,"")</f>
        <v/>
      </c>
      <c r="CA210" s="350">
        <f>+'Отчет о фин.рез.'!K31</f>
        <v>0</v>
      </c>
      <c r="CB210" s="67" t="str">
        <f>IFERROR(CA210/CA$7,"")</f>
        <v/>
      </c>
      <c r="CC210" s="475" t="str">
        <f t="shared" si="446"/>
        <v/>
      </c>
      <c r="CD210" s="475" t="str">
        <f t="shared" si="447"/>
        <v/>
      </c>
      <c r="CE210" s="350"/>
      <c r="CF210" s="67" t="str">
        <f>IFERROR(CE210/CE$7,"")</f>
        <v/>
      </c>
      <c r="CG210" s="350">
        <v>0</v>
      </c>
      <c r="CH210" s="67" t="str">
        <f>IFERROR(CG210/CG$7,"")</f>
        <v/>
      </c>
      <c r="CI210" s="350">
        <f>+'Отчет о фин.рез.'!L31</f>
        <v>0</v>
      </c>
      <c r="CJ210" s="67" t="str">
        <f>IFERROR(CI210/CI$7,"")</f>
        <v/>
      </c>
      <c r="CK210" s="475" t="str">
        <f t="shared" si="448"/>
        <v/>
      </c>
      <c r="CL210" s="475" t="str">
        <f t="shared" si="449"/>
        <v/>
      </c>
      <c r="CM210" s="350"/>
      <c r="CN210" s="67" t="str">
        <f>IFERROR(CM210/CM$7,"")</f>
        <v/>
      </c>
      <c r="CO210" s="350">
        <v>0</v>
      </c>
      <c r="CP210" s="67" t="str">
        <f>IFERROR(CO210/CO$7,"")</f>
        <v/>
      </c>
      <c r="CQ210" s="350">
        <f>+'Отчет о фин.рез.'!M31</f>
        <v>0</v>
      </c>
      <c r="CR210" s="67" t="str">
        <f>IFERROR(CQ210/CQ$7,"")</f>
        <v/>
      </c>
      <c r="CS210" s="475" t="str">
        <f t="shared" si="450"/>
        <v/>
      </c>
      <c r="CT210" s="475" t="str">
        <f t="shared" si="451"/>
        <v/>
      </c>
      <c r="CU210" s="350">
        <f t="shared" si="426"/>
        <v>0</v>
      </c>
      <c r="CV210" s="67" t="str">
        <f t="shared" si="452"/>
        <v/>
      </c>
      <c r="CW210" s="350">
        <f t="shared" si="427"/>
        <v>0</v>
      </c>
      <c r="CX210" s="67">
        <f t="shared" si="453"/>
        <v>0</v>
      </c>
      <c r="CY210" s="350">
        <f t="shared" si="454"/>
        <v>0</v>
      </c>
      <c r="CZ210" s="67">
        <f t="shared" si="455"/>
        <v>0</v>
      </c>
      <c r="DA210" s="475" t="str">
        <f t="shared" si="456"/>
        <v/>
      </c>
      <c r="DB210" s="475" t="str">
        <f t="shared" si="457"/>
        <v/>
      </c>
    </row>
    <row r="211" spans="1:106" s="105" customFormat="1" ht="33" customHeight="1">
      <c r="B211" s="118" t="s">
        <v>30</v>
      </c>
      <c r="C211" s="362">
        <f>SUM(C212:C214)</f>
        <v>0</v>
      </c>
      <c r="D211" s="68" t="str">
        <f>IFERROR(C211/C$4,"")</f>
        <v/>
      </c>
      <c r="E211" s="362">
        <f>SUM(E212:E214)</f>
        <v>0</v>
      </c>
      <c r="F211" s="68" t="str">
        <f>IFERROR(E211/E$4,"")</f>
        <v/>
      </c>
      <c r="G211" s="362">
        <f>SUM(G212:G214)</f>
        <v>0</v>
      </c>
      <c r="H211" s="68" t="str">
        <f>IFERROR(G211/G$4,"")</f>
        <v/>
      </c>
      <c r="I211" s="493" t="str">
        <f t="shared" si="428"/>
        <v/>
      </c>
      <c r="J211" s="493" t="str">
        <f t="shared" si="429"/>
        <v/>
      </c>
      <c r="K211" s="362">
        <f>SUM(K212:K214)</f>
        <v>0</v>
      </c>
      <c r="L211" s="68" t="str">
        <f>IFERROR(K211/K$4,"")</f>
        <v/>
      </c>
      <c r="M211" s="362">
        <f>SUM(M212:M214)</f>
        <v>0</v>
      </c>
      <c r="N211" s="68" t="str">
        <f>IFERROR(M211/M$4,"")</f>
        <v/>
      </c>
      <c r="O211" s="362">
        <f>SUM(O212:O214)</f>
        <v>0</v>
      </c>
      <c r="P211" s="68" t="str">
        <f>IFERROR(O211/O$4,"")</f>
        <v/>
      </c>
      <c r="Q211" s="493" t="str">
        <f t="shared" si="430"/>
        <v/>
      </c>
      <c r="R211" s="493" t="str">
        <f t="shared" si="431"/>
        <v/>
      </c>
      <c r="S211" s="362">
        <f>SUM(S212:S214)</f>
        <v>0</v>
      </c>
      <c r="T211" s="68" t="str">
        <f>IFERROR(S211/S$4,"")</f>
        <v/>
      </c>
      <c r="U211" s="362">
        <f>SUM(U212:U214)</f>
        <v>0</v>
      </c>
      <c r="V211" s="68" t="str">
        <f>IFERROR(U211/U$4,"")</f>
        <v/>
      </c>
      <c r="W211" s="362">
        <f>SUM(W212:W214)</f>
        <v>1291.8282600000002</v>
      </c>
      <c r="X211" s="68">
        <f>IFERROR(W211/W$4,"")</f>
        <v>0.21784992327020697</v>
      </c>
      <c r="Y211" s="493" t="str">
        <f t="shared" si="432"/>
        <v/>
      </c>
      <c r="Z211" s="493" t="str">
        <f t="shared" si="433"/>
        <v/>
      </c>
      <c r="AA211" s="362">
        <f>SUM(AA212:AA214)</f>
        <v>0</v>
      </c>
      <c r="AB211" s="68" t="str">
        <f>IFERROR(AA211/AA$4,"")</f>
        <v/>
      </c>
      <c r="AC211" s="362">
        <f>SUM(AC212:AC214)</f>
        <v>2199.8348000000005</v>
      </c>
      <c r="AD211" s="68">
        <f>IFERROR(AC211/AC$4,"")</f>
        <v>0.16090261442497869</v>
      </c>
      <c r="AE211" s="362">
        <f>SUM(AE212:AE214)</f>
        <v>2587.3751600000014</v>
      </c>
      <c r="AF211" s="68">
        <f>IFERROR(AE211/AE$4,"")</f>
        <v>0.18867770906863468</v>
      </c>
      <c r="AG211" s="493">
        <f t="shared" si="434"/>
        <v>0.17616793770150418</v>
      </c>
      <c r="AH211" s="493" t="str">
        <f t="shared" si="435"/>
        <v/>
      </c>
      <c r="AI211" s="362">
        <f>SUM(AI212:AI214)</f>
        <v>0</v>
      </c>
      <c r="AJ211" s="68" t="str">
        <f>IFERROR(AI211/AI$4,"")</f>
        <v/>
      </c>
      <c r="AK211" s="362">
        <f>SUM(AK212:AK214)</f>
        <v>2193.8240999999998</v>
      </c>
      <c r="AL211" s="68">
        <f>IFERROR(AK211/AK$4,"")</f>
        <v>0.15701575293444028</v>
      </c>
      <c r="AM211" s="362">
        <f>SUM(AM212:AM214)</f>
        <v>2814.2452000000008</v>
      </c>
      <c r="AN211" s="68">
        <f>IFERROR(AM211/AM$4,"")</f>
        <v>0.17910765825366798</v>
      </c>
      <c r="AO211" s="493">
        <f t="shared" si="436"/>
        <v>0.28280348456378102</v>
      </c>
      <c r="AP211" s="493" t="str">
        <f t="shared" si="437"/>
        <v/>
      </c>
      <c r="AQ211" s="362">
        <f>SUM(AQ212:AQ214)</f>
        <v>0</v>
      </c>
      <c r="AR211" s="68" t="str">
        <f>IFERROR(AQ211/AQ$4,"")</f>
        <v/>
      </c>
      <c r="AS211" s="362">
        <f>SUM(AS212:AS214)</f>
        <v>2256.5599999999995</v>
      </c>
      <c r="AT211" s="68">
        <f>IFERROR(AS211/AS$4,"")</f>
        <v>0.14963925729442967</v>
      </c>
      <c r="AU211" s="362">
        <f>SUM(AU212:AU214)</f>
        <v>2450.7160300000005</v>
      </c>
      <c r="AV211" s="68">
        <f>IFERROR(AU211/AU$4,"")</f>
        <v>0.17193963931709816</v>
      </c>
      <c r="AW211" s="493">
        <f t="shared" si="438"/>
        <v>8.6040712411813214E-2</v>
      </c>
      <c r="AX211" s="493" t="str">
        <f t="shared" si="439"/>
        <v/>
      </c>
      <c r="AY211" s="362">
        <f>SUM(AY212:AY214)</f>
        <v>0</v>
      </c>
      <c r="AZ211" s="68" t="str">
        <f>IFERROR(AY211/AY$4,"")</f>
        <v/>
      </c>
      <c r="BA211" s="362">
        <f>SUM(BA212:BA214)</f>
        <v>2779.2060743297516</v>
      </c>
      <c r="BB211" s="68">
        <f>IFERROR(BA211/BA$4,"")</f>
        <v>0.17738669694142342</v>
      </c>
      <c r="BC211" s="362">
        <f>SUM(BC212:BC214)</f>
        <v>0</v>
      </c>
      <c r="BD211" s="68" t="str">
        <f>IFERROR(BC211/BC$4,"")</f>
        <v/>
      </c>
      <c r="BE211" s="493">
        <f t="shared" si="440"/>
        <v>-1</v>
      </c>
      <c r="BF211" s="493" t="str">
        <f t="shared" si="441"/>
        <v/>
      </c>
      <c r="BG211" s="362">
        <f>SUM(BG212:BG214)</f>
        <v>0</v>
      </c>
      <c r="BH211" s="68" t="str">
        <f>IFERROR(BG211/BG$4,"")</f>
        <v/>
      </c>
      <c r="BI211" s="362">
        <f>SUM(BI212:BI214)</f>
        <v>2770.2657003835152</v>
      </c>
      <c r="BJ211" s="68">
        <f>IFERROR(BI211/BI$4,"")</f>
        <v>0.17681606512739845</v>
      </c>
      <c r="BK211" s="362">
        <f>SUM(BK212:BK214)</f>
        <v>0</v>
      </c>
      <c r="BL211" s="68" t="str">
        <f>IFERROR(BK211/BK$4,"")</f>
        <v/>
      </c>
      <c r="BM211" s="493">
        <f t="shared" si="442"/>
        <v>-1</v>
      </c>
      <c r="BN211" s="493" t="str">
        <f t="shared" si="443"/>
        <v/>
      </c>
      <c r="BO211" s="362">
        <f>SUM(BO212:BO214)</f>
        <v>0</v>
      </c>
      <c r="BP211" s="68" t="str">
        <f>IFERROR(BO211/BO$4,"")</f>
        <v/>
      </c>
      <c r="BQ211" s="362">
        <f>SUM(BQ212:BQ214)</f>
        <v>2097.6810927821066</v>
      </c>
      <c r="BR211" s="68">
        <f>IFERROR(BQ211/BQ$4,"")</f>
        <v>0.14486747878329465</v>
      </c>
      <c r="BS211" s="362">
        <f>SUM(BS212:BS214)</f>
        <v>0</v>
      </c>
      <c r="BT211" s="68" t="str">
        <f>IFERROR(BS211/BS$4,"")</f>
        <v/>
      </c>
      <c r="BU211" s="493">
        <f t="shared" si="444"/>
        <v>-1</v>
      </c>
      <c r="BV211" s="493" t="str">
        <f t="shared" si="445"/>
        <v/>
      </c>
      <c r="BW211" s="362">
        <f>SUM(BW212:BW214)</f>
        <v>0</v>
      </c>
      <c r="BX211" s="68" t="str">
        <f>IFERROR(BW211/BW$4,"")</f>
        <v/>
      </c>
      <c r="BY211" s="362">
        <f>SUM(BY212:BY214)</f>
        <v>3966.7512153618445</v>
      </c>
      <c r="BZ211" s="68">
        <f>IFERROR(BY211/BY$4,"")</f>
        <v>0.28164886167732067</v>
      </c>
      <c r="CA211" s="362">
        <f>SUM(CA212:CA214)</f>
        <v>0</v>
      </c>
      <c r="CB211" s="68" t="str">
        <f>IFERROR(CA211/CA$4,"")</f>
        <v/>
      </c>
      <c r="CC211" s="493">
        <f t="shared" si="446"/>
        <v>-1</v>
      </c>
      <c r="CD211" s="493" t="str">
        <f t="shared" si="447"/>
        <v/>
      </c>
      <c r="CE211" s="362">
        <f>SUM(CE212:CE214)</f>
        <v>0</v>
      </c>
      <c r="CF211" s="68" t="str">
        <f>IFERROR(CE211/CE$4,"")</f>
        <v/>
      </c>
      <c r="CG211" s="362">
        <f>SUM(CG212:CG214)</f>
        <v>4071.1422012428152</v>
      </c>
      <c r="CH211" s="68">
        <f>IFERROR(CG211/CG$4,"")</f>
        <v>0.27997629887327591</v>
      </c>
      <c r="CI211" s="362">
        <f>SUM(CI212:CI214)</f>
        <v>0</v>
      </c>
      <c r="CJ211" s="68" t="str">
        <f>IFERROR(CI211/CI$4,"")</f>
        <v/>
      </c>
      <c r="CK211" s="493">
        <f t="shared" si="448"/>
        <v>-1</v>
      </c>
      <c r="CL211" s="493" t="str">
        <f t="shared" si="449"/>
        <v/>
      </c>
      <c r="CM211" s="362">
        <f>SUM(CM212:CM214)</f>
        <v>0</v>
      </c>
      <c r="CN211" s="68" t="str">
        <f>IFERROR(CM211/CM$4,"")</f>
        <v/>
      </c>
      <c r="CO211" s="362">
        <f>SUM(CO212:CO214)</f>
        <v>4288.0141467054227</v>
      </c>
      <c r="CP211" s="68">
        <f>IFERROR(CO211/CO$4,"")</f>
        <v>0.27761179841705291</v>
      </c>
      <c r="CQ211" s="362">
        <f>SUM(CQ212:CQ214)</f>
        <v>0</v>
      </c>
      <c r="CR211" s="68" t="str">
        <f>IFERROR(CQ211/CQ$4,"")</f>
        <v/>
      </c>
      <c r="CS211" s="493">
        <f t="shared" si="450"/>
        <v>-1</v>
      </c>
      <c r="CT211" s="493" t="str">
        <f t="shared" si="451"/>
        <v/>
      </c>
      <c r="CU211" s="362">
        <f t="shared" si="426"/>
        <v>0</v>
      </c>
      <c r="CV211" s="68" t="str">
        <f t="shared" si="452"/>
        <v/>
      </c>
      <c r="CW211" s="362">
        <f t="shared" si="427"/>
        <v>26623.279330805457</v>
      </c>
      <c r="CX211" s="68">
        <f t="shared" si="453"/>
        <v>0.20076377536864656</v>
      </c>
      <c r="CY211" s="362">
        <f t="shared" si="454"/>
        <v>9144.1646500000024</v>
      </c>
      <c r="CZ211" s="68">
        <f t="shared" si="455"/>
        <v>0.18432455991237567</v>
      </c>
      <c r="DA211" s="493">
        <f t="shared" si="456"/>
        <v>-0.656534999449921</v>
      </c>
      <c r="DB211" s="493" t="str">
        <f t="shared" si="457"/>
        <v/>
      </c>
    </row>
    <row r="212" spans="1:106" s="103" customFormat="1" ht="13.15" customHeight="1">
      <c r="B212" s="107" t="str">
        <f>+B5</f>
        <v>зал</v>
      </c>
      <c r="C212" s="344">
        <f>+C42-C51</f>
        <v>0</v>
      </c>
      <c r="D212" s="38" t="str">
        <f>IF(IFERROR(C212/C$4,"")=0,"",IFERROR(C212/C$4,""))</f>
        <v/>
      </c>
      <c r="E212" s="344">
        <f>+E42-E51</f>
        <v>0</v>
      </c>
      <c r="F212" s="38" t="str">
        <f>IF(IFERROR(E212/E$4,"")=0,"",IFERROR(E212/E$4,""))</f>
        <v/>
      </c>
      <c r="G212" s="344">
        <f>+G42-G51</f>
        <v>0</v>
      </c>
      <c r="H212" s="38" t="str">
        <f>IF(IFERROR(G212/G$4,"")=0,"",IFERROR(G212/G$4,""))</f>
        <v/>
      </c>
      <c r="I212" s="470" t="str">
        <f t="shared" si="428"/>
        <v/>
      </c>
      <c r="J212" s="470" t="str">
        <f t="shared" si="429"/>
        <v/>
      </c>
      <c r="K212" s="344">
        <f>+K42-K51</f>
        <v>0</v>
      </c>
      <c r="L212" s="38" t="str">
        <f>IF(IFERROR(K212/K$4,"")=0,"",IFERROR(K212/K$4,""))</f>
        <v/>
      </c>
      <c r="M212" s="344">
        <f>+M42-M51</f>
        <v>0</v>
      </c>
      <c r="N212" s="38" t="str">
        <f>IF(IFERROR(M212/M$4,"")=0,"",IFERROR(M212/M$4,""))</f>
        <v/>
      </c>
      <c r="O212" s="344">
        <f>+O42-O51</f>
        <v>0</v>
      </c>
      <c r="P212" s="38" t="str">
        <f>IF(IFERROR(O212/O$4,"")=0,"",IFERROR(O212/O$4,""))</f>
        <v/>
      </c>
      <c r="Q212" s="470" t="str">
        <f t="shared" si="430"/>
        <v/>
      </c>
      <c r="R212" s="470" t="str">
        <f t="shared" si="431"/>
        <v/>
      </c>
      <c r="S212" s="344">
        <f>+S42-S51</f>
        <v>0</v>
      </c>
      <c r="T212" s="38" t="str">
        <f>IF(IFERROR(S212/S$4,"")=0,"",IFERROR(S212/S$4,""))</f>
        <v/>
      </c>
      <c r="U212" s="344">
        <f>+U42-U51</f>
        <v>0</v>
      </c>
      <c r="V212" s="38" t="str">
        <f>IF(IFERROR(U212/U$4,"")=0,"",IFERROR(U212/U$4,""))</f>
        <v/>
      </c>
      <c r="W212" s="344">
        <f>+W42-W51</f>
        <v>1291.8282600000002</v>
      </c>
      <c r="X212" s="38">
        <f>IF(IFERROR(W212/W$4,"")=0,"",IFERROR(W212/W$4,""))</f>
        <v>0.21784992327020697</v>
      </c>
      <c r="Y212" s="470" t="str">
        <f t="shared" si="432"/>
        <v/>
      </c>
      <c r="Z212" s="470" t="str">
        <f t="shared" si="433"/>
        <v/>
      </c>
      <c r="AA212" s="344">
        <f>+AA42-AA51</f>
        <v>0</v>
      </c>
      <c r="AB212" s="38" t="str">
        <f>IF(IFERROR(AA212/AA$4,"")=0,"",IFERROR(AA212/AA$4,""))</f>
        <v/>
      </c>
      <c r="AC212" s="344">
        <f>+AC42-AC51</f>
        <v>2199.8348000000005</v>
      </c>
      <c r="AD212" s="38">
        <f>IF(IFERROR(AC212/AC$4,"")=0,"",IFERROR(AC212/AC$4,""))</f>
        <v>0.16090261442497869</v>
      </c>
      <c r="AE212" s="344">
        <f>+AE42-AE51</f>
        <v>2587.3751600000014</v>
      </c>
      <c r="AF212" s="38">
        <f>IF(IFERROR(AE212/AE$4,"")=0,"",IFERROR(AE212/AE$4,""))</f>
        <v>0.18867770906863468</v>
      </c>
      <c r="AG212" s="470">
        <f t="shared" si="434"/>
        <v>0.17616793770150418</v>
      </c>
      <c r="AH212" s="470" t="str">
        <f t="shared" si="435"/>
        <v/>
      </c>
      <c r="AI212" s="344">
        <f>+AI42-AI51</f>
        <v>0</v>
      </c>
      <c r="AJ212" s="38" t="str">
        <f>IF(IFERROR(AI212/AI$4,"")=0,"",IFERROR(AI212/AI$4,""))</f>
        <v/>
      </c>
      <c r="AK212" s="344">
        <f>+AK42-AK51</f>
        <v>1968.8240999999998</v>
      </c>
      <c r="AL212" s="38">
        <f>IF(IFERROR(AK212/AK$4,"")=0,"",IFERROR(AK212/AK$4,""))</f>
        <v>0.14091211709132551</v>
      </c>
      <c r="AM212" s="344">
        <f>+AM42-AM51</f>
        <v>2844.3499800000009</v>
      </c>
      <c r="AN212" s="38">
        <f>IF(IFERROR(AM212/AM$4,"")=0,"",IFERROR(AM212/AM$4,""))</f>
        <v>0.18102362373103356</v>
      </c>
      <c r="AO212" s="470">
        <f t="shared" si="436"/>
        <v>0.44469482062922805</v>
      </c>
      <c r="AP212" s="470" t="str">
        <f t="shared" si="437"/>
        <v/>
      </c>
      <c r="AQ212" s="344">
        <f>+AQ42-AQ51</f>
        <v>0</v>
      </c>
      <c r="AR212" s="38" t="str">
        <f>IF(IFERROR(AQ212/AQ$4,"")=0,"",IFERROR(AQ212/AQ$4,""))</f>
        <v/>
      </c>
      <c r="AS212" s="344">
        <f>+AS42-AS51</f>
        <v>2208.5599999999995</v>
      </c>
      <c r="AT212" s="38">
        <f>IF(IFERROR(AS212/AS$4,"")=0,"",IFERROR(AS212/AS$4,""))</f>
        <v>0.14645623342175063</v>
      </c>
      <c r="AU212" s="344">
        <f>+AU42-AU51</f>
        <v>2462.8675200000007</v>
      </c>
      <c r="AV212" s="38">
        <f>IF(IFERROR(AU212/AU$4,"")=0,"",IFERROR(AU212/AU$4,""))</f>
        <v>0.17279217497695809</v>
      </c>
      <c r="AW212" s="470">
        <f t="shared" si="438"/>
        <v>0.11514630347375721</v>
      </c>
      <c r="AX212" s="470" t="str">
        <f t="shared" si="439"/>
        <v/>
      </c>
      <c r="AY212" s="344">
        <f>+AY42-AY51</f>
        <v>0</v>
      </c>
      <c r="AZ212" s="38" t="str">
        <f>IF(IFERROR(AY212/AY$4,"")=0,"",IFERROR(AY212/AY$4,""))</f>
        <v/>
      </c>
      <c r="BA212" s="344">
        <f>+BA42-BA51</f>
        <v>2675.1549999999988</v>
      </c>
      <c r="BB212" s="38">
        <f>IF(IFERROR(BA212/BA$4,"")=0,"",IFERROR(BA212/BA$4,""))</f>
        <v>0.17074549226104987</v>
      </c>
      <c r="BC212" s="344">
        <f>+BC42-BC51</f>
        <v>0</v>
      </c>
      <c r="BD212" s="38" t="str">
        <f>IF(IFERROR(BC212/BC$4,"")=0,"",IFERROR(BC212/BC$4,""))</f>
        <v/>
      </c>
      <c r="BE212" s="470">
        <f t="shared" si="440"/>
        <v>-1</v>
      </c>
      <c r="BF212" s="470" t="str">
        <f t="shared" si="441"/>
        <v/>
      </c>
      <c r="BG212" s="344">
        <f>+BG42-BG51</f>
        <v>0</v>
      </c>
      <c r="BH212" s="38" t="str">
        <f>IF(IFERROR(BG212/BG$4,"")=0,"",IFERROR(BG212/BG$4,""))</f>
        <v/>
      </c>
      <c r="BI212" s="344">
        <f>+BI42-BI51</f>
        <v>2670.1549999999988</v>
      </c>
      <c r="BJ212" s="38">
        <f>IF(IFERROR(BI212/BI$4,"")=0,"",IFERROR(BI212/BI$4,""))</f>
        <v>0.17042636029998398</v>
      </c>
      <c r="BK212" s="344">
        <f>+BK42-BK51</f>
        <v>0</v>
      </c>
      <c r="BL212" s="38" t="str">
        <f>IF(IFERROR(BK212/BK$4,"")=0,"",IFERROR(BK212/BK$4,""))</f>
        <v/>
      </c>
      <c r="BM212" s="470">
        <f t="shared" si="442"/>
        <v>-1</v>
      </c>
      <c r="BN212" s="470" t="str">
        <f t="shared" si="443"/>
        <v/>
      </c>
      <c r="BO212" s="344">
        <f>+BO42-BO51</f>
        <v>0</v>
      </c>
      <c r="BP212" s="38" t="str">
        <f>IF(IFERROR(BO212/BO$4,"")=0,"",IFERROR(BO212/BO$4,""))</f>
        <v/>
      </c>
      <c r="BQ212" s="344">
        <f>+BQ42-BQ51</f>
        <v>1982.9599999999973</v>
      </c>
      <c r="BR212" s="38">
        <f>IF(IFERROR(BQ212/BQ$4,"")=0,"",IFERROR(BQ212/BQ$4,""))</f>
        <v>0.13694475138121529</v>
      </c>
      <c r="BS212" s="344">
        <f>+BS42-BS51</f>
        <v>0</v>
      </c>
      <c r="BT212" s="38" t="str">
        <f>IF(IFERROR(BS212/BS$4,"")=0,"",IFERROR(BS212/BS$4,""))</f>
        <v/>
      </c>
      <c r="BU212" s="470">
        <f t="shared" si="444"/>
        <v>-1</v>
      </c>
      <c r="BV212" s="470" t="str">
        <f t="shared" si="445"/>
        <v/>
      </c>
      <c r="BW212" s="344">
        <f>+BW42-BW51</f>
        <v>0</v>
      </c>
      <c r="BX212" s="38" t="str">
        <f>IF(IFERROR(BW212/BW$4,"")=0,"",IFERROR(BW212/BW$4,""))</f>
        <v/>
      </c>
      <c r="BY212" s="344">
        <f>+BY42-BY51</f>
        <v>1680.3877379051019</v>
      </c>
      <c r="BZ212" s="38">
        <f>IF(IFERROR(BY212/BY$4,"")=0,"",IFERROR(BY212/BY$4,""))</f>
        <v>0.11931156451774795</v>
      </c>
      <c r="CA212" s="344">
        <f>+CA42-CA51</f>
        <v>0</v>
      </c>
      <c r="CB212" s="38" t="str">
        <f>IF(IFERROR(CA212/CA$4,"")=0,"",IFERROR(CA212/CA$4,""))</f>
        <v/>
      </c>
      <c r="CC212" s="470">
        <f t="shared" si="446"/>
        <v>-1</v>
      </c>
      <c r="CD212" s="470" t="str">
        <f t="shared" si="447"/>
        <v/>
      </c>
      <c r="CE212" s="344">
        <f>+CE42-CE51</f>
        <v>0</v>
      </c>
      <c r="CF212" s="38" t="str">
        <f>IF(IFERROR(CE212/CE$4,"")=0,"",IFERROR(CE212/CE$4,""))</f>
        <v/>
      </c>
      <c r="CG212" s="344">
        <f>+CG42-CG51</f>
        <v>2012.2395715146322</v>
      </c>
      <c r="CH212" s="38">
        <f>IF(IFERROR(CG212/CG$4,"")=0,"",IFERROR(CG212/CG$4,""))</f>
        <v>0.13838361811754649</v>
      </c>
      <c r="CI212" s="344">
        <f>+CI42-CI51</f>
        <v>0</v>
      </c>
      <c r="CJ212" s="38" t="str">
        <f>IF(IFERROR(CI212/CI$4,"")=0,"",IFERROR(CI212/CI$4,""))</f>
        <v/>
      </c>
      <c r="CK212" s="470">
        <f t="shared" si="448"/>
        <v>-1</v>
      </c>
      <c r="CL212" s="470" t="str">
        <f t="shared" si="449"/>
        <v/>
      </c>
      <c r="CM212" s="344">
        <f>+CM42-CM51</f>
        <v>0</v>
      </c>
      <c r="CN212" s="38" t="str">
        <f>IF(IFERROR(CM212/CM$4,"")=0,"",IFERROR(CM212/CM$4,""))</f>
        <v/>
      </c>
      <c r="CO212" s="344">
        <f>+CO42-CO51</f>
        <v>1791.4218566616</v>
      </c>
      <c r="CP212" s="38">
        <f>IF(IFERROR(CO212/CO$4,"")=0,"",IFERROR(CO212/CO$4,""))</f>
        <v>0.11597905844912959</v>
      </c>
      <c r="CQ212" s="344">
        <f>+CQ42-CQ51</f>
        <v>0</v>
      </c>
      <c r="CR212" s="38" t="str">
        <f>IF(IFERROR(CQ212/CQ$4,"")=0,"",IFERROR(CQ212/CQ$4,""))</f>
        <v/>
      </c>
      <c r="CS212" s="470">
        <f t="shared" si="450"/>
        <v>-1</v>
      </c>
      <c r="CT212" s="470" t="str">
        <f t="shared" si="451"/>
        <v/>
      </c>
      <c r="CU212" s="344">
        <f t="shared" si="426"/>
        <v>0</v>
      </c>
      <c r="CV212" s="38" t="str">
        <f t="shared" si="452"/>
        <v/>
      </c>
      <c r="CW212" s="344">
        <f t="shared" si="427"/>
        <v>19189.538066081328</v>
      </c>
      <c r="CX212" s="38">
        <f t="shared" si="453"/>
        <v>0.14470659537681713</v>
      </c>
      <c r="CY212" s="344">
        <f t="shared" si="454"/>
        <v>9186.4209200000041</v>
      </c>
      <c r="CZ212" s="38">
        <f t="shared" si="455"/>
        <v>0.1851763455778152</v>
      </c>
      <c r="DA212" s="470">
        <f t="shared" si="456"/>
        <v>-0.52127972604835338</v>
      </c>
      <c r="DB212" s="470" t="str">
        <f t="shared" si="457"/>
        <v/>
      </c>
    </row>
    <row r="213" spans="1:106" s="103" customFormat="1" ht="13.15" customHeight="1">
      <c r="B213" s="107" t="str">
        <f>+B6</f>
        <v>доставка</v>
      </c>
      <c r="C213" s="344">
        <f>+C43-C208</f>
        <v>0</v>
      </c>
      <c r="D213" s="38" t="str">
        <f>IF(IFERROR(C213/C$4,"")=0,"",IFERROR(C213/C$4,""))</f>
        <v/>
      </c>
      <c r="E213" s="344">
        <f>+E43-E208</f>
        <v>0</v>
      </c>
      <c r="F213" s="38" t="str">
        <f>IF(IFERROR(E213/E$4,"")=0,"",IFERROR(E213/E$4,""))</f>
        <v/>
      </c>
      <c r="G213" s="344">
        <f>+G43-G208</f>
        <v>0</v>
      </c>
      <c r="H213" s="38" t="str">
        <f>IF(IFERROR(G213/G$4,"")=0,"",IFERROR(G213/G$4,""))</f>
        <v/>
      </c>
      <c r="I213" s="470" t="str">
        <f t="shared" si="428"/>
        <v/>
      </c>
      <c r="J213" s="470" t="str">
        <f t="shared" si="429"/>
        <v/>
      </c>
      <c r="K213" s="344">
        <f>+K43-K208</f>
        <v>0</v>
      </c>
      <c r="L213" s="38" t="str">
        <f>IF(IFERROR(K213/K$4,"")=0,"",IFERROR(K213/K$4,""))</f>
        <v/>
      </c>
      <c r="M213" s="344">
        <f>+M43-M208</f>
        <v>0</v>
      </c>
      <c r="N213" s="38" t="str">
        <f>IF(IFERROR(M213/M$4,"")=0,"",IFERROR(M213/M$4,""))</f>
        <v/>
      </c>
      <c r="O213" s="344">
        <f>+O43-O208</f>
        <v>0</v>
      </c>
      <c r="P213" s="38" t="str">
        <f>IF(IFERROR(O213/O$4,"")=0,"",IFERROR(O213/O$4,""))</f>
        <v/>
      </c>
      <c r="Q213" s="470" t="str">
        <f t="shared" si="430"/>
        <v/>
      </c>
      <c r="R213" s="470" t="str">
        <f t="shared" si="431"/>
        <v/>
      </c>
      <c r="S213" s="344">
        <f>+S43-S208</f>
        <v>0</v>
      </c>
      <c r="T213" s="38" t="str">
        <f>IF(IFERROR(S213/S$4,"")=0,"",IFERROR(S213/S$4,""))</f>
        <v/>
      </c>
      <c r="U213" s="344">
        <f>+U43-U208</f>
        <v>0</v>
      </c>
      <c r="V213" s="38" t="str">
        <f>IF(IFERROR(U213/U$4,"")=0,"",IFERROR(U213/U$4,""))</f>
        <v/>
      </c>
      <c r="W213" s="344">
        <f>+W43-W208</f>
        <v>0</v>
      </c>
      <c r="X213" s="38" t="str">
        <f>IF(IFERROR(W213/W$4,"")=0,"",IFERROR(W213/W$4,""))</f>
        <v/>
      </c>
      <c r="Y213" s="470" t="str">
        <f t="shared" si="432"/>
        <v/>
      </c>
      <c r="Z213" s="470" t="str">
        <f t="shared" si="433"/>
        <v/>
      </c>
      <c r="AA213" s="344">
        <f>+AA43-AA208</f>
        <v>0</v>
      </c>
      <c r="AB213" s="38" t="str">
        <f>IF(IFERROR(AA213/AA$4,"")=0,"",IFERROR(AA213/AA$4,""))</f>
        <v/>
      </c>
      <c r="AC213" s="344">
        <f>+AC43-AC208</f>
        <v>0</v>
      </c>
      <c r="AD213" s="38" t="str">
        <f>IF(IFERROR(AC213/AC$4,"")=0,"",IFERROR(AC213/AC$4,""))</f>
        <v/>
      </c>
      <c r="AE213" s="344">
        <f>+AE43-AE208</f>
        <v>0</v>
      </c>
      <c r="AF213" s="38" t="str">
        <f>IF(IFERROR(AE213/AE$4,"")=0,"",IFERROR(AE213/AE$4,""))</f>
        <v/>
      </c>
      <c r="AG213" s="470" t="str">
        <f t="shared" si="434"/>
        <v/>
      </c>
      <c r="AH213" s="470" t="str">
        <f t="shared" si="435"/>
        <v/>
      </c>
      <c r="AI213" s="344">
        <f>+AI43-AI208</f>
        <v>0</v>
      </c>
      <c r="AJ213" s="38" t="str">
        <f>IF(IFERROR(AI213/AI$4,"")=0,"",IFERROR(AI213/AI$4,""))</f>
        <v/>
      </c>
      <c r="AK213" s="344">
        <f>+AK43-AK208</f>
        <v>225</v>
      </c>
      <c r="AL213" s="38">
        <f>IF(IFERROR(AK213/AK$4,"")=0,"",IFERROR(AK213/AK$4,""))</f>
        <v>1.6103635843114802E-2</v>
      </c>
      <c r="AM213" s="344">
        <f>+AM43-AM208</f>
        <v>-30.104779999999998</v>
      </c>
      <c r="AN213" s="38">
        <f>IF(IFERROR(AM213/AM$4,"")=0,"",IFERROR(AM213/AM$4,""))</f>
        <v>-1.9159654773656029E-3</v>
      </c>
      <c r="AO213" s="470">
        <f t="shared" si="436"/>
        <v>-1.1337990222222223</v>
      </c>
      <c r="AP213" s="470" t="str">
        <f t="shared" si="437"/>
        <v/>
      </c>
      <c r="AQ213" s="344">
        <f>+AQ43-AQ208</f>
        <v>0</v>
      </c>
      <c r="AR213" s="38" t="str">
        <f>IF(IFERROR(AQ213/AQ$4,"")=0,"",IFERROR(AQ213/AQ$4,""))</f>
        <v/>
      </c>
      <c r="AS213" s="344">
        <f>+AS43-AS208</f>
        <v>47.999999999999993</v>
      </c>
      <c r="AT213" s="38">
        <f>IF(IFERROR(AS213/AS$4,"")=0,"",IFERROR(AS213/AS$4,""))</f>
        <v>3.1830238726790446E-3</v>
      </c>
      <c r="AU213" s="344">
        <f>+AU43-AU208</f>
        <v>-12.151489999999999</v>
      </c>
      <c r="AV213" s="38">
        <f>IF(IFERROR(AU213/AU$4,"")=0,"",IFERROR(AU213/AU$4,""))</f>
        <v>-8.5253565985991635E-4</v>
      </c>
      <c r="AW213" s="470">
        <f t="shared" si="438"/>
        <v>-1.2531560416666667</v>
      </c>
      <c r="AX213" s="470" t="str">
        <f t="shared" si="439"/>
        <v/>
      </c>
      <c r="AY213" s="344">
        <f>+AY43-AY208</f>
        <v>0</v>
      </c>
      <c r="AZ213" s="38" t="str">
        <f>IF(IFERROR(AY213/AY$4,"")=0,"",IFERROR(AY213/AY$4,""))</f>
        <v/>
      </c>
      <c r="BA213" s="344">
        <f>+BA43-BA208</f>
        <v>104.05107432975251</v>
      </c>
      <c r="BB213" s="38">
        <f>IF(IFERROR(BA213/BA$4,"")=0,"",IFERROR(BA213/BA$4,""))</f>
        <v>6.6412046803735443E-3</v>
      </c>
      <c r="BC213" s="344">
        <f>+BC43-BC208</f>
        <v>0</v>
      </c>
      <c r="BD213" s="38" t="str">
        <f>IF(IFERROR(BC213/BC$4,"")=0,"",IFERROR(BC213/BC$4,""))</f>
        <v/>
      </c>
      <c r="BE213" s="470">
        <f t="shared" si="440"/>
        <v>-1</v>
      </c>
      <c r="BF213" s="470" t="str">
        <f t="shared" si="441"/>
        <v/>
      </c>
      <c r="BG213" s="344">
        <f>+BG43-BG208</f>
        <v>0</v>
      </c>
      <c r="BH213" s="38" t="str">
        <f>IF(IFERROR(BG213/BG$4,"")=0,"",IFERROR(BG213/BG$4,""))</f>
        <v/>
      </c>
      <c r="BI213" s="344">
        <f>+BI43-BI208</f>
        <v>100.11070038351639</v>
      </c>
      <c r="BJ213" s="38">
        <f>IF(IFERROR(BI213/BI$4,"")=0,"",IFERROR(BI213/BI$4,""))</f>
        <v>6.3897048274144811E-3</v>
      </c>
      <c r="BK213" s="344">
        <f>+BK43-BK208</f>
        <v>0</v>
      </c>
      <c r="BL213" s="38" t="str">
        <f>IF(IFERROR(BK213/BK$4,"")=0,"",IFERROR(BK213/BK$4,""))</f>
        <v/>
      </c>
      <c r="BM213" s="470">
        <f t="shared" si="442"/>
        <v>-1</v>
      </c>
      <c r="BN213" s="470" t="str">
        <f t="shared" si="443"/>
        <v/>
      </c>
      <c r="BO213" s="344">
        <f>+BO43-BO208</f>
        <v>0</v>
      </c>
      <c r="BP213" s="38" t="str">
        <f>IF(IFERROR(BO213/BO$4,"")=0,"",IFERROR(BO213/BO$4,""))</f>
        <v/>
      </c>
      <c r="BQ213" s="344">
        <f>+BQ43-BQ208</f>
        <v>114.7210927821091</v>
      </c>
      <c r="BR213" s="38">
        <f>IF(IFERROR(BQ213/BQ$4,"")=0,"",IFERROR(BQ213/BQ$4,""))</f>
        <v>7.9227274020793569E-3</v>
      </c>
      <c r="BS213" s="344">
        <f>+BS43-BS208</f>
        <v>0</v>
      </c>
      <c r="BT213" s="38" t="str">
        <f>IF(IFERROR(BS213/BS$4,"")=0,"",IFERROR(BS213/BS$4,""))</f>
        <v/>
      </c>
      <c r="BU213" s="470">
        <f t="shared" si="444"/>
        <v>-1</v>
      </c>
      <c r="BV213" s="470" t="str">
        <f t="shared" si="445"/>
        <v/>
      </c>
      <c r="BW213" s="344">
        <f>+BW43-BW208</f>
        <v>0</v>
      </c>
      <c r="BX213" s="38" t="str">
        <f>IF(IFERROR(BW213/BW$4,"")=0,"",IFERROR(BW213/BW$4,""))</f>
        <v/>
      </c>
      <c r="BY213" s="344">
        <f>+BY43-BY208</f>
        <v>2286.3634774567427</v>
      </c>
      <c r="BZ213" s="38">
        <f>IF(IFERROR(BY213/BY$4,"")=0,"",IFERROR(BY213/BY$4,""))</f>
        <v>0.16233729715957274</v>
      </c>
      <c r="CA213" s="344">
        <f>+CA43-CA208</f>
        <v>0</v>
      </c>
      <c r="CB213" s="38" t="str">
        <f>IF(IFERROR(CA213/CA$4,"")=0,"",IFERROR(CA213/CA$4,""))</f>
        <v/>
      </c>
      <c r="CC213" s="470">
        <f t="shared" si="446"/>
        <v>-1</v>
      </c>
      <c r="CD213" s="470" t="str">
        <f t="shared" si="447"/>
        <v/>
      </c>
      <c r="CE213" s="344">
        <f>+CE43-CE208</f>
        <v>0</v>
      </c>
      <c r="CF213" s="38" t="str">
        <f>IF(IFERROR(CE213/CE$4,"")=0,"",IFERROR(CE213/CE$4,""))</f>
        <v/>
      </c>
      <c r="CG213" s="344">
        <f>+CG43-CG208</f>
        <v>2058.902629728183</v>
      </c>
      <c r="CH213" s="38">
        <f>IF(IFERROR(CG213/CG$4,"")=0,"",IFERROR(CG213/CG$4,""))</f>
        <v>0.14159268075572942</v>
      </c>
      <c r="CI213" s="344">
        <f>+CI43-CI208</f>
        <v>0</v>
      </c>
      <c r="CJ213" s="38" t="str">
        <f>IF(IFERROR(CI213/CI$4,"")=0,"",IFERROR(CI213/CI$4,""))</f>
        <v/>
      </c>
      <c r="CK213" s="470">
        <f t="shared" si="448"/>
        <v>-1</v>
      </c>
      <c r="CL213" s="470" t="str">
        <f t="shared" si="449"/>
        <v/>
      </c>
      <c r="CM213" s="344">
        <f>+CM43-CM208</f>
        <v>0</v>
      </c>
      <c r="CN213" s="38" t="str">
        <f>IF(IFERROR(CM213/CM$4,"")=0,"",IFERROR(CM213/CM$4,""))</f>
        <v/>
      </c>
      <c r="CO213" s="344">
        <f>+CO43-CO208</f>
        <v>2496.5922900438227</v>
      </c>
      <c r="CP213" s="38">
        <f>IF(IFERROR(CO213/CO$4,"")=0,"",IFERROR(CO213/CO$4,""))</f>
        <v>0.16163273996792332</v>
      </c>
      <c r="CQ213" s="344">
        <f>+CQ43-CQ208</f>
        <v>0</v>
      </c>
      <c r="CR213" s="38" t="str">
        <f>IF(IFERROR(CQ213/CQ$4,"")=0,"",IFERROR(CQ213/CQ$4,""))</f>
        <v/>
      </c>
      <c r="CS213" s="470">
        <f t="shared" si="450"/>
        <v>-1</v>
      </c>
      <c r="CT213" s="470" t="str">
        <f t="shared" si="451"/>
        <v/>
      </c>
      <c r="CU213" s="344">
        <f t="shared" si="426"/>
        <v>0</v>
      </c>
      <c r="CV213" s="38" t="str">
        <f t="shared" si="452"/>
        <v/>
      </c>
      <c r="CW213" s="344">
        <f t="shared" si="427"/>
        <v>7433.7412647241263</v>
      </c>
      <c r="CX213" s="38">
        <f t="shared" si="453"/>
        <v>5.6057179991829409E-2</v>
      </c>
      <c r="CY213" s="344">
        <f t="shared" si="454"/>
        <v>-42.256270000000001</v>
      </c>
      <c r="CZ213" s="38">
        <f t="shared" si="455"/>
        <v>-8.5178566543949114E-4</v>
      </c>
      <c r="DA213" s="470">
        <f t="shared" si="456"/>
        <v>-1.0056843880483872</v>
      </c>
      <c r="DB213" s="470" t="str">
        <f t="shared" si="457"/>
        <v/>
      </c>
    </row>
    <row r="214" spans="1:106" s="103" customFormat="1" ht="13.15" customHeight="1">
      <c r="B214" s="107" t="str">
        <f>+B7</f>
        <v>Доп подразделение (назвать по-своему или пустое)</v>
      </c>
      <c r="C214" s="344">
        <f>C44-C210</f>
        <v>0</v>
      </c>
      <c r="D214" s="38" t="str">
        <f>IF(IFERROR(C214/C$4,"")=0,"",IFERROR(C214/C$4,""))</f>
        <v/>
      </c>
      <c r="E214" s="344">
        <f>E44-E210</f>
        <v>0</v>
      </c>
      <c r="F214" s="38" t="str">
        <f>IF(IFERROR(E214/E$4,"")=0,"",IFERROR(E214/E$4,""))</f>
        <v/>
      </c>
      <c r="G214" s="344">
        <f>G44-G210</f>
        <v>0</v>
      </c>
      <c r="H214" s="38" t="str">
        <f>IF(IFERROR(G214/G$4,"")=0,"",IFERROR(G214/G$4,""))</f>
        <v/>
      </c>
      <c r="I214" s="470" t="str">
        <f t="shared" si="428"/>
        <v/>
      </c>
      <c r="J214" s="470" t="str">
        <f t="shared" si="429"/>
        <v/>
      </c>
      <c r="K214" s="344">
        <f>K44-K210</f>
        <v>0</v>
      </c>
      <c r="L214" s="38" t="str">
        <f>IF(IFERROR(K214/K$4,"")=0,"",IFERROR(K214/K$4,""))</f>
        <v/>
      </c>
      <c r="M214" s="344">
        <f>M44-M210</f>
        <v>0</v>
      </c>
      <c r="N214" s="38" t="str">
        <f>IF(IFERROR(M214/M$4,"")=0,"",IFERROR(M214/M$4,""))</f>
        <v/>
      </c>
      <c r="O214" s="344">
        <f>O44-O210</f>
        <v>0</v>
      </c>
      <c r="P214" s="38" t="str">
        <f>IF(IFERROR(O214/O$4,"")=0,"",IFERROR(O214/O$4,""))</f>
        <v/>
      </c>
      <c r="Q214" s="470" t="str">
        <f t="shared" si="430"/>
        <v/>
      </c>
      <c r="R214" s="470" t="str">
        <f t="shared" si="431"/>
        <v/>
      </c>
      <c r="S214" s="344">
        <f>S44-S210</f>
        <v>0</v>
      </c>
      <c r="T214" s="38" t="str">
        <f>IF(IFERROR(S214/S$4,"")=0,"",IFERROR(S214/S$4,""))</f>
        <v/>
      </c>
      <c r="U214" s="344">
        <f>U44-U210</f>
        <v>0</v>
      </c>
      <c r="V214" s="38" t="str">
        <f>IF(IFERROR(U214/U$4,"")=0,"",IFERROR(U214/U$4,""))</f>
        <v/>
      </c>
      <c r="W214" s="344">
        <f>W44-W210</f>
        <v>0</v>
      </c>
      <c r="X214" s="38" t="str">
        <f>IF(IFERROR(W214/W$4,"")=0,"",IFERROR(W214/W$4,""))</f>
        <v/>
      </c>
      <c r="Y214" s="470" t="str">
        <f t="shared" si="432"/>
        <v/>
      </c>
      <c r="Z214" s="470" t="str">
        <f t="shared" si="433"/>
        <v/>
      </c>
      <c r="AA214" s="344">
        <f>AA44-AA210</f>
        <v>0</v>
      </c>
      <c r="AB214" s="38" t="str">
        <f>IF(IFERROR(AA214/AA$4,"")=0,"",IFERROR(AA214/AA$4,""))</f>
        <v/>
      </c>
      <c r="AC214" s="344">
        <f>AC44-AC210</f>
        <v>0</v>
      </c>
      <c r="AD214" s="38" t="str">
        <f>IF(IFERROR(AC214/AC$4,"")=0,"",IFERROR(AC214/AC$4,""))</f>
        <v/>
      </c>
      <c r="AE214" s="344">
        <f>AE44-AE210</f>
        <v>0</v>
      </c>
      <c r="AF214" s="38" t="str">
        <f>IF(IFERROR(AE214/AE$4,"")=0,"",IFERROR(AE214/AE$4,""))</f>
        <v/>
      </c>
      <c r="AG214" s="470" t="str">
        <f t="shared" si="434"/>
        <v/>
      </c>
      <c r="AH214" s="470" t="str">
        <f t="shared" si="435"/>
        <v/>
      </c>
      <c r="AI214" s="344">
        <f>AI44-AI210</f>
        <v>0</v>
      </c>
      <c r="AJ214" s="38" t="str">
        <f>IF(IFERROR(AI214/AI$4,"")=0,"",IFERROR(AI214/AI$4,""))</f>
        <v/>
      </c>
      <c r="AK214" s="344">
        <f>AK44-AK210</f>
        <v>0</v>
      </c>
      <c r="AL214" s="38" t="str">
        <f>IF(IFERROR(AK214/AK$4,"")=0,"",IFERROR(AK214/AK$4,""))</f>
        <v/>
      </c>
      <c r="AM214" s="344">
        <f>AM44-AM210</f>
        <v>0</v>
      </c>
      <c r="AN214" s="38" t="str">
        <f>IF(IFERROR(AM214/AM$4,"")=0,"",IFERROR(AM214/AM$4,""))</f>
        <v/>
      </c>
      <c r="AO214" s="470" t="str">
        <f t="shared" si="436"/>
        <v/>
      </c>
      <c r="AP214" s="470" t="str">
        <f t="shared" si="437"/>
        <v/>
      </c>
      <c r="AQ214" s="344">
        <f>AQ44-AQ210</f>
        <v>0</v>
      </c>
      <c r="AR214" s="38" t="str">
        <f>IF(IFERROR(AQ214/AQ$4,"")=0,"",IFERROR(AQ214/AQ$4,""))</f>
        <v/>
      </c>
      <c r="AS214" s="344">
        <f>AS44-AS210</f>
        <v>0</v>
      </c>
      <c r="AT214" s="38" t="str">
        <f>IF(IFERROR(AS214/AS$4,"")=0,"",IFERROR(AS214/AS$4,""))</f>
        <v/>
      </c>
      <c r="AU214" s="344">
        <f>AU44-AU210</f>
        <v>0</v>
      </c>
      <c r="AV214" s="38" t="str">
        <f>IF(IFERROR(AU214/AU$4,"")=0,"",IFERROR(AU214/AU$4,""))</f>
        <v/>
      </c>
      <c r="AW214" s="470" t="str">
        <f t="shared" si="438"/>
        <v/>
      </c>
      <c r="AX214" s="470" t="str">
        <f t="shared" si="439"/>
        <v/>
      </c>
      <c r="AY214" s="344">
        <f>AY44-AY210</f>
        <v>0</v>
      </c>
      <c r="AZ214" s="38" t="str">
        <f>IF(IFERROR(AY214/AY$4,"")=0,"",IFERROR(AY214/AY$4,""))</f>
        <v/>
      </c>
      <c r="BA214" s="344">
        <f>BA44-BA210</f>
        <v>0</v>
      </c>
      <c r="BB214" s="38" t="str">
        <f>IF(IFERROR(BA214/BA$4,"")=0,"",IFERROR(BA214/BA$4,""))</f>
        <v/>
      </c>
      <c r="BC214" s="344">
        <f>BC44-BC210</f>
        <v>0</v>
      </c>
      <c r="BD214" s="38" t="str">
        <f>IF(IFERROR(BC214/BC$4,"")=0,"",IFERROR(BC214/BC$4,""))</f>
        <v/>
      </c>
      <c r="BE214" s="470" t="str">
        <f t="shared" si="440"/>
        <v/>
      </c>
      <c r="BF214" s="470" t="str">
        <f t="shared" si="441"/>
        <v/>
      </c>
      <c r="BG214" s="344">
        <f>BG44-BG210</f>
        <v>0</v>
      </c>
      <c r="BH214" s="38" t="str">
        <f>IF(IFERROR(BG214/BG$4,"")=0,"",IFERROR(BG214/BG$4,""))</f>
        <v/>
      </c>
      <c r="BI214" s="344">
        <f>BI44-BI210</f>
        <v>0</v>
      </c>
      <c r="BJ214" s="38" t="str">
        <f>IF(IFERROR(BI214/BI$4,"")=0,"",IFERROR(BI214/BI$4,""))</f>
        <v/>
      </c>
      <c r="BK214" s="344">
        <f>BK44-BK210</f>
        <v>0</v>
      </c>
      <c r="BL214" s="38" t="str">
        <f>IF(IFERROR(BK214/BK$4,"")=0,"",IFERROR(BK214/BK$4,""))</f>
        <v/>
      </c>
      <c r="BM214" s="470" t="str">
        <f t="shared" si="442"/>
        <v/>
      </c>
      <c r="BN214" s="470" t="str">
        <f t="shared" si="443"/>
        <v/>
      </c>
      <c r="BO214" s="344">
        <f>BO44-BO210</f>
        <v>0</v>
      </c>
      <c r="BP214" s="38" t="str">
        <f>IF(IFERROR(BO214/BO$4,"")=0,"",IFERROR(BO214/BO$4,""))</f>
        <v/>
      </c>
      <c r="BQ214" s="344">
        <f>BQ44-BQ210</f>
        <v>0</v>
      </c>
      <c r="BR214" s="38" t="str">
        <f>IF(IFERROR(BQ214/BQ$4,"")=0,"",IFERROR(BQ214/BQ$4,""))</f>
        <v/>
      </c>
      <c r="BS214" s="344">
        <f>BS44-BS210</f>
        <v>0</v>
      </c>
      <c r="BT214" s="38" t="str">
        <f>IF(IFERROR(BS214/BS$4,"")=0,"",IFERROR(BS214/BS$4,""))</f>
        <v/>
      </c>
      <c r="BU214" s="470" t="str">
        <f t="shared" si="444"/>
        <v/>
      </c>
      <c r="BV214" s="470" t="str">
        <f t="shared" si="445"/>
        <v/>
      </c>
      <c r="BW214" s="344">
        <f>BW44-BW210</f>
        <v>0</v>
      </c>
      <c r="BX214" s="38" t="str">
        <f>IF(IFERROR(BW214/BW$4,"")=0,"",IFERROR(BW214/BW$4,""))</f>
        <v/>
      </c>
      <c r="BY214" s="344">
        <f>BY44-BY210</f>
        <v>0</v>
      </c>
      <c r="BZ214" s="38" t="str">
        <f>IF(IFERROR(BY214/BY$4,"")=0,"",IFERROR(BY214/BY$4,""))</f>
        <v/>
      </c>
      <c r="CA214" s="344">
        <f>CA44-CA210</f>
        <v>0</v>
      </c>
      <c r="CB214" s="38" t="str">
        <f>IF(IFERROR(CA214/CA$4,"")=0,"",IFERROR(CA214/CA$4,""))</f>
        <v/>
      </c>
      <c r="CC214" s="470" t="str">
        <f t="shared" si="446"/>
        <v/>
      </c>
      <c r="CD214" s="470" t="str">
        <f t="shared" si="447"/>
        <v/>
      </c>
      <c r="CE214" s="344">
        <f>CE44-CE210</f>
        <v>0</v>
      </c>
      <c r="CF214" s="38" t="str">
        <f>IF(IFERROR(CE214/CE$4,"")=0,"",IFERROR(CE214/CE$4,""))</f>
        <v/>
      </c>
      <c r="CG214" s="344">
        <f>CG44-CG210</f>
        <v>0</v>
      </c>
      <c r="CH214" s="38" t="str">
        <f>IF(IFERROR(CG214/CG$4,"")=0,"",IFERROR(CG214/CG$4,""))</f>
        <v/>
      </c>
      <c r="CI214" s="344">
        <f>CI44-CI210</f>
        <v>0</v>
      </c>
      <c r="CJ214" s="38" t="str">
        <f>IF(IFERROR(CI214/CI$4,"")=0,"",IFERROR(CI214/CI$4,""))</f>
        <v/>
      </c>
      <c r="CK214" s="470" t="str">
        <f t="shared" si="448"/>
        <v/>
      </c>
      <c r="CL214" s="470" t="str">
        <f t="shared" si="449"/>
        <v/>
      </c>
      <c r="CM214" s="344">
        <f>CM44-CM210</f>
        <v>0</v>
      </c>
      <c r="CN214" s="38" t="str">
        <f>IF(IFERROR(CM214/CM$4,"")=0,"",IFERROR(CM214/CM$4,""))</f>
        <v/>
      </c>
      <c r="CO214" s="344">
        <f>CO44-CO210</f>
        <v>0</v>
      </c>
      <c r="CP214" s="38" t="str">
        <f>IF(IFERROR(CO214/CO$4,"")=0,"",IFERROR(CO214/CO$4,""))</f>
        <v/>
      </c>
      <c r="CQ214" s="344">
        <f>CQ44-CQ210</f>
        <v>0</v>
      </c>
      <c r="CR214" s="38" t="str">
        <f>IF(IFERROR(CQ214/CQ$4,"")=0,"",IFERROR(CQ214/CQ$4,""))</f>
        <v/>
      </c>
      <c r="CS214" s="470" t="str">
        <f t="shared" si="450"/>
        <v/>
      </c>
      <c r="CT214" s="470" t="str">
        <f t="shared" si="451"/>
        <v/>
      </c>
      <c r="CU214" s="344">
        <f t="shared" si="426"/>
        <v>0</v>
      </c>
      <c r="CV214" s="38" t="str">
        <f t="shared" si="452"/>
        <v/>
      </c>
      <c r="CW214" s="344">
        <f t="shared" si="427"/>
        <v>0</v>
      </c>
      <c r="CX214" s="38">
        <f t="shared" si="453"/>
        <v>0</v>
      </c>
      <c r="CY214" s="344">
        <f t="shared" si="454"/>
        <v>0</v>
      </c>
      <c r="CZ214" s="38">
        <f t="shared" si="455"/>
        <v>0</v>
      </c>
      <c r="DA214" s="470" t="str">
        <f t="shared" si="456"/>
        <v/>
      </c>
      <c r="DB214" s="470" t="str">
        <f t="shared" si="457"/>
        <v/>
      </c>
    </row>
    <row r="215" spans="1:106" s="94" customFormat="1" ht="13.5" customHeight="1">
      <c r="B215" s="119"/>
      <c r="C215" s="120"/>
      <c r="D215" s="120"/>
      <c r="E215" s="120"/>
      <c r="F215" s="120"/>
      <c r="G215" s="363"/>
      <c r="H215" s="120"/>
      <c r="I215" s="494" t="str">
        <f t="shared" si="428"/>
        <v/>
      </c>
      <c r="J215" s="494" t="str">
        <f t="shared" si="429"/>
        <v/>
      </c>
      <c r="K215" s="120"/>
      <c r="L215" s="120"/>
      <c r="M215" s="120"/>
      <c r="N215" s="120"/>
      <c r="O215" s="363"/>
      <c r="P215" s="120"/>
      <c r="Q215" s="494" t="str">
        <f t="shared" si="430"/>
        <v/>
      </c>
      <c r="R215" s="494" t="str">
        <f t="shared" si="431"/>
        <v/>
      </c>
      <c r="S215" s="120"/>
      <c r="T215" s="120"/>
      <c r="U215" s="120"/>
      <c r="V215" s="120"/>
      <c r="W215" s="363"/>
      <c r="X215" s="120"/>
      <c r="Y215" s="494" t="str">
        <f t="shared" si="432"/>
        <v/>
      </c>
      <c r="Z215" s="494" t="str">
        <f t="shared" si="433"/>
        <v/>
      </c>
      <c r="AA215" s="120"/>
      <c r="AB215" s="120"/>
      <c r="AC215" s="120"/>
      <c r="AD215" s="120"/>
      <c r="AE215" s="363"/>
      <c r="AF215" s="120"/>
      <c r="AG215" s="494" t="str">
        <f t="shared" si="434"/>
        <v/>
      </c>
      <c r="AH215" s="494" t="str">
        <f t="shared" si="435"/>
        <v/>
      </c>
      <c r="AI215" s="120"/>
      <c r="AJ215" s="120"/>
      <c r="AK215" s="120"/>
      <c r="AL215" s="120"/>
      <c r="AM215" s="363"/>
      <c r="AN215" s="120"/>
      <c r="AO215" s="494" t="str">
        <f t="shared" si="436"/>
        <v/>
      </c>
      <c r="AP215" s="494" t="str">
        <f t="shared" si="437"/>
        <v/>
      </c>
      <c r="AQ215" s="120"/>
      <c r="AR215" s="120"/>
      <c r="AS215" s="120"/>
      <c r="AT215" s="120"/>
      <c r="AU215" s="363"/>
      <c r="AV215" s="120"/>
      <c r="AW215" s="494" t="str">
        <f t="shared" si="438"/>
        <v/>
      </c>
      <c r="AX215" s="494" t="str">
        <f t="shared" si="439"/>
        <v/>
      </c>
      <c r="AY215" s="120"/>
      <c r="AZ215" s="120"/>
      <c r="BA215" s="120"/>
      <c r="BB215" s="120"/>
      <c r="BC215" s="363"/>
      <c r="BD215" s="120"/>
      <c r="BE215" s="494" t="str">
        <f t="shared" si="440"/>
        <v/>
      </c>
      <c r="BF215" s="494" t="str">
        <f t="shared" si="441"/>
        <v/>
      </c>
      <c r="BG215" s="120"/>
      <c r="BH215" s="120"/>
      <c r="BI215" s="120"/>
      <c r="BJ215" s="120"/>
      <c r="BK215" s="363"/>
      <c r="BL215" s="120"/>
      <c r="BM215" s="494" t="str">
        <f t="shared" si="442"/>
        <v/>
      </c>
      <c r="BN215" s="494" t="str">
        <f t="shared" si="443"/>
        <v/>
      </c>
      <c r="BO215" s="120"/>
      <c r="BP215" s="120"/>
      <c r="BQ215" s="120"/>
      <c r="BR215" s="120"/>
      <c r="BS215" s="363"/>
      <c r="BT215" s="120"/>
      <c r="BU215" s="494" t="str">
        <f t="shared" si="444"/>
        <v/>
      </c>
      <c r="BV215" s="494" t="str">
        <f t="shared" si="445"/>
        <v/>
      </c>
      <c r="BW215" s="120"/>
      <c r="BX215" s="120"/>
      <c r="BY215" s="120"/>
      <c r="BZ215" s="120"/>
      <c r="CA215" s="363"/>
      <c r="CB215" s="120"/>
      <c r="CC215" s="494" t="str">
        <f t="shared" si="446"/>
        <v/>
      </c>
      <c r="CD215" s="494" t="str">
        <f t="shared" si="447"/>
        <v/>
      </c>
      <c r="CE215" s="120"/>
      <c r="CF215" s="120"/>
      <c r="CG215" s="120"/>
      <c r="CH215" s="120"/>
      <c r="CI215" s="363"/>
      <c r="CJ215" s="120"/>
      <c r="CK215" s="494" t="str">
        <f t="shared" si="448"/>
        <v/>
      </c>
      <c r="CL215" s="494" t="str">
        <f t="shared" si="449"/>
        <v/>
      </c>
      <c r="CM215" s="120"/>
      <c r="CN215" s="120"/>
      <c r="CO215" s="120"/>
      <c r="CP215" s="120"/>
      <c r="CQ215" s="363"/>
      <c r="CR215" s="120"/>
      <c r="CS215" s="494" t="str">
        <f t="shared" si="450"/>
        <v/>
      </c>
      <c r="CT215" s="494" t="str">
        <f t="shared" si="451"/>
        <v/>
      </c>
      <c r="CU215" s="120">
        <f t="shared" si="426"/>
        <v>0</v>
      </c>
      <c r="CV215" s="120" t="str">
        <f t="shared" si="452"/>
        <v/>
      </c>
      <c r="CW215" s="120">
        <f t="shared" si="427"/>
        <v>0</v>
      </c>
      <c r="CX215" s="120">
        <f t="shared" si="453"/>
        <v>0</v>
      </c>
      <c r="CY215" s="363">
        <f t="shared" si="454"/>
        <v>0</v>
      </c>
      <c r="CZ215" s="120">
        <f t="shared" si="455"/>
        <v>0</v>
      </c>
      <c r="DA215" s="494" t="str">
        <f t="shared" si="456"/>
        <v/>
      </c>
      <c r="DB215" s="494" t="str">
        <f t="shared" si="457"/>
        <v/>
      </c>
    </row>
    <row r="216" spans="1:106" s="121" customFormat="1" ht="13.9" customHeight="1">
      <c r="B216" s="122" t="s">
        <v>672</v>
      </c>
      <c r="C216" s="364">
        <f>SUM(C218:C229)-C217</f>
        <v>0</v>
      </c>
      <c r="D216" s="37" t="str">
        <f t="shared" ref="D216:D230" si="458">IF(IFERROR(C216/C$4,"")=0,"",IFERROR(C216/C$4,""))</f>
        <v/>
      </c>
      <c r="E216" s="364">
        <f>SUM(E218:E229)-E217</f>
        <v>0</v>
      </c>
      <c r="F216" s="37" t="str">
        <f t="shared" ref="F216:F230" si="459">IF(IFERROR(E216/E$4,"")=0,"",IFERROR(E216/E$4,""))</f>
        <v/>
      </c>
      <c r="G216" s="364">
        <f>SUM(G218:G229)-G217</f>
        <v>0</v>
      </c>
      <c r="H216" s="37" t="str">
        <f t="shared" ref="H216:H230" si="460">IF(IFERROR(G216/G$4,"")=0,"",IFERROR(G216/G$4,""))</f>
        <v/>
      </c>
      <c r="I216" s="495" t="str">
        <f t="shared" si="428"/>
        <v/>
      </c>
      <c r="J216" s="495" t="str">
        <f t="shared" si="429"/>
        <v/>
      </c>
      <c r="K216" s="364">
        <f>SUM(K218:K229)-K217</f>
        <v>0</v>
      </c>
      <c r="L216" s="37" t="str">
        <f t="shared" ref="L216:L230" si="461">IF(IFERROR(K216/K$4,"")=0,"",IFERROR(K216/K$4,""))</f>
        <v/>
      </c>
      <c r="M216" s="364">
        <f>SUM(M218:M229)-M217</f>
        <v>0</v>
      </c>
      <c r="N216" s="37" t="str">
        <f t="shared" ref="N216:N230" si="462">IF(IFERROR(M216/M$4,"")=0,"",IFERROR(M216/M$4,""))</f>
        <v/>
      </c>
      <c r="O216" s="364">
        <f>SUM(O218:O229)-O217</f>
        <v>0</v>
      </c>
      <c r="P216" s="37" t="str">
        <f t="shared" ref="P216:P230" si="463">IF(IFERROR(O216/O$4,"")=0,"",IFERROR(O216/O$4,""))</f>
        <v/>
      </c>
      <c r="Q216" s="495" t="str">
        <f t="shared" si="430"/>
        <v/>
      </c>
      <c r="R216" s="495" t="str">
        <f t="shared" si="431"/>
        <v/>
      </c>
      <c r="S216" s="364">
        <f>SUM(S218:S229)-S217</f>
        <v>0</v>
      </c>
      <c r="T216" s="37" t="str">
        <f t="shared" ref="T216:T230" si="464">IF(IFERROR(S216/S$4,"")=0,"",IFERROR(S216/S$4,""))</f>
        <v/>
      </c>
      <c r="U216" s="364">
        <f>SUM(U218:U229)-U217</f>
        <v>0</v>
      </c>
      <c r="V216" s="37" t="str">
        <f t="shared" ref="V216:V230" si="465">IF(IFERROR(U216/U$4,"")=0,"",IFERROR(U216/U$4,""))</f>
        <v/>
      </c>
      <c r="W216" s="364">
        <f>SUM(W218:W229)-W217</f>
        <v>95.476760000000013</v>
      </c>
      <c r="X216" s="37">
        <f t="shared" ref="X216:X230" si="466">IF(IFERROR(W216/W$4,"")=0,"",IFERROR(W216/W$4,""))</f>
        <v>1.6100905580195286E-2</v>
      </c>
      <c r="Y216" s="495" t="str">
        <f t="shared" si="432"/>
        <v/>
      </c>
      <c r="Z216" s="495" t="str">
        <f t="shared" si="433"/>
        <v/>
      </c>
      <c r="AA216" s="364">
        <f>SUM(AA218:AA229)-AA217</f>
        <v>0</v>
      </c>
      <c r="AB216" s="37" t="str">
        <f t="shared" ref="AB216:AB230" si="467">IF(IFERROR(AA216/AA$4,"")=0,"",IFERROR(AA216/AA$4,""))</f>
        <v/>
      </c>
      <c r="AC216" s="364">
        <f>SUM(AC218:AC229)-AC217</f>
        <v>137.0772858</v>
      </c>
      <c r="AD216" s="37">
        <f t="shared" ref="AD216:AD230" si="468">IF(IFERROR(AC216/AC$4,"")=0,"",IFERROR(AC216/AC$4,""))</f>
        <v>1.002625E-2</v>
      </c>
      <c r="AE216" s="364">
        <f>SUM(AE218:AE229)-AE217</f>
        <v>792.78809999999999</v>
      </c>
      <c r="AF216" s="37">
        <f t="shared" ref="AF216:AF230" si="469">IF(IFERROR(AE216/AE$4,"")=0,"",IFERROR(AE216/AE$4,""))</f>
        <v>5.7812042411690918E-2</v>
      </c>
      <c r="AG216" s="495">
        <f t="shared" si="434"/>
        <v>4.7835118004649022</v>
      </c>
      <c r="AH216" s="495" t="str">
        <f t="shared" si="435"/>
        <v/>
      </c>
      <c r="AI216" s="364">
        <f>SUM(AI218:AI229)-AI217</f>
        <v>0</v>
      </c>
      <c r="AJ216" s="37" t="str">
        <f t="shared" ref="AJ216:AJ230" si="470">IF(IFERROR(AI216/AI$4,"")=0,"",IFERROR(AI216/AI$4,""))</f>
        <v/>
      </c>
      <c r="AK216" s="364">
        <f>SUM(AK218:AK229)-AK217</f>
        <v>140.08676499999999</v>
      </c>
      <c r="AL216" s="37">
        <f t="shared" ref="AL216:AL230" si="471">IF(IFERROR(AK216/AK$4,"")=0,"",IFERROR(AK216/AK$4,""))</f>
        <v>1.0026249999999999E-2</v>
      </c>
      <c r="AM216" s="364">
        <f>SUM(AM218:AM229)-AM217</f>
        <v>741.42910999999992</v>
      </c>
      <c r="AN216" s="37">
        <f t="shared" ref="AN216:AN230" si="472">IF(IFERROR(AM216/AM$4,"")=0,"",IFERROR(AM216/AM$4,""))</f>
        <v>4.7186944354813555E-2</v>
      </c>
      <c r="AO216" s="495">
        <f t="shared" si="436"/>
        <v>4.2926420993446452</v>
      </c>
      <c r="AP216" s="495" t="str">
        <f t="shared" si="437"/>
        <v/>
      </c>
      <c r="AQ216" s="364">
        <f>SUM(AQ218:AQ229)-AQ217</f>
        <v>0</v>
      </c>
      <c r="AR216" s="37" t="str">
        <f t="shared" ref="AR216:AR230" si="473">IF(IFERROR(AQ216/AQ$4,"")=0,"",IFERROR(AQ216/AQ$4,""))</f>
        <v/>
      </c>
      <c r="AS216" s="364">
        <f>SUM(AS218:AS229)-AS217</f>
        <v>747</v>
      </c>
      <c r="AT216" s="37">
        <f t="shared" ref="AT216:AT230" si="474">IF(IFERROR(AS216/AS$4,"")=0,"",IFERROR(AS216/AS$4,""))</f>
        <v>4.9535809018567641E-2</v>
      </c>
      <c r="AU216" s="364">
        <f>SUM(AU218:AU229)-AU217</f>
        <v>799.28148999999996</v>
      </c>
      <c r="AV216" s="37">
        <f t="shared" ref="AV216:AV230" si="475">IF(IFERROR(AU216/AU$4,"")=0,"",IFERROR(AU216/AU$4,""))</f>
        <v>5.6076742234159524E-2</v>
      </c>
      <c r="AW216" s="495">
        <f t="shared" si="438"/>
        <v>6.9988607764390753E-2</v>
      </c>
      <c r="AX216" s="495" t="str">
        <f t="shared" si="439"/>
        <v/>
      </c>
      <c r="AY216" s="364">
        <f>SUM(AY218:AY229)-AY217</f>
        <v>0</v>
      </c>
      <c r="AZ216" s="37" t="str">
        <f t="shared" ref="AZ216:AZ230" si="476">IF(IFERROR(AY216/AY$4,"")=0,"",IFERROR(AY216/AY$4,""))</f>
        <v/>
      </c>
      <c r="BA216" s="364">
        <f>SUM(BA218:BA229)-BA217</f>
        <v>753</v>
      </c>
      <c r="BB216" s="37">
        <f t="shared" ref="BB216:BB230" si="477">IF(IFERROR(BA216/BA$4,"")=0,"",IFERROR(BA216/BA$4,""))</f>
        <v>4.806127333652465E-2</v>
      </c>
      <c r="BC216" s="364">
        <f>SUM(BC218:BC229)-BC217</f>
        <v>0</v>
      </c>
      <c r="BD216" s="37" t="str">
        <f t="shared" ref="BD216:BD230" si="478">IF(IFERROR(BC216/BC$4,"")=0,"",IFERROR(BC216/BC$4,""))</f>
        <v/>
      </c>
      <c r="BE216" s="495">
        <f t="shared" si="440"/>
        <v>-1</v>
      </c>
      <c r="BF216" s="495" t="str">
        <f t="shared" si="441"/>
        <v/>
      </c>
      <c r="BG216" s="364">
        <f>SUM(BG218:BG229)-BG217</f>
        <v>0</v>
      </c>
      <c r="BH216" s="37" t="str">
        <f t="shared" ref="BH216:BH230" si="479">IF(IFERROR(BG216/BG$4,"")=0,"",IFERROR(BG216/BG$4,""))</f>
        <v/>
      </c>
      <c r="BI216" s="364">
        <f>SUM(BI218:BI229)-BI217</f>
        <v>754</v>
      </c>
      <c r="BJ216" s="37">
        <f t="shared" ref="BJ216:BJ230" si="480">IF(IFERROR(BI216/BI$4,"")=0,"",IFERROR(BI216/BI$4,""))</f>
        <v>4.8125099728737832E-2</v>
      </c>
      <c r="BK216" s="364">
        <f>SUM(BK218:BK229)-BK217</f>
        <v>0</v>
      </c>
      <c r="BL216" s="37" t="str">
        <f t="shared" ref="BL216:BL230" si="481">IF(IFERROR(BK216/BK$4,"")=0,"",IFERROR(BK216/BK$4,""))</f>
        <v/>
      </c>
      <c r="BM216" s="495">
        <f t="shared" si="442"/>
        <v>-1</v>
      </c>
      <c r="BN216" s="495" t="str">
        <f t="shared" si="443"/>
        <v/>
      </c>
      <c r="BO216" s="364">
        <f>SUM(BO218:BO229)-BO217</f>
        <v>0</v>
      </c>
      <c r="BP216" s="37" t="str">
        <f t="shared" ref="BP216:BP230" si="482">IF(IFERROR(BO216/BO$4,"")=0,"",IFERROR(BO216/BO$4,""))</f>
        <v/>
      </c>
      <c r="BQ216" s="364">
        <f>SUM(BQ218:BQ229)-BQ217</f>
        <v>739</v>
      </c>
      <c r="BR216" s="37">
        <f t="shared" ref="BR216:BR230" si="483">IF(IFERROR(BQ216/BQ$4,"")=0,"",IFERROR(BQ216/BQ$4,""))</f>
        <v>5.1035911602209945E-2</v>
      </c>
      <c r="BS216" s="364">
        <f>SUM(BS218:BS229)-BS217</f>
        <v>0</v>
      </c>
      <c r="BT216" s="37" t="str">
        <f t="shared" ref="BT216:BT230" si="484">IF(IFERROR(BS216/BS$4,"")=0,"",IFERROR(BS216/BS$4,""))</f>
        <v/>
      </c>
      <c r="BU216" s="495">
        <f t="shared" si="444"/>
        <v>-1</v>
      </c>
      <c r="BV216" s="495" t="str">
        <f t="shared" si="445"/>
        <v/>
      </c>
      <c r="BW216" s="364">
        <f>SUM(BW218:BW229)-BW217</f>
        <v>0</v>
      </c>
      <c r="BX216" s="37" t="str">
        <f t="shared" ref="BX216:BX230" si="485">IF(IFERROR(BW216/BW$4,"")=0,"",IFERROR(BW216/BW$4,""))</f>
        <v/>
      </c>
      <c r="BY216" s="364">
        <f>SUM(BY218:BY229)-BY217</f>
        <v>422.52092109356391</v>
      </c>
      <c r="BZ216" s="37">
        <f t="shared" ref="BZ216:BZ230" si="486">IF(IFERROR(BY216/BY$4,"")=0,"",IFERROR(BY216/BY$4,""))</f>
        <v>2.9999999999999992E-2</v>
      </c>
      <c r="CA216" s="364">
        <f>SUM(CA218:CA229)-CA217</f>
        <v>0</v>
      </c>
      <c r="CB216" s="37" t="str">
        <f t="shared" ref="CB216:CB230" si="487">IF(IFERROR(CA216/CA$4,"")=0,"",IFERROR(CA216/CA$4,""))</f>
        <v/>
      </c>
      <c r="CC216" s="495">
        <f t="shared" si="446"/>
        <v>-1</v>
      </c>
      <c r="CD216" s="495" t="str">
        <f t="shared" si="447"/>
        <v/>
      </c>
      <c r="CE216" s="364">
        <f>SUM(CE218:CE229)-CE217</f>
        <v>0</v>
      </c>
      <c r="CF216" s="37" t="str">
        <f t="shared" ref="CF216:CF230" si="488">IF(IFERROR(CE216/CE$4,"")=0,"",IFERROR(CE216/CE$4,""))</f>
        <v/>
      </c>
      <c r="CG216" s="364">
        <f>SUM(CG218:CG229)-CG217</f>
        <v>436.23073284701633</v>
      </c>
      <c r="CH216" s="37">
        <f t="shared" ref="CH216:CH230" si="489">IF(IFERROR(CG216/CG$4,"")=0,"",IFERROR(CG216/CG$4,""))</f>
        <v>2.9999999999999992E-2</v>
      </c>
      <c r="CI216" s="364">
        <f>SUM(CI218:CI229)-CI217</f>
        <v>0</v>
      </c>
      <c r="CJ216" s="37" t="str">
        <f t="shared" ref="CJ216:CJ230" si="490">IF(IFERROR(CI216/CI$4,"")=0,"",IFERROR(CI216/CI$4,""))</f>
        <v/>
      </c>
      <c r="CK216" s="495">
        <f t="shared" si="448"/>
        <v>-1</v>
      </c>
      <c r="CL216" s="495" t="str">
        <f t="shared" si="449"/>
        <v/>
      </c>
      <c r="CM216" s="364">
        <f>SUM(CM218:CM229)-CM217</f>
        <v>0</v>
      </c>
      <c r="CN216" s="37" t="str">
        <f t="shared" ref="CN216:CN230" si="491">IF(IFERROR(CM216/CM$4,"")=0,"",IFERROR(CM216/CM$4,""))</f>
        <v/>
      </c>
      <c r="CO216" s="364">
        <f>SUM(CO218:CO229)-CO217</f>
        <v>463.38241074288823</v>
      </c>
      <c r="CP216" s="37">
        <f t="shared" ref="CP216:CP230" si="492">IF(IFERROR(CO216/CO$4,"")=0,"",IFERROR(CO216/CO$4,""))</f>
        <v>3.0000000000000006E-2</v>
      </c>
      <c r="CQ216" s="364">
        <f>SUM(CQ218:CQ229)-CQ217</f>
        <v>0</v>
      </c>
      <c r="CR216" s="37" t="str">
        <f t="shared" ref="CR216:CR230" si="493">IF(IFERROR(CQ216/CQ$4,"")=0,"",IFERROR(CQ216/CQ$4,""))</f>
        <v/>
      </c>
      <c r="CS216" s="495">
        <f t="shared" si="450"/>
        <v>-1</v>
      </c>
      <c r="CT216" s="495" t="str">
        <f t="shared" si="451"/>
        <v/>
      </c>
      <c r="CU216" s="364">
        <f t="shared" si="426"/>
        <v>0</v>
      </c>
      <c r="CV216" s="37" t="str">
        <f t="shared" si="452"/>
        <v/>
      </c>
      <c r="CW216" s="364">
        <f t="shared" si="427"/>
        <v>4592.2981154834688</v>
      </c>
      <c r="CX216" s="37">
        <f t="shared" si="453"/>
        <v>3.4630110582056874E-2</v>
      </c>
      <c r="CY216" s="364">
        <f t="shared" si="454"/>
        <v>2428.9754599999997</v>
      </c>
      <c r="CZ216" s="37">
        <f t="shared" si="455"/>
        <v>4.8962354664344336E-2</v>
      </c>
      <c r="DA216" s="495">
        <f t="shared" si="456"/>
        <v>-0.47107626749874409</v>
      </c>
      <c r="DB216" s="495" t="str">
        <f t="shared" si="457"/>
        <v/>
      </c>
    </row>
    <row r="217" spans="1:106" s="103" customFormat="1" ht="13.15" customHeight="1">
      <c r="B217" s="107" t="s">
        <v>673</v>
      </c>
      <c r="C217" s="238"/>
      <c r="D217" s="38" t="str">
        <f t="shared" si="458"/>
        <v/>
      </c>
      <c r="E217" s="238"/>
      <c r="F217" s="38" t="str">
        <f t="shared" si="459"/>
        <v/>
      </c>
      <c r="G217" s="496">
        <f>+'Отчет о фин.рез.'!B37</f>
        <v>0</v>
      </c>
      <c r="H217" s="38" t="str">
        <f t="shared" si="460"/>
        <v/>
      </c>
      <c r="I217" s="470" t="str">
        <f t="shared" si="428"/>
        <v/>
      </c>
      <c r="J217" s="470" t="str">
        <f t="shared" si="429"/>
        <v/>
      </c>
      <c r="K217" s="238"/>
      <c r="L217" s="38" t="str">
        <f t="shared" si="461"/>
        <v/>
      </c>
      <c r="M217" s="238"/>
      <c r="N217" s="38" t="str">
        <f t="shared" si="462"/>
        <v/>
      </c>
      <c r="O217" s="496">
        <f>+'Отчет о фин.рез.'!C37</f>
        <v>0</v>
      </c>
      <c r="P217" s="38" t="str">
        <f t="shared" si="463"/>
        <v/>
      </c>
      <c r="Q217" s="470" t="str">
        <f t="shared" si="430"/>
        <v/>
      </c>
      <c r="R217" s="470" t="str">
        <f t="shared" si="431"/>
        <v/>
      </c>
      <c r="S217" s="238"/>
      <c r="T217" s="38" t="str">
        <f t="shared" si="464"/>
        <v/>
      </c>
      <c r="U217" s="238"/>
      <c r="V217" s="38" t="str">
        <f t="shared" si="465"/>
        <v/>
      </c>
      <c r="W217" s="496">
        <f>+'Отчет о фин.рез.'!D37</f>
        <v>0</v>
      </c>
      <c r="X217" s="38" t="str">
        <f t="shared" si="466"/>
        <v/>
      </c>
      <c r="Y217" s="470" t="str">
        <f t="shared" si="432"/>
        <v/>
      </c>
      <c r="Z217" s="470" t="str">
        <f t="shared" si="433"/>
        <v/>
      </c>
      <c r="AA217" s="238"/>
      <c r="AB217" s="38" t="str">
        <f t="shared" si="467"/>
        <v/>
      </c>
      <c r="AC217" s="238"/>
      <c r="AD217" s="38" t="str">
        <f t="shared" si="468"/>
        <v/>
      </c>
      <c r="AE217" s="496">
        <f>+'Отчет о фин.рез.'!E37</f>
        <v>0</v>
      </c>
      <c r="AF217" s="38" t="str">
        <f t="shared" si="469"/>
        <v/>
      </c>
      <c r="AG217" s="470" t="str">
        <f t="shared" si="434"/>
        <v/>
      </c>
      <c r="AH217" s="470" t="str">
        <f t="shared" si="435"/>
        <v/>
      </c>
      <c r="AI217" s="238"/>
      <c r="AJ217" s="38" t="str">
        <f t="shared" si="470"/>
        <v/>
      </c>
      <c r="AK217" s="238"/>
      <c r="AL217" s="38" t="str">
        <f t="shared" si="471"/>
        <v/>
      </c>
      <c r="AM217" s="496">
        <f>+'Отчет о фин.рез.'!F37</f>
        <v>0</v>
      </c>
      <c r="AN217" s="38" t="str">
        <f t="shared" si="472"/>
        <v/>
      </c>
      <c r="AO217" s="470" t="str">
        <f t="shared" si="436"/>
        <v/>
      </c>
      <c r="AP217" s="470" t="str">
        <f t="shared" si="437"/>
        <v/>
      </c>
      <c r="AQ217" s="344"/>
      <c r="AR217" s="38" t="str">
        <f t="shared" si="473"/>
        <v/>
      </c>
      <c r="AS217" s="238"/>
      <c r="AT217" s="38" t="str">
        <f t="shared" si="474"/>
        <v/>
      </c>
      <c r="AU217" s="496">
        <f>+'Отчет о фин.рез.'!G37</f>
        <v>0</v>
      </c>
      <c r="AV217" s="38" t="str">
        <f t="shared" si="475"/>
        <v/>
      </c>
      <c r="AW217" s="470" t="str">
        <f t="shared" si="438"/>
        <v/>
      </c>
      <c r="AX217" s="470" t="str">
        <f t="shared" si="439"/>
        <v/>
      </c>
      <c r="AY217" s="344"/>
      <c r="AZ217" s="38" t="str">
        <f t="shared" si="476"/>
        <v/>
      </c>
      <c r="BA217" s="238"/>
      <c r="BB217" s="38" t="str">
        <f t="shared" si="477"/>
        <v/>
      </c>
      <c r="BC217" s="496">
        <f>+'Отчет о фин.рез.'!H37</f>
        <v>0</v>
      </c>
      <c r="BD217" s="38" t="str">
        <f t="shared" si="478"/>
        <v/>
      </c>
      <c r="BE217" s="470" t="str">
        <f t="shared" si="440"/>
        <v/>
      </c>
      <c r="BF217" s="470" t="str">
        <f t="shared" si="441"/>
        <v/>
      </c>
      <c r="BG217" s="344"/>
      <c r="BH217" s="38" t="str">
        <f t="shared" si="479"/>
        <v/>
      </c>
      <c r="BI217" s="238"/>
      <c r="BJ217" s="38" t="str">
        <f t="shared" si="480"/>
        <v/>
      </c>
      <c r="BK217" s="496">
        <f>+'Отчет о фин.рез.'!I37</f>
        <v>0</v>
      </c>
      <c r="BL217" s="38" t="str">
        <f t="shared" si="481"/>
        <v/>
      </c>
      <c r="BM217" s="470" t="str">
        <f t="shared" si="442"/>
        <v/>
      </c>
      <c r="BN217" s="470" t="str">
        <f t="shared" si="443"/>
        <v/>
      </c>
      <c r="BO217" s="344"/>
      <c r="BP217" s="38" t="str">
        <f t="shared" si="482"/>
        <v/>
      </c>
      <c r="BQ217" s="238"/>
      <c r="BR217" s="38" t="str">
        <f t="shared" si="483"/>
        <v/>
      </c>
      <c r="BS217" s="496">
        <f>+'Отчет о фин.рез.'!J37</f>
        <v>0</v>
      </c>
      <c r="BT217" s="38" t="str">
        <f t="shared" si="484"/>
        <v/>
      </c>
      <c r="BU217" s="470" t="str">
        <f t="shared" si="444"/>
        <v/>
      </c>
      <c r="BV217" s="470" t="str">
        <f t="shared" si="445"/>
        <v/>
      </c>
      <c r="BW217" s="344"/>
      <c r="BX217" s="38" t="str">
        <f t="shared" si="485"/>
        <v/>
      </c>
      <c r="BY217" s="238"/>
      <c r="BZ217" s="38" t="str">
        <f t="shared" si="486"/>
        <v/>
      </c>
      <c r="CA217" s="496">
        <f>+'Отчет о фин.рез.'!K37</f>
        <v>0</v>
      </c>
      <c r="CB217" s="38" t="str">
        <f t="shared" si="487"/>
        <v/>
      </c>
      <c r="CC217" s="470" t="str">
        <f t="shared" si="446"/>
        <v/>
      </c>
      <c r="CD217" s="470" t="str">
        <f t="shared" si="447"/>
        <v/>
      </c>
      <c r="CE217" s="344"/>
      <c r="CF217" s="38" t="str">
        <f t="shared" si="488"/>
        <v/>
      </c>
      <c r="CG217" s="238"/>
      <c r="CH217" s="38" t="str">
        <f t="shared" si="489"/>
        <v/>
      </c>
      <c r="CI217" s="496">
        <f>+'Отчет о фин.рез.'!L37</f>
        <v>0</v>
      </c>
      <c r="CJ217" s="38" t="str">
        <f t="shared" si="490"/>
        <v/>
      </c>
      <c r="CK217" s="470" t="str">
        <f t="shared" si="448"/>
        <v/>
      </c>
      <c r="CL217" s="470" t="str">
        <f t="shared" si="449"/>
        <v/>
      </c>
      <c r="CM217" s="344"/>
      <c r="CN217" s="38" t="str">
        <f t="shared" si="491"/>
        <v/>
      </c>
      <c r="CO217" s="238"/>
      <c r="CP217" s="38" t="str">
        <f t="shared" si="492"/>
        <v/>
      </c>
      <c r="CQ217" s="496">
        <f>+'Отчет о фин.рез.'!M37</f>
        <v>0</v>
      </c>
      <c r="CR217" s="38" t="str">
        <f t="shared" si="493"/>
        <v/>
      </c>
      <c r="CS217" s="470" t="str">
        <f t="shared" si="450"/>
        <v/>
      </c>
      <c r="CT217" s="470" t="str">
        <f t="shared" si="451"/>
        <v/>
      </c>
      <c r="CU217" s="344">
        <f t="shared" si="426"/>
        <v>0</v>
      </c>
      <c r="CV217" s="38" t="str">
        <f t="shared" si="452"/>
        <v/>
      </c>
      <c r="CW217" s="238">
        <f t="shared" si="427"/>
        <v>0</v>
      </c>
      <c r="CX217" s="38">
        <f t="shared" si="453"/>
        <v>0</v>
      </c>
      <c r="CY217" s="496">
        <f t="shared" si="454"/>
        <v>0</v>
      </c>
      <c r="CZ217" s="38">
        <f t="shared" si="455"/>
        <v>0</v>
      </c>
      <c r="DA217" s="470" t="str">
        <f t="shared" si="456"/>
        <v/>
      </c>
      <c r="DB217" s="470" t="str">
        <f t="shared" si="457"/>
        <v/>
      </c>
    </row>
    <row r="218" spans="1:106" s="103" customFormat="1" ht="13.15" customHeight="1">
      <c r="B218" s="107" t="str">
        <f>+'Отчет о фин.рез.'!A40</f>
        <v>Расходы служб</v>
      </c>
      <c r="C218" s="238"/>
      <c r="D218" s="38" t="str">
        <f t="shared" si="458"/>
        <v/>
      </c>
      <c r="E218" s="238"/>
      <c r="F218" s="38" t="str">
        <f t="shared" si="459"/>
        <v/>
      </c>
      <c r="G218" s="496">
        <f>+'Отчет о фин.рез.'!B40</f>
        <v>0</v>
      </c>
      <c r="H218" s="38" t="str">
        <f t="shared" si="460"/>
        <v/>
      </c>
      <c r="I218" s="470" t="str">
        <f t="shared" si="428"/>
        <v/>
      </c>
      <c r="J218" s="470" t="str">
        <f t="shared" si="429"/>
        <v/>
      </c>
      <c r="K218" s="238"/>
      <c r="L218" s="38" t="str">
        <f t="shared" si="461"/>
        <v/>
      </c>
      <c r="M218" s="238"/>
      <c r="N218" s="38" t="str">
        <f t="shared" si="462"/>
        <v/>
      </c>
      <c r="O218" s="496">
        <f>+'Отчет о фин.рез.'!C40</f>
        <v>0</v>
      </c>
      <c r="P218" s="38" t="str">
        <f t="shared" si="463"/>
        <v/>
      </c>
      <c r="Q218" s="470" t="str">
        <f t="shared" si="430"/>
        <v/>
      </c>
      <c r="R218" s="470" t="str">
        <f t="shared" si="431"/>
        <v/>
      </c>
      <c r="S218" s="238"/>
      <c r="T218" s="38" t="str">
        <f t="shared" si="464"/>
        <v/>
      </c>
      <c r="U218" s="238">
        <v>0</v>
      </c>
      <c r="V218" s="38" t="str">
        <f t="shared" si="465"/>
        <v/>
      </c>
      <c r="W218" s="496">
        <f>+'Отчет о фин.рез.'!D40</f>
        <v>0</v>
      </c>
      <c r="X218" s="38" t="str">
        <f t="shared" si="466"/>
        <v/>
      </c>
      <c r="Y218" s="470" t="str">
        <f t="shared" si="432"/>
        <v/>
      </c>
      <c r="Z218" s="470" t="str">
        <f t="shared" si="433"/>
        <v/>
      </c>
      <c r="AA218" s="238"/>
      <c r="AB218" s="38" t="str">
        <f t="shared" si="467"/>
        <v/>
      </c>
      <c r="AC218" s="238">
        <v>0.35888580000000009</v>
      </c>
      <c r="AD218" s="38">
        <f t="shared" si="468"/>
        <v>2.6250000000000004E-5</v>
      </c>
      <c r="AE218" s="496">
        <f>+'Отчет о фин.рез.'!E40</f>
        <v>404.92417</v>
      </c>
      <c r="AF218" s="38">
        <f t="shared" si="469"/>
        <v>2.9528058367120729E-2</v>
      </c>
      <c r="AG218" s="470">
        <f t="shared" si="434"/>
        <v>1127.281392019411</v>
      </c>
      <c r="AH218" s="470" t="str">
        <f t="shared" si="435"/>
        <v/>
      </c>
      <c r="AI218" s="238"/>
      <c r="AJ218" s="38" t="str">
        <f t="shared" si="470"/>
        <v/>
      </c>
      <c r="AK218" s="238">
        <v>0.36676500000000012</v>
      </c>
      <c r="AL218" s="38">
        <f t="shared" si="471"/>
        <v>2.6250000000000008E-5</v>
      </c>
      <c r="AM218" s="496">
        <f>+'Отчет о фин.рез.'!F40</f>
        <v>382.80316999999997</v>
      </c>
      <c r="AN218" s="38">
        <f t="shared" si="472"/>
        <v>2.4362830698185338E-2</v>
      </c>
      <c r="AO218" s="470">
        <f t="shared" si="436"/>
        <v>1042.7287363843329</v>
      </c>
      <c r="AP218" s="470" t="str">
        <f t="shared" si="437"/>
        <v/>
      </c>
      <c r="AQ218" s="344"/>
      <c r="AR218" s="38" t="str">
        <f t="shared" si="473"/>
        <v/>
      </c>
      <c r="AS218" s="238">
        <v>365</v>
      </c>
      <c r="AT218" s="38">
        <f t="shared" si="474"/>
        <v>2.420424403183024E-2</v>
      </c>
      <c r="AU218" s="496">
        <f>+'Отчет о фин.рез.'!G40</f>
        <v>300.37140000000005</v>
      </c>
      <c r="AV218" s="38">
        <f t="shared" si="475"/>
        <v>2.1073739080725649E-2</v>
      </c>
      <c r="AW218" s="470">
        <f t="shared" si="438"/>
        <v>-0.17706465753424638</v>
      </c>
      <c r="AX218" s="470" t="str">
        <f t="shared" si="439"/>
        <v/>
      </c>
      <c r="AY218" s="344"/>
      <c r="AZ218" s="38" t="str">
        <f t="shared" si="476"/>
        <v/>
      </c>
      <c r="BA218" s="238">
        <v>365</v>
      </c>
      <c r="BB218" s="38">
        <f t="shared" si="477"/>
        <v>2.3296633157810755E-2</v>
      </c>
      <c r="BC218" s="496">
        <f>+'Отчет о фин.рез.'!H40</f>
        <v>0</v>
      </c>
      <c r="BD218" s="38" t="str">
        <f t="shared" si="478"/>
        <v/>
      </c>
      <c r="BE218" s="470">
        <f t="shared" si="440"/>
        <v>-1</v>
      </c>
      <c r="BF218" s="470" t="str">
        <f t="shared" si="441"/>
        <v/>
      </c>
      <c r="BG218" s="344"/>
      <c r="BH218" s="38" t="str">
        <f t="shared" si="479"/>
        <v/>
      </c>
      <c r="BI218" s="238">
        <v>365</v>
      </c>
      <c r="BJ218" s="38">
        <f t="shared" si="480"/>
        <v>2.3296633157810755E-2</v>
      </c>
      <c r="BK218" s="496">
        <f>+'Отчет о фин.рез.'!I40</f>
        <v>0</v>
      </c>
      <c r="BL218" s="38" t="str">
        <f t="shared" si="481"/>
        <v/>
      </c>
      <c r="BM218" s="470">
        <f t="shared" si="442"/>
        <v>-1</v>
      </c>
      <c r="BN218" s="470" t="str">
        <f t="shared" si="443"/>
        <v/>
      </c>
      <c r="BO218" s="344"/>
      <c r="BP218" s="38" t="str">
        <f t="shared" si="482"/>
        <v/>
      </c>
      <c r="BQ218" s="238">
        <v>365</v>
      </c>
      <c r="BR218" s="38">
        <f t="shared" si="483"/>
        <v>2.5207182320441991E-2</v>
      </c>
      <c r="BS218" s="496">
        <f>+'Отчет о фин.рез.'!J40</f>
        <v>0</v>
      </c>
      <c r="BT218" s="38" t="str">
        <f t="shared" si="484"/>
        <v/>
      </c>
      <c r="BU218" s="470">
        <f t="shared" si="444"/>
        <v>-1</v>
      </c>
      <c r="BV218" s="470" t="str">
        <f t="shared" si="445"/>
        <v/>
      </c>
      <c r="BW218" s="344"/>
      <c r="BX218" s="38" t="str">
        <f t="shared" si="485"/>
        <v/>
      </c>
      <c r="BY218" s="238">
        <v>0</v>
      </c>
      <c r="BZ218" s="38" t="str">
        <f t="shared" si="486"/>
        <v/>
      </c>
      <c r="CA218" s="496">
        <f>+'Отчет о фин.рез.'!K40</f>
        <v>0</v>
      </c>
      <c r="CB218" s="38" t="str">
        <f t="shared" si="487"/>
        <v/>
      </c>
      <c r="CC218" s="470" t="str">
        <f t="shared" si="446"/>
        <v/>
      </c>
      <c r="CD218" s="470" t="str">
        <f t="shared" si="447"/>
        <v/>
      </c>
      <c r="CE218" s="344"/>
      <c r="CF218" s="38" t="str">
        <f t="shared" si="488"/>
        <v/>
      </c>
      <c r="CG218" s="238">
        <v>0</v>
      </c>
      <c r="CH218" s="38" t="str">
        <f t="shared" si="489"/>
        <v/>
      </c>
      <c r="CI218" s="496">
        <f>+'Отчет о фин.рез.'!L40</f>
        <v>0</v>
      </c>
      <c r="CJ218" s="38" t="str">
        <f t="shared" si="490"/>
        <v/>
      </c>
      <c r="CK218" s="470" t="str">
        <f t="shared" si="448"/>
        <v/>
      </c>
      <c r="CL218" s="470" t="str">
        <f t="shared" si="449"/>
        <v/>
      </c>
      <c r="CM218" s="344"/>
      <c r="CN218" s="38" t="str">
        <f t="shared" si="491"/>
        <v/>
      </c>
      <c r="CO218" s="238">
        <v>0</v>
      </c>
      <c r="CP218" s="38" t="str">
        <f t="shared" si="492"/>
        <v/>
      </c>
      <c r="CQ218" s="496">
        <f>+'Отчет о фин.рез.'!M40</f>
        <v>0</v>
      </c>
      <c r="CR218" s="38" t="str">
        <f t="shared" si="493"/>
        <v/>
      </c>
      <c r="CS218" s="470" t="str">
        <f t="shared" si="450"/>
        <v/>
      </c>
      <c r="CT218" s="470" t="str">
        <f t="shared" si="451"/>
        <v/>
      </c>
      <c r="CU218" s="344">
        <f t="shared" si="426"/>
        <v>0</v>
      </c>
      <c r="CV218" s="38" t="str">
        <f t="shared" si="452"/>
        <v/>
      </c>
      <c r="CW218" s="238">
        <f t="shared" si="427"/>
        <v>1460.7256508</v>
      </c>
      <c r="CX218" s="38">
        <f t="shared" si="453"/>
        <v>1.1015201876092812E-2</v>
      </c>
      <c r="CY218" s="496">
        <f t="shared" si="454"/>
        <v>1088.0987399999999</v>
      </c>
      <c r="CZ218" s="38">
        <f t="shared" si="455"/>
        <v>2.1933476601573486E-2</v>
      </c>
      <c r="DA218" s="470">
        <f t="shared" si="456"/>
        <v>-0.2550971228552894</v>
      </c>
      <c r="DB218" s="470" t="str">
        <f t="shared" si="457"/>
        <v/>
      </c>
    </row>
    <row r="219" spans="1:106" s="103" customFormat="1" ht="13.15" customHeight="1" collapsed="1">
      <c r="B219" s="107" t="str">
        <f>+'Отчет о фин.рез.'!A41</f>
        <v>Налоги</v>
      </c>
      <c r="C219" s="238"/>
      <c r="D219" s="54" t="str">
        <f t="shared" si="458"/>
        <v/>
      </c>
      <c r="E219" s="238"/>
      <c r="F219" s="54" t="str">
        <f t="shared" si="459"/>
        <v/>
      </c>
      <c r="G219" s="496">
        <f>+'Отчет о фин.рез.'!B41</f>
        <v>0</v>
      </c>
      <c r="H219" s="38" t="str">
        <f t="shared" si="460"/>
        <v/>
      </c>
      <c r="I219" s="470" t="str">
        <f t="shared" si="428"/>
        <v/>
      </c>
      <c r="J219" s="470" t="str">
        <f t="shared" si="429"/>
        <v/>
      </c>
      <c r="K219" s="238"/>
      <c r="L219" s="54" t="str">
        <f t="shared" si="461"/>
        <v/>
      </c>
      <c r="M219" s="238"/>
      <c r="N219" s="54" t="str">
        <f t="shared" si="462"/>
        <v/>
      </c>
      <c r="O219" s="496">
        <f>+'Отчет о фин.рез.'!C41</f>
        <v>0</v>
      </c>
      <c r="P219" s="38" t="str">
        <f t="shared" si="463"/>
        <v/>
      </c>
      <c r="Q219" s="470" t="str">
        <f t="shared" si="430"/>
        <v/>
      </c>
      <c r="R219" s="470" t="str">
        <f t="shared" si="431"/>
        <v/>
      </c>
      <c r="S219" s="238"/>
      <c r="T219" s="54" t="str">
        <f t="shared" si="464"/>
        <v/>
      </c>
      <c r="U219" s="238">
        <v>0</v>
      </c>
      <c r="V219" s="54" t="str">
        <f t="shared" si="465"/>
        <v/>
      </c>
      <c r="W219" s="496">
        <f>+'Отчет о фин.рез.'!D41</f>
        <v>95.476760000000013</v>
      </c>
      <c r="X219" s="38">
        <f t="shared" si="466"/>
        <v>1.6100905580195286E-2</v>
      </c>
      <c r="Y219" s="470" t="str">
        <f t="shared" si="432"/>
        <v/>
      </c>
      <c r="Z219" s="470" t="str">
        <f t="shared" si="433"/>
        <v/>
      </c>
      <c r="AA219" s="238"/>
      <c r="AB219" s="54" t="str">
        <f t="shared" si="467"/>
        <v/>
      </c>
      <c r="AC219" s="238">
        <v>136.7184</v>
      </c>
      <c r="AD219" s="54">
        <f t="shared" si="468"/>
        <v>0.01</v>
      </c>
      <c r="AE219" s="496">
        <f>+'Отчет о фин.рез.'!E41</f>
        <v>342.82981000000001</v>
      </c>
      <c r="AF219" s="38">
        <f t="shared" si="469"/>
        <v>2.4999986144736457E-2</v>
      </c>
      <c r="AG219" s="470">
        <f t="shared" si="434"/>
        <v>1.5075616010719846</v>
      </c>
      <c r="AH219" s="470" t="str">
        <f t="shared" si="435"/>
        <v/>
      </c>
      <c r="AI219" s="238"/>
      <c r="AJ219" s="54" t="str">
        <f t="shared" si="470"/>
        <v/>
      </c>
      <c r="AK219" s="238">
        <v>139.72</v>
      </c>
      <c r="AL219" s="54">
        <f t="shared" si="471"/>
        <v>0.01</v>
      </c>
      <c r="AM219" s="496">
        <f>+'Отчет о фин.рез.'!F41</f>
        <v>316.95729999999998</v>
      </c>
      <c r="AN219" s="38">
        <f t="shared" si="472"/>
        <v>2.0172186762335169E-2</v>
      </c>
      <c r="AO219" s="470">
        <f t="shared" si="436"/>
        <v>1.2685177497852846</v>
      </c>
      <c r="AP219" s="470" t="str">
        <f t="shared" si="437"/>
        <v/>
      </c>
      <c r="AQ219" s="344"/>
      <c r="AR219" s="54" t="str">
        <f t="shared" si="473"/>
        <v/>
      </c>
      <c r="AS219" s="238">
        <v>382</v>
      </c>
      <c r="AT219" s="54">
        <f t="shared" si="474"/>
        <v>2.5331564986737401E-2</v>
      </c>
      <c r="AU219" s="496">
        <f>+'Отчет о фин.рез.'!G41</f>
        <v>362.16699999999997</v>
      </c>
      <c r="AV219" s="38">
        <f t="shared" si="475"/>
        <v>2.5409252883760454E-2</v>
      </c>
      <c r="AW219" s="470">
        <f t="shared" si="438"/>
        <v>-5.1918848167539333E-2</v>
      </c>
      <c r="AX219" s="470" t="str">
        <f t="shared" si="439"/>
        <v/>
      </c>
      <c r="AY219" s="344"/>
      <c r="AZ219" s="54" t="str">
        <f t="shared" si="476"/>
        <v/>
      </c>
      <c r="BA219" s="238">
        <v>388</v>
      </c>
      <c r="BB219" s="54">
        <f t="shared" si="477"/>
        <v>2.4764640178713899E-2</v>
      </c>
      <c r="BC219" s="496">
        <f>+'Отчет о фин.рез.'!H41</f>
        <v>0</v>
      </c>
      <c r="BD219" s="38" t="str">
        <f t="shared" si="478"/>
        <v/>
      </c>
      <c r="BE219" s="470">
        <f t="shared" si="440"/>
        <v>-1</v>
      </c>
      <c r="BF219" s="470" t="str">
        <f t="shared" si="441"/>
        <v/>
      </c>
      <c r="BG219" s="344"/>
      <c r="BH219" s="54" t="str">
        <f t="shared" si="479"/>
        <v/>
      </c>
      <c r="BI219" s="238">
        <v>389</v>
      </c>
      <c r="BJ219" s="54">
        <f t="shared" si="480"/>
        <v>2.4828466570927077E-2</v>
      </c>
      <c r="BK219" s="496">
        <f>+'Отчет о фин.рез.'!I41</f>
        <v>0</v>
      </c>
      <c r="BL219" s="38" t="str">
        <f t="shared" si="481"/>
        <v/>
      </c>
      <c r="BM219" s="470">
        <f t="shared" si="442"/>
        <v>-1</v>
      </c>
      <c r="BN219" s="470" t="str">
        <f t="shared" si="443"/>
        <v/>
      </c>
      <c r="BO219" s="344"/>
      <c r="BP219" s="54" t="str">
        <f t="shared" si="482"/>
        <v/>
      </c>
      <c r="BQ219" s="238">
        <v>374</v>
      </c>
      <c r="BR219" s="54">
        <f t="shared" si="483"/>
        <v>2.5828729281767954E-2</v>
      </c>
      <c r="BS219" s="496">
        <f>+'Отчет о фин.рез.'!J41</f>
        <v>0</v>
      </c>
      <c r="BT219" s="38" t="str">
        <f t="shared" si="484"/>
        <v/>
      </c>
      <c r="BU219" s="470">
        <f t="shared" si="444"/>
        <v>-1</v>
      </c>
      <c r="BV219" s="470" t="str">
        <f t="shared" si="445"/>
        <v/>
      </c>
      <c r="BW219" s="344"/>
      <c r="BX219" s="54" t="str">
        <f t="shared" si="485"/>
        <v/>
      </c>
      <c r="BY219" s="238">
        <v>422.52092109356391</v>
      </c>
      <c r="BZ219" s="54">
        <f t="shared" si="486"/>
        <v>2.9999999999999992E-2</v>
      </c>
      <c r="CA219" s="496">
        <f>+'Отчет о фин.рез.'!K41</f>
        <v>0</v>
      </c>
      <c r="CB219" s="38" t="str">
        <f t="shared" si="487"/>
        <v/>
      </c>
      <c r="CC219" s="470">
        <f t="shared" si="446"/>
        <v>-1</v>
      </c>
      <c r="CD219" s="470" t="str">
        <f t="shared" si="447"/>
        <v/>
      </c>
      <c r="CE219" s="344"/>
      <c r="CF219" s="54" t="str">
        <f t="shared" si="488"/>
        <v/>
      </c>
      <c r="CG219" s="238">
        <v>436.23073284701633</v>
      </c>
      <c r="CH219" s="54">
        <f t="shared" si="489"/>
        <v>2.9999999999999992E-2</v>
      </c>
      <c r="CI219" s="496">
        <f>+'Отчет о фин.рез.'!L41</f>
        <v>0</v>
      </c>
      <c r="CJ219" s="38" t="str">
        <f t="shared" si="490"/>
        <v/>
      </c>
      <c r="CK219" s="470">
        <f t="shared" si="448"/>
        <v>-1</v>
      </c>
      <c r="CL219" s="470" t="str">
        <f t="shared" si="449"/>
        <v/>
      </c>
      <c r="CM219" s="344"/>
      <c r="CN219" s="54" t="str">
        <f t="shared" si="491"/>
        <v/>
      </c>
      <c r="CO219" s="238">
        <v>463.38241074288823</v>
      </c>
      <c r="CP219" s="54">
        <f t="shared" si="492"/>
        <v>3.0000000000000006E-2</v>
      </c>
      <c r="CQ219" s="496">
        <f>+'Отчет о фин.рез.'!M41</f>
        <v>0</v>
      </c>
      <c r="CR219" s="38" t="str">
        <f t="shared" si="493"/>
        <v/>
      </c>
      <c r="CS219" s="470">
        <f t="shared" si="450"/>
        <v>-1</v>
      </c>
      <c r="CT219" s="470" t="str">
        <f t="shared" si="451"/>
        <v/>
      </c>
      <c r="CU219" s="344">
        <f t="shared" si="426"/>
        <v>0</v>
      </c>
      <c r="CV219" s="54" t="str">
        <f t="shared" si="452"/>
        <v/>
      </c>
      <c r="CW219" s="238">
        <f t="shared" si="427"/>
        <v>3131.5724646834688</v>
      </c>
      <c r="CX219" s="54">
        <f t="shared" si="453"/>
        <v>2.3614908705964058E-2</v>
      </c>
      <c r="CY219" s="496">
        <f t="shared" si="454"/>
        <v>1117.4308699999999</v>
      </c>
      <c r="CZ219" s="38">
        <f t="shared" si="455"/>
        <v>2.2524742415399642E-2</v>
      </c>
      <c r="DA219" s="470">
        <f t="shared" si="456"/>
        <v>-0.64317259696146079</v>
      </c>
      <c r="DB219" s="470" t="str">
        <f t="shared" si="457"/>
        <v/>
      </c>
    </row>
    <row r="220" spans="1:106" s="92" customFormat="1" ht="13.15" customHeight="1">
      <c r="B220" s="107" t="str">
        <f>+'Отчет о фин.рез.'!A42</f>
        <v>Амортизация имущества</v>
      </c>
      <c r="C220" s="238"/>
      <c r="D220" s="54" t="str">
        <f t="shared" si="458"/>
        <v/>
      </c>
      <c r="E220" s="238"/>
      <c r="F220" s="54" t="str">
        <f t="shared" si="459"/>
        <v/>
      </c>
      <c r="G220" s="496">
        <f>+'Отчет о фин.рез.'!B42</f>
        <v>0</v>
      </c>
      <c r="H220" s="38" t="str">
        <f t="shared" si="460"/>
        <v/>
      </c>
      <c r="I220" s="470" t="str">
        <f t="shared" si="428"/>
        <v/>
      </c>
      <c r="J220" s="470" t="str">
        <f t="shared" si="429"/>
        <v/>
      </c>
      <c r="K220" s="238"/>
      <c r="L220" s="54" t="str">
        <f t="shared" si="461"/>
        <v/>
      </c>
      <c r="M220" s="238"/>
      <c r="N220" s="54" t="str">
        <f t="shared" si="462"/>
        <v/>
      </c>
      <c r="O220" s="496">
        <f>+'Отчет о фин.рез.'!C42</f>
        <v>0</v>
      </c>
      <c r="P220" s="38" t="str">
        <f t="shared" si="463"/>
        <v/>
      </c>
      <c r="Q220" s="470" t="str">
        <f t="shared" si="430"/>
        <v/>
      </c>
      <c r="R220" s="470" t="str">
        <f t="shared" si="431"/>
        <v/>
      </c>
      <c r="S220" s="238"/>
      <c r="T220" s="54" t="str">
        <f t="shared" si="464"/>
        <v/>
      </c>
      <c r="U220" s="238"/>
      <c r="V220" s="54" t="str">
        <f t="shared" si="465"/>
        <v/>
      </c>
      <c r="W220" s="496">
        <f>+'Отчет о фин.рез.'!D42</f>
        <v>0</v>
      </c>
      <c r="X220" s="38" t="str">
        <f t="shared" si="466"/>
        <v/>
      </c>
      <c r="Y220" s="470" t="str">
        <f t="shared" si="432"/>
        <v/>
      </c>
      <c r="Z220" s="470" t="str">
        <f t="shared" si="433"/>
        <v/>
      </c>
      <c r="AA220" s="238"/>
      <c r="AB220" s="54" t="str">
        <f t="shared" si="467"/>
        <v/>
      </c>
      <c r="AC220" s="238"/>
      <c r="AD220" s="54" t="str">
        <f t="shared" si="468"/>
        <v/>
      </c>
      <c r="AE220" s="496">
        <f>+'Отчет о фин.рез.'!E42</f>
        <v>0</v>
      </c>
      <c r="AF220" s="38" t="str">
        <f t="shared" si="469"/>
        <v/>
      </c>
      <c r="AG220" s="470" t="str">
        <f t="shared" si="434"/>
        <v/>
      </c>
      <c r="AH220" s="470" t="str">
        <f t="shared" si="435"/>
        <v/>
      </c>
      <c r="AI220" s="238"/>
      <c r="AJ220" s="54" t="str">
        <f t="shared" si="470"/>
        <v/>
      </c>
      <c r="AK220" s="238"/>
      <c r="AL220" s="54" t="str">
        <f t="shared" si="471"/>
        <v/>
      </c>
      <c r="AM220" s="496">
        <f>+'Отчет о фин.рез.'!F42</f>
        <v>0</v>
      </c>
      <c r="AN220" s="38" t="str">
        <f t="shared" si="472"/>
        <v/>
      </c>
      <c r="AO220" s="470" t="str">
        <f t="shared" si="436"/>
        <v/>
      </c>
      <c r="AP220" s="470" t="str">
        <f t="shared" si="437"/>
        <v/>
      </c>
      <c r="AQ220" s="344"/>
      <c r="AR220" s="54" t="str">
        <f t="shared" si="473"/>
        <v/>
      </c>
      <c r="AS220" s="238"/>
      <c r="AT220" s="54" t="str">
        <f t="shared" si="474"/>
        <v/>
      </c>
      <c r="AU220" s="496">
        <f>+'Отчет о фин.рез.'!G42</f>
        <v>0</v>
      </c>
      <c r="AV220" s="38" t="str">
        <f t="shared" si="475"/>
        <v/>
      </c>
      <c r="AW220" s="470" t="str">
        <f t="shared" si="438"/>
        <v/>
      </c>
      <c r="AX220" s="470" t="str">
        <f t="shared" si="439"/>
        <v/>
      </c>
      <c r="AY220" s="344"/>
      <c r="AZ220" s="54" t="str">
        <f t="shared" si="476"/>
        <v/>
      </c>
      <c r="BA220" s="238"/>
      <c r="BB220" s="54" t="str">
        <f t="shared" si="477"/>
        <v/>
      </c>
      <c r="BC220" s="496">
        <f>+'Отчет о фин.рез.'!H42</f>
        <v>0</v>
      </c>
      <c r="BD220" s="38" t="str">
        <f t="shared" si="478"/>
        <v/>
      </c>
      <c r="BE220" s="470" t="str">
        <f t="shared" si="440"/>
        <v/>
      </c>
      <c r="BF220" s="470" t="str">
        <f t="shared" si="441"/>
        <v/>
      </c>
      <c r="BG220" s="344"/>
      <c r="BH220" s="54" t="str">
        <f t="shared" si="479"/>
        <v/>
      </c>
      <c r="BI220" s="238"/>
      <c r="BJ220" s="54" t="str">
        <f t="shared" si="480"/>
        <v/>
      </c>
      <c r="BK220" s="496">
        <f>+'Отчет о фин.рез.'!I42</f>
        <v>0</v>
      </c>
      <c r="BL220" s="38" t="str">
        <f t="shared" si="481"/>
        <v/>
      </c>
      <c r="BM220" s="470" t="str">
        <f t="shared" si="442"/>
        <v/>
      </c>
      <c r="BN220" s="470" t="str">
        <f t="shared" si="443"/>
        <v/>
      </c>
      <c r="BO220" s="344"/>
      <c r="BP220" s="54" t="str">
        <f t="shared" si="482"/>
        <v/>
      </c>
      <c r="BQ220" s="238"/>
      <c r="BR220" s="54" t="str">
        <f t="shared" si="483"/>
        <v/>
      </c>
      <c r="BS220" s="496">
        <f>+'Отчет о фин.рез.'!J42</f>
        <v>0</v>
      </c>
      <c r="BT220" s="38" t="str">
        <f t="shared" si="484"/>
        <v/>
      </c>
      <c r="BU220" s="470" t="str">
        <f t="shared" si="444"/>
        <v/>
      </c>
      <c r="BV220" s="470" t="str">
        <f t="shared" si="445"/>
        <v/>
      </c>
      <c r="BW220" s="344"/>
      <c r="BX220" s="54" t="str">
        <f t="shared" si="485"/>
        <v/>
      </c>
      <c r="BY220" s="238"/>
      <c r="BZ220" s="54" t="str">
        <f t="shared" si="486"/>
        <v/>
      </c>
      <c r="CA220" s="496">
        <f>+'Отчет о фин.рез.'!K42</f>
        <v>0</v>
      </c>
      <c r="CB220" s="38" t="str">
        <f t="shared" si="487"/>
        <v/>
      </c>
      <c r="CC220" s="470" t="str">
        <f t="shared" si="446"/>
        <v/>
      </c>
      <c r="CD220" s="470" t="str">
        <f t="shared" si="447"/>
        <v/>
      </c>
      <c r="CE220" s="344"/>
      <c r="CF220" s="54" t="str">
        <f t="shared" si="488"/>
        <v/>
      </c>
      <c r="CG220" s="238"/>
      <c r="CH220" s="54" t="str">
        <f t="shared" si="489"/>
        <v/>
      </c>
      <c r="CI220" s="496">
        <f>+'Отчет о фин.рез.'!L42</f>
        <v>0</v>
      </c>
      <c r="CJ220" s="38" t="str">
        <f t="shared" si="490"/>
        <v/>
      </c>
      <c r="CK220" s="470" t="str">
        <f t="shared" si="448"/>
        <v/>
      </c>
      <c r="CL220" s="470" t="str">
        <f t="shared" si="449"/>
        <v/>
      </c>
      <c r="CM220" s="344"/>
      <c r="CN220" s="54" t="str">
        <f t="shared" si="491"/>
        <v/>
      </c>
      <c r="CO220" s="238"/>
      <c r="CP220" s="54" t="str">
        <f t="shared" si="492"/>
        <v/>
      </c>
      <c r="CQ220" s="496">
        <f>+'Отчет о фин.рез.'!M42</f>
        <v>0</v>
      </c>
      <c r="CR220" s="38" t="str">
        <f t="shared" si="493"/>
        <v/>
      </c>
      <c r="CS220" s="470" t="str">
        <f t="shared" si="450"/>
        <v/>
      </c>
      <c r="CT220" s="470" t="str">
        <f t="shared" si="451"/>
        <v/>
      </c>
      <c r="CU220" s="344">
        <f t="shared" si="426"/>
        <v>0</v>
      </c>
      <c r="CV220" s="54" t="str">
        <f t="shared" si="452"/>
        <v/>
      </c>
      <c r="CW220" s="238">
        <f t="shared" si="427"/>
        <v>0</v>
      </c>
      <c r="CX220" s="54">
        <f t="shared" si="453"/>
        <v>0</v>
      </c>
      <c r="CY220" s="496">
        <f t="shared" si="454"/>
        <v>0</v>
      </c>
      <c r="CZ220" s="38">
        <f t="shared" si="455"/>
        <v>0</v>
      </c>
      <c r="DA220" s="470" t="str">
        <f t="shared" si="456"/>
        <v/>
      </c>
      <c r="DB220" s="470" t="str">
        <f t="shared" si="457"/>
        <v/>
      </c>
    </row>
    <row r="221" spans="1:106" s="92" customFormat="1" ht="13.15" customHeight="1">
      <c r="B221" s="107" t="str">
        <f>+'Отчет о фин.рез.'!A43</f>
        <v>Благотворительность</v>
      </c>
      <c r="C221" s="238"/>
      <c r="D221" s="54" t="str">
        <f t="shared" si="458"/>
        <v/>
      </c>
      <c r="E221" s="238"/>
      <c r="F221" s="54" t="str">
        <f t="shared" si="459"/>
        <v/>
      </c>
      <c r="G221" s="496">
        <f>+'Отчет о фин.рез.'!B43</f>
        <v>0</v>
      </c>
      <c r="H221" s="38" t="str">
        <f t="shared" si="460"/>
        <v/>
      </c>
      <c r="I221" s="470" t="str">
        <f t="shared" si="428"/>
        <v/>
      </c>
      <c r="J221" s="470" t="str">
        <f t="shared" si="429"/>
        <v/>
      </c>
      <c r="K221" s="238"/>
      <c r="L221" s="54" t="str">
        <f t="shared" si="461"/>
        <v/>
      </c>
      <c r="M221" s="238"/>
      <c r="N221" s="54" t="str">
        <f t="shared" si="462"/>
        <v/>
      </c>
      <c r="O221" s="496">
        <f>+'Отчет о фин.рез.'!C43</f>
        <v>0</v>
      </c>
      <c r="P221" s="38" t="str">
        <f t="shared" si="463"/>
        <v/>
      </c>
      <c r="Q221" s="470" t="str">
        <f t="shared" si="430"/>
        <v/>
      </c>
      <c r="R221" s="470" t="str">
        <f t="shared" si="431"/>
        <v/>
      </c>
      <c r="S221" s="238"/>
      <c r="T221" s="54" t="str">
        <f t="shared" si="464"/>
        <v/>
      </c>
      <c r="U221" s="238"/>
      <c r="V221" s="54" t="str">
        <f t="shared" si="465"/>
        <v/>
      </c>
      <c r="W221" s="496">
        <f>+'Отчет о фин.рез.'!D43</f>
        <v>0</v>
      </c>
      <c r="X221" s="38" t="str">
        <f t="shared" si="466"/>
        <v/>
      </c>
      <c r="Y221" s="470" t="str">
        <f t="shared" si="432"/>
        <v/>
      </c>
      <c r="Z221" s="470" t="str">
        <f t="shared" si="433"/>
        <v/>
      </c>
      <c r="AA221" s="238"/>
      <c r="AB221" s="54" t="str">
        <f t="shared" si="467"/>
        <v/>
      </c>
      <c r="AC221" s="238"/>
      <c r="AD221" s="54" t="str">
        <f t="shared" si="468"/>
        <v/>
      </c>
      <c r="AE221" s="496">
        <f>+'Отчет о фин.рез.'!E43</f>
        <v>0</v>
      </c>
      <c r="AF221" s="38" t="str">
        <f t="shared" si="469"/>
        <v/>
      </c>
      <c r="AG221" s="470" t="str">
        <f t="shared" si="434"/>
        <v/>
      </c>
      <c r="AH221" s="470" t="str">
        <f t="shared" si="435"/>
        <v/>
      </c>
      <c r="AI221" s="238"/>
      <c r="AJ221" s="54" t="str">
        <f t="shared" si="470"/>
        <v/>
      </c>
      <c r="AK221" s="238"/>
      <c r="AL221" s="54" t="str">
        <f t="shared" si="471"/>
        <v/>
      </c>
      <c r="AM221" s="496">
        <f>+'Отчет о фин.рез.'!F43</f>
        <v>0</v>
      </c>
      <c r="AN221" s="38" t="str">
        <f t="shared" si="472"/>
        <v/>
      </c>
      <c r="AO221" s="470" t="str">
        <f t="shared" si="436"/>
        <v/>
      </c>
      <c r="AP221" s="470" t="str">
        <f t="shared" si="437"/>
        <v/>
      </c>
      <c r="AQ221" s="344"/>
      <c r="AR221" s="54" t="str">
        <f t="shared" si="473"/>
        <v/>
      </c>
      <c r="AS221" s="238"/>
      <c r="AT221" s="54" t="str">
        <f t="shared" si="474"/>
        <v/>
      </c>
      <c r="AU221" s="496">
        <f>+'Отчет о фин.рез.'!G43</f>
        <v>0</v>
      </c>
      <c r="AV221" s="38" t="str">
        <f t="shared" si="475"/>
        <v/>
      </c>
      <c r="AW221" s="470" t="str">
        <f t="shared" si="438"/>
        <v/>
      </c>
      <c r="AX221" s="470" t="str">
        <f t="shared" si="439"/>
        <v/>
      </c>
      <c r="AY221" s="344"/>
      <c r="AZ221" s="54" t="str">
        <f t="shared" si="476"/>
        <v/>
      </c>
      <c r="BA221" s="238"/>
      <c r="BB221" s="54" t="str">
        <f t="shared" si="477"/>
        <v/>
      </c>
      <c r="BC221" s="496">
        <f>+'Отчет о фин.рез.'!H43</f>
        <v>0</v>
      </c>
      <c r="BD221" s="38" t="str">
        <f t="shared" si="478"/>
        <v/>
      </c>
      <c r="BE221" s="470" t="str">
        <f t="shared" si="440"/>
        <v/>
      </c>
      <c r="BF221" s="470" t="str">
        <f t="shared" si="441"/>
        <v/>
      </c>
      <c r="BG221" s="344"/>
      <c r="BH221" s="54" t="str">
        <f t="shared" si="479"/>
        <v/>
      </c>
      <c r="BI221" s="238"/>
      <c r="BJ221" s="54" t="str">
        <f t="shared" si="480"/>
        <v/>
      </c>
      <c r="BK221" s="496">
        <f>+'Отчет о фин.рез.'!I43</f>
        <v>0</v>
      </c>
      <c r="BL221" s="38" t="str">
        <f t="shared" si="481"/>
        <v/>
      </c>
      <c r="BM221" s="470" t="str">
        <f t="shared" si="442"/>
        <v/>
      </c>
      <c r="BN221" s="470" t="str">
        <f t="shared" si="443"/>
        <v/>
      </c>
      <c r="BO221" s="344"/>
      <c r="BP221" s="54" t="str">
        <f t="shared" si="482"/>
        <v/>
      </c>
      <c r="BQ221" s="238"/>
      <c r="BR221" s="54" t="str">
        <f t="shared" si="483"/>
        <v/>
      </c>
      <c r="BS221" s="496">
        <f>+'Отчет о фин.рез.'!J43</f>
        <v>0</v>
      </c>
      <c r="BT221" s="38" t="str">
        <f t="shared" si="484"/>
        <v/>
      </c>
      <c r="BU221" s="470" t="str">
        <f t="shared" si="444"/>
        <v/>
      </c>
      <c r="BV221" s="470" t="str">
        <f t="shared" si="445"/>
        <v/>
      </c>
      <c r="BW221" s="344"/>
      <c r="BX221" s="54" t="str">
        <f t="shared" si="485"/>
        <v/>
      </c>
      <c r="BY221" s="238"/>
      <c r="BZ221" s="54" t="str">
        <f t="shared" si="486"/>
        <v/>
      </c>
      <c r="CA221" s="496">
        <f>+'Отчет о фин.рез.'!K43</f>
        <v>0</v>
      </c>
      <c r="CB221" s="38" t="str">
        <f t="shared" si="487"/>
        <v/>
      </c>
      <c r="CC221" s="470" t="str">
        <f t="shared" si="446"/>
        <v/>
      </c>
      <c r="CD221" s="470" t="str">
        <f t="shared" si="447"/>
        <v/>
      </c>
      <c r="CE221" s="344"/>
      <c r="CF221" s="54" t="str">
        <f t="shared" si="488"/>
        <v/>
      </c>
      <c r="CG221" s="238"/>
      <c r="CH221" s="54" t="str">
        <f t="shared" si="489"/>
        <v/>
      </c>
      <c r="CI221" s="496">
        <f>+'Отчет о фин.рез.'!L43</f>
        <v>0</v>
      </c>
      <c r="CJ221" s="38" t="str">
        <f t="shared" si="490"/>
        <v/>
      </c>
      <c r="CK221" s="470" t="str">
        <f t="shared" si="448"/>
        <v/>
      </c>
      <c r="CL221" s="470" t="str">
        <f t="shared" si="449"/>
        <v/>
      </c>
      <c r="CM221" s="344"/>
      <c r="CN221" s="54" t="str">
        <f t="shared" si="491"/>
        <v/>
      </c>
      <c r="CO221" s="238"/>
      <c r="CP221" s="54" t="str">
        <f t="shared" si="492"/>
        <v/>
      </c>
      <c r="CQ221" s="496">
        <f>+'Отчет о фин.рез.'!M43</f>
        <v>0</v>
      </c>
      <c r="CR221" s="38" t="str">
        <f t="shared" si="493"/>
        <v/>
      </c>
      <c r="CS221" s="470" t="str">
        <f t="shared" si="450"/>
        <v/>
      </c>
      <c r="CT221" s="470" t="str">
        <f t="shared" si="451"/>
        <v/>
      </c>
      <c r="CU221" s="344">
        <f t="shared" si="426"/>
        <v>0</v>
      </c>
      <c r="CV221" s="54" t="str">
        <f t="shared" si="452"/>
        <v/>
      </c>
      <c r="CW221" s="238">
        <f t="shared" si="427"/>
        <v>0</v>
      </c>
      <c r="CX221" s="54">
        <f t="shared" si="453"/>
        <v>0</v>
      </c>
      <c r="CY221" s="496">
        <f t="shared" si="454"/>
        <v>0</v>
      </c>
      <c r="CZ221" s="38">
        <f t="shared" si="455"/>
        <v>0</v>
      </c>
      <c r="DA221" s="470" t="str">
        <f t="shared" si="456"/>
        <v/>
      </c>
      <c r="DB221" s="470" t="str">
        <f t="shared" si="457"/>
        <v/>
      </c>
    </row>
    <row r="222" spans="1:106" s="92" customFormat="1" ht="13.15" customHeight="1">
      <c r="B222" s="107" t="str">
        <f>+'Отчет о фин.рез.'!A44</f>
        <v>Инвестиционные проекты</v>
      </c>
      <c r="C222" s="238"/>
      <c r="D222" s="54" t="str">
        <f t="shared" si="458"/>
        <v/>
      </c>
      <c r="E222" s="238"/>
      <c r="F222" s="54" t="str">
        <f t="shared" si="459"/>
        <v/>
      </c>
      <c r="G222" s="496">
        <f>+'Отчет о фин.рез.'!B44</f>
        <v>0</v>
      </c>
      <c r="H222" s="38" t="str">
        <f t="shared" si="460"/>
        <v/>
      </c>
      <c r="I222" s="470" t="str">
        <f t="shared" si="428"/>
        <v/>
      </c>
      <c r="J222" s="470" t="str">
        <f t="shared" si="429"/>
        <v/>
      </c>
      <c r="K222" s="238"/>
      <c r="L222" s="54" t="str">
        <f t="shared" si="461"/>
        <v/>
      </c>
      <c r="M222" s="238"/>
      <c r="N222" s="54" t="str">
        <f t="shared" si="462"/>
        <v/>
      </c>
      <c r="O222" s="496">
        <f>+'Отчет о фин.рез.'!C44</f>
        <v>0</v>
      </c>
      <c r="P222" s="38" t="str">
        <f t="shared" si="463"/>
        <v/>
      </c>
      <c r="Q222" s="470" t="str">
        <f t="shared" si="430"/>
        <v/>
      </c>
      <c r="R222" s="470" t="str">
        <f t="shared" si="431"/>
        <v/>
      </c>
      <c r="S222" s="238"/>
      <c r="T222" s="54" t="str">
        <f t="shared" si="464"/>
        <v/>
      </c>
      <c r="U222" s="238"/>
      <c r="V222" s="54" t="str">
        <f t="shared" si="465"/>
        <v/>
      </c>
      <c r="W222" s="496">
        <f>+'Отчет о фин.рез.'!D44</f>
        <v>0</v>
      </c>
      <c r="X222" s="38" t="str">
        <f t="shared" si="466"/>
        <v/>
      </c>
      <c r="Y222" s="470" t="str">
        <f t="shared" si="432"/>
        <v/>
      </c>
      <c r="Z222" s="470" t="str">
        <f t="shared" si="433"/>
        <v/>
      </c>
      <c r="AA222" s="238"/>
      <c r="AB222" s="54" t="str">
        <f t="shared" si="467"/>
        <v/>
      </c>
      <c r="AC222" s="238"/>
      <c r="AD222" s="54" t="str">
        <f t="shared" si="468"/>
        <v/>
      </c>
      <c r="AE222" s="496">
        <f>+'Отчет о фин.рез.'!E44</f>
        <v>0</v>
      </c>
      <c r="AF222" s="38" t="str">
        <f t="shared" si="469"/>
        <v/>
      </c>
      <c r="AG222" s="470" t="str">
        <f t="shared" si="434"/>
        <v/>
      </c>
      <c r="AH222" s="470" t="str">
        <f t="shared" si="435"/>
        <v/>
      </c>
      <c r="AI222" s="238"/>
      <c r="AJ222" s="54" t="str">
        <f t="shared" si="470"/>
        <v/>
      </c>
      <c r="AK222" s="238"/>
      <c r="AL222" s="54" t="str">
        <f t="shared" si="471"/>
        <v/>
      </c>
      <c r="AM222" s="496">
        <f>+'Отчет о фин.рез.'!F44</f>
        <v>0</v>
      </c>
      <c r="AN222" s="38" t="str">
        <f t="shared" si="472"/>
        <v/>
      </c>
      <c r="AO222" s="470" t="str">
        <f t="shared" si="436"/>
        <v/>
      </c>
      <c r="AP222" s="470" t="str">
        <f t="shared" si="437"/>
        <v/>
      </c>
      <c r="AQ222" s="344"/>
      <c r="AR222" s="54" t="str">
        <f t="shared" si="473"/>
        <v/>
      </c>
      <c r="AS222" s="238"/>
      <c r="AT222" s="54" t="str">
        <f t="shared" si="474"/>
        <v/>
      </c>
      <c r="AU222" s="496">
        <f>+'Отчет о фин.рез.'!G44</f>
        <v>0</v>
      </c>
      <c r="AV222" s="38" t="str">
        <f t="shared" si="475"/>
        <v/>
      </c>
      <c r="AW222" s="470" t="str">
        <f t="shared" si="438"/>
        <v/>
      </c>
      <c r="AX222" s="470" t="str">
        <f t="shared" si="439"/>
        <v/>
      </c>
      <c r="AY222" s="344"/>
      <c r="AZ222" s="54" t="str">
        <f t="shared" si="476"/>
        <v/>
      </c>
      <c r="BA222" s="238"/>
      <c r="BB222" s="54" t="str">
        <f t="shared" si="477"/>
        <v/>
      </c>
      <c r="BC222" s="496">
        <f>+'Отчет о фин.рез.'!H44</f>
        <v>0</v>
      </c>
      <c r="BD222" s="38" t="str">
        <f t="shared" si="478"/>
        <v/>
      </c>
      <c r="BE222" s="470" t="str">
        <f t="shared" si="440"/>
        <v/>
      </c>
      <c r="BF222" s="470" t="str">
        <f t="shared" si="441"/>
        <v/>
      </c>
      <c r="BG222" s="344"/>
      <c r="BH222" s="54" t="str">
        <f t="shared" si="479"/>
        <v/>
      </c>
      <c r="BI222" s="238"/>
      <c r="BJ222" s="54" t="str">
        <f t="shared" si="480"/>
        <v/>
      </c>
      <c r="BK222" s="496">
        <f>+'Отчет о фин.рез.'!I44</f>
        <v>0</v>
      </c>
      <c r="BL222" s="38" t="str">
        <f t="shared" si="481"/>
        <v/>
      </c>
      <c r="BM222" s="470" t="str">
        <f t="shared" si="442"/>
        <v/>
      </c>
      <c r="BN222" s="470" t="str">
        <f t="shared" si="443"/>
        <v/>
      </c>
      <c r="BO222" s="344"/>
      <c r="BP222" s="54" t="str">
        <f t="shared" si="482"/>
        <v/>
      </c>
      <c r="BQ222" s="238"/>
      <c r="BR222" s="54" t="str">
        <f t="shared" si="483"/>
        <v/>
      </c>
      <c r="BS222" s="496">
        <f>+'Отчет о фин.рез.'!J44</f>
        <v>0</v>
      </c>
      <c r="BT222" s="38" t="str">
        <f t="shared" si="484"/>
        <v/>
      </c>
      <c r="BU222" s="470" t="str">
        <f t="shared" si="444"/>
        <v/>
      </c>
      <c r="BV222" s="470" t="str">
        <f t="shared" si="445"/>
        <v/>
      </c>
      <c r="BW222" s="344"/>
      <c r="BX222" s="54" t="str">
        <f t="shared" si="485"/>
        <v/>
      </c>
      <c r="BY222" s="238"/>
      <c r="BZ222" s="54" t="str">
        <f t="shared" si="486"/>
        <v/>
      </c>
      <c r="CA222" s="496">
        <f>+'Отчет о фин.рез.'!K44</f>
        <v>0</v>
      </c>
      <c r="CB222" s="38" t="str">
        <f t="shared" si="487"/>
        <v/>
      </c>
      <c r="CC222" s="470" t="str">
        <f t="shared" si="446"/>
        <v/>
      </c>
      <c r="CD222" s="470" t="str">
        <f t="shared" si="447"/>
        <v/>
      </c>
      <c r="CE222" s="344"/>
      <c r="CF222" s="54" t="str">
        <f t="shared" si="488"/>
        <v/>
      </c>
      <c r="CG222" s="238"/>
      <c r="CH222" s="54" t="str">
        <f t="shared" si="489"/>
        <v/>
      </c>
      <c r="CI222" s="496">
        <f>+'Отчет о фин.рез.'!L44</f>
        <v>0</v>
      </c>
      <c r="CJ222" s="38" t="str">
        <f t="shared" si="490"/>
        <v/>
      </c>
      <c r="CK222" s="470" t="str">
        <f t="shared" si="448"/>
        <v/>
      </c>
      <c r="CL222" s="470" t="str">
        <f t="shared" si="449"/>
        <v/>
      </c>
      <c r="CM222" s="344"/>
      <c r="CN222" s="54" t="str">
        <f t="shared" si="491"/>
        <v/>
      </c>
      <c r="CO222" s="238"/>
      <c r="CP222" s="54" t="str">
        <f t="shared" si="492"/>
        <v/>
      </c>
      <c r="CQ222" s="496">
        <f>+'Отчет о фин.рез.'!M44</f>
        <v>0</v>
      </c>
      <c r="CR222" s="38" t="str">
        <f t="shared" si="493"/>
        <v/>
      </c>
      <c r="CS222" s="470" t="str">
        <f t="shared" si="450"/>
        <v/>
      </c>
      <c r="CT222" s="470" t="str">
        <f t="shared" si="451"/>
        <v/>
      </c>
      <c r="CU222" s="344">
        <f t="shared" si="426"/>
        <v>0</v>
      </c>
      <c r="CV222" s="54" t="str">
        <f t="shared" si="452"/>
        <v/>
      </c>
      <c r="CW222" s="238">
        <f t="shared" si="427"/>
        <v>0</v>
      </c>
      <c r="CX222" s="54">
        <f t="shared" si="453"/>
        <v>0</v>
      </c>
      <c r="CY222" s="496">
        <f t="shared" si="454"/>
        <v>0</v>
      </c>
      <c r="CZ222" s="38">
        <f t="shared" si="455"/>
        <v>0</v>
      </c>
      <c r="DA222" s="470" t="str">
        <f t="shared" si="456"/>
        <v/>
      </c>
      <c r="DB222" s="470" t="str">
        <f t="shared" si="457"/>
        <v/>
      </c>
    </row>
    <row r="223" spans="1:106" s="92" customFormat="1" ht="13.15" customHeight="1">
      <c r="B223" s="107" t="str">
        <f>+'Отчет о фин.рез.'!A45</f>
        <v>Лицензия</v>
      </c>
      <c r="C223" s="238"/>
      <c r="D223" s="54" t="str">
        <f t="shared" si="458"/>
        <v/>
      </c>
      <c r="E223" s="238"/>
      <c r="F223" s="54" t="str">
        <f t="shared" si="459"/>
        <v/>
      </c>
      <c r="G223" s="496">
        <f>+'Отчет о фин.рез.'!B45</f>
        <v>0</v>
      </c>
      <c r="H223" s="38" t="str">
        <f t="shared" si="460"/>
        <v/>
      </c>
      <c r="I223" s="470" t="str">
        <f t="shared" si="428"/>
        <v/>
      </c>
      <c r="J223" s="470" t="str">
        <f t="shared" si="429"/>
        <v/>
      </c>
      <c r="K223" s="238"/>
      <c r="L223" s="54" t="str">
        <f t="shared" si="461"/>
        <v/>
      </c>
      <c r="M223" s="238"/>
      <c r="N223" s="54" t="str">
        <f t="shared" si="462"/>
        <v/>
      </c>
      <c r="O223" s="496">
        <f>+'Отчет о фин.рез.'!C45</f>
        <v>0</v>
      </c>
      <c r="P223" s="38" t="str">
        <f t="shared" si="463"/>
        <v/>
      </c>
      <c r="Q223" s="470" t="str">
        <f t="shared" si="430"/>
        <v/>
      </c>
      <c r="R223" s="470" t="str">
        <f t="shared" si="431"/>
        <v/>
      </c>
      <c r="S223" s="238"/>
      <c r="T223" s="54" t="str">
        <f t="shared" si="464"/>
        <v/>
      </c>
      <c r="U223" s="238"/>
      <c r="V223" s="54" t="str">
        <f t="shared" si="465"/>
        <v/>
      </c>
      <c r="W223" s="496">
        <f>+'Отчет о фин.рез.'!D45</f>
        <v>0</v>
      </c>
      <c r="X223" s="38" t="str">
        <f t="shared" si="466"/>
        <v/>
      </c>
      <c r="Y223" s="470" t="str">
        <f t="shared" si="432"/>
        <v/>
      </c>
      <c r="Z223" s="470" t="str">
        <f t="shared" si="433"/>
        <v/>
      </c>
      <c r="AA223" s="238"/>
      <c r="AB223" s="54" t="str">
        <f t="shared" si="467"/>
        <v/>
      </c>
      <c r="AC223" s="238"/>
      <c r="AD223" s="54" t="str">
        <f t="shared" si="468"/>
        <v/>
      </c>
      <c r="AE223" s="496">
        <f>+'Отчет о фин.рез.'!E45</f>
        <v>12</v>
      </c>
      <c r="AF223" s="38">
        <f t="shared" si="469"/>
        <v>8.7506927631770843E-4</v>
      </c>
      <c r="AG223" s="470" t="str">
        <f t="shared" si="434"/>
        <v/>
      </c>
      <c r="AH223" s="470" t="str">
        <f t="shared" si="435"/>
        <v/>
      </c>
      <c r="AI223" s="238"/>
      <c r="AJ223" s="54" t="str">
        <f t="shared" si="470"/>
        <v/>
      </c>
      <c r="AK223" s="238"/>
      <c r="AL223" s="54" t="str">
        <f t="shared" si="471"/>
        <v/>
      </c>
      <c r="AM223" s="496">
        <f>+'Отчет о фин.рез.'!F45</f>
        <v>13.78</v>
      </c>
      <c r="AN223" s="38">
        <f t="shared" si="472"/>
        <v>8.7700372758405833E-4</v>
      </c>
      <c r="AO223" s="470" t="str">
        <f t="shared" si="436"/>
        <v/>
      </c>
      <c r="AP223" s="470" t="str">
        <f t="shared" si="437"/>
        <v/>
      </c>
      <c r="AQ223" s="344"/>
      <c r="AR223" s="54" t="str">
        <f t="shared" si="473"/>
        <v/>
      </c>
      <c r="AS223" s="238"/>
      <c r="AT223" s="54" t="str">
        <f t="shared" si="474"/>
        <v/>
      </c>
      <c r="AU223" s="496">
        <f>+'Отчет о фин.рез.'!G45</f>
        <v>12.89</v>
      </c>
      <c r="AV223" s="38">
        <f t="shared" si="475"/>
        <v>9.0434873876325643E-4</v>
      </c>
      <c r="AW223" s="470" t="str">
        <f t="shared" si="438"/>
        <v/>
      </c>
      <c r="AX223" s="470" t="str">
        <f t="shared" si="439"/>
        <v/>
      </c>
      <c r="AY223" s="344"/>
      <c r="AZ223" s="54" t="str">
        <f t="shared" si="476"/>
        <v/>
      </c>
      <c r="BA223" s="238"/>
      <c r="BB223" s="54" t="str">
        <f t="shared" si="477"/>
        <v/>
      </c>
      <c r="BC223" s="496">
        <f>+'Отчет о фин.рез.'!H45</f>
        <v>0</v>
      </c>
      <c r="BD223" s="38" t="str">
        <f t="shared" si="478"/>
        <v/>
      </c>
      <c r="BE223" s="470" t="str">
        <f t="shared" si="440"/>
        <v/>
      </c>
      <c r="BF223" s="470" t="str">
        <f t="shared" si="441"/>
        <v/>
      </c>
      <c r="BG223" s="344"/>
      <c r="BH223" s="54" t="str">
        <f t="shared" si="479"/>
        <v/>
      </c>
      <c r="BI223" s="238"/>
      <c r="BJ223" s="54" t="str">
        <f t="shared" si="480"/>
        <v/>
      </c>
      <c r="BK223" s="496">
        <f>+'Отчет о фин.рез.'!I45</f>
        <v>0</v>
      </c>
      <c r="BL223" s="38" t="str">
        <f t="shared" si="481"/>
        <v/>
      </c>
      <c r="BM223" s="470" t="str">
        <f t="shared" si="442"/>
        <v/>
      </c>
      <c r="BN223" s="470" t="str">
        <f t="shared" si="443"/>
        <v/>
      </c>
      <c r="BO223" s="344"/>
      <c r="BP223" s="54" t="str">
        <f t="shared" si="482"/>
        <v/>
      </c>
      <c r="BQ223" s="238"/>
      <c r="BR223" s="54" t="str">
        <f t="shared" si="483"/>
        <v/>
      </c>
      <c r="BS223" s="496">
        <f>+'Отчет о фин.рез.'!J45</f>
        <v>0</v>
      </c>
      <c r="BT223" s="38" t="str">
        <f t="shared" si="484"/>
        <v/>
      </c>
      <c r="BU223" s="470" t="str">
        <f t="shared" si="444"/>
        <v/>
      </c>
      <c r="BV223" s="470" t="str">
        <f t="shared" si="445"/>
        <v/>
      </c>
      <c r="BW223" s="344"/>
      <c r="BX223" s="54" t="str">
        <f t="shared" si="485"/>
        <v/>
      </c>
      <c r="BY223" s="238"/>
      <c r="BZ223" s="54" t="str">
        <f t="shared" si="486"/>
        <v/>
      </c>
      <c r="CA223" s="496">
        <f>+'Отчет о фин.рез.'!K45</f>
        <v>0</v>
      </c>
      <c r="CB223" s="38" t="str">
        <f t="shared" si="487"/>
        <v/>
      </c>
      <c r="CC223" s="470" t="str">
        <f t="shared" si="446"/>
        <v/>
      </c>
      <c r="CD223" s="470" t="str">
        <f t="shared" si="447"/>
        <v/>
      </c>
      <c r="CE223" s="344"/>
      <c r="CF223" s="54" t="str">
        <f t="shared" si="488"/>
        <v/>
      </c>
      <c r="CG223" s="238"/>
      <c r="CH223" s="54" t="str">
        <f t="shared" si="489"/>
        <v/>
      </c>
      <c r="CI223" s="496">
        <f>+'Отчет о фин.рез.'!L45</f>
        <v>0</v>
      </c>
      <c r="CJ223" s="38" t="str">
        <f t="shared" si="490"/>
        <v/>
      </c>
      <c r="CK223" s="470" t="str">
        <f t="shared" si="448"/>
        <v/>
      </c>
      <c r="CL223" s="470" t="str">
        <f t="shared" si="449"/>
        <v/>
      </c>
      <c r="CM223" s="344"/>
      <c r="CN223" s="54" t="str">
        <f t="shared" si="491"/>
        <v/>
      </c>
      <c r="CO223" s="238"/>
      <c r="CP223" s="54" t="str">
        <f t="shared" si="492"/>
        <v/>
      </c>
      <c r="CQ223" s="496">
        <f>+'Отчет о фин.рез.'!M45</f>
        <v>0</v>
      </c>
      <c r="CR223" s="38" t="str">
        <f t="shared" si="493"/>
        <v/>
      </c>
      <c r="CS223" s="470" t="str">
        <f t="shared" si="450"/>
        <v/>
      </c>
      <c r="CT223" s="470" t="str">
        <f t="shared" si="451"/>
        <v/>
      </c>
      <c r="CU223" s="344">
        <f t="shared" si="426"/>
        <v>0</v>
      </c>
      <c r="CV223" s="54" t="str">
        <f t="shared" si="452"/>
        <v/>
      </c>
      <c r="CW223" s="238">
        <f t="shared" si="427"/>
        <v>0</v>
      </c>
      <c r="CX223" s="54">
        <f t="shared" si="453"/>
        <v>0</v>
      </c>
      <c r="CY223" s="496">
        <f t="shared" si="454"/>
        <v>38.67</v>
      </c>
      <c r="CZ223" s="38">
        <f t="shared" si="455"/>
        <v>7.7949501180641647E-4</v>
      </c>
      <c r="DA223" s="470" t="str">
        <f t="shared" si="456"/>
        <v/>
      </c>
      <c r="DB223" s="470" t="str">
        <f t="shared" si="457"/>
        <v/>
      </c>
    </row>
    <row r="224" spans="1:106" s="92" customFormat="1" ht="13.15" customHeight="1">
      <c r="B224" s="107" t="str">
        <f>+'Отчет о фин.рез.'!A46</f>
        <v>Проценты по кредитам*</v>
      </c>
      <c r="C224" s="238"/>
      <c r="D224" s="54" t="str">
        <f t="shared" si="458"/>
        <v/>
      </c>
      <c r="E224" s="238"/>
      <c r="F224" s="54" t="str">
        <f t="shared" si="459"/>
        <v/>
      </c>
      <c r="G224" s="496">
        <f>+'Отчет о фин.рез.'!B46</f>
        <v>0</v>
      </c>
      <c r="H224" s="38" t="str">
        <f t="shared" si="460"/>
        <v/>
      </c>
      <c r="I224" s="470" t="str">
        <f t="shared" si="428"/>
        <v/>
      </c>
      <c r="J224" s="470" t="str">
        <f t="shared" si="429"/>
        <v/>
      </c>
      <c r="K224" s="238"/>
      <c r="L224" s="54" t="str">
        <f t="shared" si="461"/>
        <v/>
      </c>
      <c r="M224" s="238"/>
      <c r="N224" s="54" t="str">
        <f t="shared" si="462"/>
        <v/>
      </c>
      <c r="O224" s="496">
        <f>+'Отчет о фин.рез.'!C46</f>
        <v>0</v>
      </c>
      <c r="P224" s="38" t="str">
        <f t="shared" si="463"/>
        <v/>
      </c>
      <c r="Q224" s="470" t="str">
        <f t="shared" si="430"/>
        <v/>
      </c>
      <c r="R224" s="470" t="str">
        <f t="shared" si="431"/>
        <v/>
      </c>
      <c r="S224" s="238"/>
      <c r="T224" s="54" t="str">
        <f t="shared" si="464"/>
        <v/>
      </c>
      <c r="U224" s="238"/>
      <c r="V224" s="54" t="str">
        <f t="shared" si="465"/>
        <v/>
      </c>
      <c r="W224" s="496">
        <f>+'Отчет о фин.рез.'!D46</f>
        <v>0</v>
      </c>
      <c r="X224" s="38" t="str">
        <f t="shared" si="466"/>
        <v/>
      </c>
      <c r="Y224" s="470" t="str">
        <f t="shared" si="432"/>
        <v/>
      </c>
      <c r="Z224" s="470" t="str">
        <f t="shared" si="433"/>
        <v/>
      </c>
      <c r="AA224" s="238"/>
      <c r="AB224" s="54" t="str">
        <f t="shared" si="467"/>
        <v/>
      </c>
      <c r="AC224" s="238"/>
      <c r="AD224" s="54" t="str">
        <f t="shared" si="468"/>
        <v/>
      </c>
      <c r="AE224" s="496">
        <f>+'Отчет о фин.рез.'!E46</f>
        <v>0</v>
      </c>
      <c r="AF224" s="38" t="str">
        <f t="shared" si="469"/>
        <v/>
      </c>
      <c r="AG224" s="470" t="str">
        <f t="shared" si="434"/>
        <v/>
      </c>
      <c r="AH224" s="470" t="str">
        <f t="shared" si="435"/>
        <v/>
      </c>
      <c r="AI224" s="238"/>
      <c r="AJ224" s="54" t="str">
        <f t="shared" si="470"/>
        <v/>
      </c>
      <c r="AK224" s="238"/>
      <c r="AL224" s="54" t="str">
        <f t="shared" si="471"/>
        <v/>
      </c>
      <c r="AM224" s="496">
        <f>+'Отчет о фин.рез.'!F46</f>
        <v>0</v>
      </c>
      <c r="AN224" s="38" t="str">
        <f t="shared" si="472"/>
        <v/>
      </c>
      <c r="AO224" s="470" t="str">
        <f t="shared" si="436"/>
        <v/>
      </c>
      <c r="AP224" s="470" t="str">
        <f t="shared" si="437"/>
        <v/>
      </c>
      <c r="AQ224" s="344"/>
      <c r="AR224" s="54" t="str">
        <f t="shared" si="473"/>
        <v/>
      </c>
      <c r="AS224" s="238"/>
      <c r="AT224" s="54" t="str">
        <f t="shared" si="474"/>
        <v/>
      </c>
      <c r="AU224" s="496">
        <f>+'Отчет о фин.рез.'!G46</f>
        <v>96.885000000000005</v>
      </c>
      <c r="AV224" s="38">
        <f t="shared" si="475"/>
        <v>6.7973489181596663E-3</v>
      </c>
      <c r="AW224" s="470" t="str">
        <f t="shared" si="438"/>
        <v/>
      </c>
      <c r="AX224" s="470" t="str">
        <f t="shared" si="439"/>
        <v/>
      </c>
      <c r="AY224" s="344"/>
      <c r="AZ224" s="54" t="str">
        <f t="shared" si="476"/>
        <v/>
      </c>
      <c r="BA224" s="238"/>
      <c r="BB224" s="54" t="str">
        <f t="shared" si="477"/>
        <v/>
      </c>
      <c r="BC224" s="496">
        <f>+'Отчет о фин.рез.'!H46</f>
        <v>0</v>
      </c>
      <c r="BD224" s="38" t="str">
        <f t="shared" si="478"/>
        <v/>
      </c>
      <c r="BE224" s="470" t="str">
        <f t="shared" si="440"/>
        <v/>
      </c>
      <c r="BF224" s="470" t="str">
        <f t="shared" si="441"/>
        <v/>
      </c>
      <c r="BG224" s="344"/>
      <c r="BH224" s="54" t="str">
        <f t="shared" si="479"/>
        <v/>
      </c>
      <c r="BI224" s="238"/>
      <c r="BJ224" s="54" t="str">
        <f t="shared" si="480"/>
        <v/>
      </c>
      <c r="BK224" s="496">
        <f>+'Отчет о фин.рез.'!I46</f>
        <v>0</v>
      </c>
      <c r="BL224" s="38" t="str">
        <f t="shared" si="481"/>
        <v/>
      </c>
      <c r="BM224" s="470" t="str">
        <f t="shared" si="442"/>
        <v/>
      </c>
      <c r="BN224" s="470" t="str">
        <f t="shared" si="443"/>
        <v/>
      </c>
      <c r="BO224" s="344"/>
      <c r="BP224" s="54" t="str">
        <f t="shared" si="482"/>
        <v/>
      </c>
      <c r="BQ224" s="238"/>
      <c r="BR224" s="54" t="str">
        <f t="shared" si="483"/>
        <v/>
      </c>
      <c r="BS224" s="496">
        <f>+'Отчет о фин.рез.'!J46</f>
        <v>0</v>
      </c>
      <c r="BT224" s="38" t="str">
        <f t="shared" si="484"/>
        <v/>
      </c>
      <c r="BU224" s="470" t="str">
        <f t="shared" si="444"/>
        <v/>
      </c>
      <c r="BV224" s="470" t="str">
        <f t="shared" si="445"/>
        <v/>
      </c>
      <c r="BW224" s="344"/>
      <c r="BX224" s="54" t="str">
        <f t="shared" si="485"/>
        <v/>
      </c>
      <c r="BY224" s="238"/>
      <c r="BZ224" s="54" t="str">
        <f t="shared" si="486"/>
        <v/>
      </c>
      <c r="CA224" s="496">
        <f>+'Отчет о фин.рез.'!K46</f>
        <v>0</v>
      </c>
      <c r="CB224" s="38" t="str">
        <f t="shared" si="487"/>
        <v/>
      </c>
      <c r="CC224" s="470" t="str">
        <f t="shared" si="446"/>
        <v/>
      </c>
      <c r="CD224" s="470" t="str">
        <f t="shared" si="447"/>
        <v/>
      </c>
      <c r="CE224" s="344"/>
      <c r="CF224" s="54" t="str">
        <f t="shared" si="488"/>
        <v/>
      </c>
      <c r="CG224" s="238"/>
      <c r="CH224" s="54" t="str">
        <f t="shared" si="489"/>
        <v/>
      </c>
      <c r="CI224" s="496">
        <f>+'Отчет о фин.рез.'!L46</f>
        <v>0</v>
      </c>
      <c r="CJ224" s="38" t="str">
        <f t="shared" si="490"/>
        <v/>
      </c>
      <c r="CK224" s="470" t="str">
        <f t="shared" si="448"/>
        <v/>
      </c>
      <c r="CL224" s="470" t="str">
        <f t="shared" si="449"/>
        <v/>
      </c>
      <c r="CM224" s="344"/>
      <c r="CN224" s="54" t="str">
        <f t="shared" si="491"/>
        <v/>
      </c>
      <c r="CO224" s="238"/>
      <c r="CP224" s="54" t="str">
        <f t="shared" si="492"/>
        <v/>
      </c>
      <c r="CQ224" s="496">
        <f>+'Отчет о фин.рез.'!M46</f>
        <v>0</v>
      </c>
      <c r="CR224" s="38" t="str">
        <f t="shared" si="493"/>
        <v/>
      </c>
      <c r="CS224" s="470" t="str">
        <f t="shared" si="450"/>
        <v/>
      </c>
      <c r="CT224" s="470" t="str">
        <f t="shared" si="451"/>
        <v/>
      </c>
      <c r="CU224" s="344">
        <f t="shared" si="426"/>
        <v>0</v>
      </c>
      <c r="CV224" s="54" t="str">
        <f t="shared" si="452"/>
        <v/>
      </c>
      <c r="CW224" s="238">
        <f t="shared" si="427"/>
        <v>0</v>
      </c>
      <c r="CX224" s="54">
        <f t="shared" si="453"/>
        <v>0</v>
      </c>
      <c r="CY224" s="496">
        <f t="shared" si="454"/>
        <v>96.885000000000005</v>
      </c>
      <c r="CZ224" s="38">
        <f t="shared" si="455"/>
        <v>1.9529706288819409E-3</v>
      </c>
      <c r="DA224" s="470" t="str">
        <f t="shared" si="456"/>
        <v/>
      </c>
      <c r="DB224" s="470" t="str">
        <f t="shared" si="457"/>
        <v/>
      </c>
    </row>
    <row r="225" spans="2:106" s="92" customFormat="1" ht="15" customHeight="1">
      <c r="B225" s="107" t="str">
        <f>+'Отчет о фин.рез.'!A47</f>
        <v>Расходы по заготовительному цеху</v>
      </c>
      <c r="C225" s="238"/>
      <c r="D225" s="54" t="str">
        <f t="shared" si="458"/>
        <v/>
      </c>
      <c r="E225" s="238"/>
      <c r="F225" s="54" t="str">
        <f t="shared" si="459"/>
        <v/>
      </c>
      <c r="G225" s="496">
        <f>+'Отчет о фин.рез.'!B47</f>
        <v>0</v>
      </c>
      <c r="H225" s="38" t="str">
        <f t="shared" si="460"/>
        <v/>
      </c>
      <c r="I225" s="470" t="str">
        <f t="shared" si="428"/>
        <v/>
      </c>
      <c r="J225" s="470" t="str">
        <f t="shared" si="429"/>
        <v/>
      </c>
      <c r="K225" s="238"/>
      <c r="L225" s="54" t="str">
        <f t="shared" si="461"/>
        <v/>
      </c>
      <c r="M225" s="238"/>
      <c r="N225" s="54" t="str">
        <f t="shared" si="462"/>
        <v/>
      </c>
      <c r="O225" s="496">
        <f>+'Отчет о фин.рез.'!C47</f>
        <v>0</v>
      </c>
      <c r="P225" s="38" t="str">
        <f t="shared" si="463"/>
        <v/>
      </c>
      <c r="Q225" s="470" t="str">
        <f t="shared" si="430"/>
        <v/>
      </c>
      <c r="R225" s="470" t="str">
        <f t="shared" si="431"/>
        <v/>
      </c>
      <c r="S225" s="238"/>
      <c r="T225" s="54" t="str">
        <f t="shared" si="464"/>
        <v/>
      </c>
      <c r="U225" s="238"/>
      <c r="V225" s="54" t="str">
        <f t="shared" si="465"/>
        <v/>
      </c>
      <c r="W225" s="496">
        <f>+'Отчет о фин.рез.'!D47</f>
        <v>0</v>
      </c>
      <c r="X225" s="38" t="str">
        <f t="shared" si="466"/>
        <v/>
      </c>
      <c r="Y225" s="470" t="str">
        <f t="shared" si="432"/>
        <v/>
      </c>
      <c r="Z225" s="470" t="str">
        <f t="shared" si="433"/>
        <v/>
      </c>
      <c r="AA225" s="238"/>
      <c r="AB225" s="54" t="str">
        <f t="shared" si="467"/>
        <v/>
      </c>
      <c r="AC225" s="238"/>
      <c r="AD225" s="54" t="str">
        <f t="shared" si="468"/>
        <v/>
      </c>
      <c r="AE225" s="496">
        <f>+'Отчет о фин.рез.'!E47</f>
        <v>33.034120000000001</v>
      </c>
      <c r="AF225" s="38">
        <f t="shared" si="469"/>
        <v>2.4089286235160282E-3</v>
      </c>
      <c r="AG225" s="470" t="str">
        <f t="shared" si="434"/>
        <v/>
      </c>
      <c r="AH225" s="470" t="str">
        <f t="shared" si="435"/>
        <v/>
      </c>
      <c r="AI225" s="238"/>
      <c r="AJ225" s="54" t="str">
        <f t="shared" si="470"/>
        <v/>
      </c>
      <c r="AK225" s="238"/>
      <c r="AL225" s="54" t="str">
        <f t="shared" si="471"/>
        <v/>
      </c>
      <c r="AM225" s="496">
        <f>+'Отчет о фин.рез.'!F47</f>
        <v>27.888639999999999</v>
      </c>
      <c r="AN225" s="38">
        <f t="shared" si="472"/>
        <v>1.7749231667089894E-3</v>
      </c>
      <c r="AO225" s="470" t="str">
        <f t="shared" si="436"/>
        <v/>
      </c>
      <c r="AP225" s="470" t="str">
        <f t="shared" si="437"/>
        <v/>
      </c>
      <c r="AQ225" s="344"/>
      <c r="AR225" s="54" t="str">
        <f t="shared" si="473"/>
        <v/>
      </c>
      <c r="AS225" s="238"/>
      <c r="AT225" s="54" t="str">
        <f t="shared" si="474"/>
        <v/>
      </c>
      <c r="AU225" s="496">
        <f>+'Отчет о фин.рез.'!G47</f>
        <v>26.96809</v>
      </c>
      <c r="AV225" s="38">
        <f t="shared" si="475"/>
        <v>1.8920526127505033E-3</v>
      </c>
      <c r="AW225" s="470" t="str">
        <f t="shared" si="438"/>
        <v/>
      </c>
      <c r="AX225" s="470" t="str">
        <f t="shared" si="439"/>
        <v/>
      </c>
      <c r="AY225" s="344"/>
      <c r="AZ225" s="54" t="str">
        <f t="shared" si="476"/>
        <v/>
      </c>
      <c r="BA225" s="238"/>
      <c r="BB225" s="54" t="str">
        <f t="shared" si="477"/>
        <v/>
      </c>
      <c r="BC225" s="496">
        <f>+'Отчет о фин.рез.'!H47</f>
        <v>0</v>
      </c>
      <c r="BD225" s="38" t="str">
        <f t="shared" si="478"/>
        <v/>
      </c>
      <c r="BE225" s="470" t="str">
        <f t="shared" si="440"/>
        <v/>
      </c>
      <c r="BF225" s="470" t="str">
        <f t="shared" si="441"/>
        <v/>
      </c>
      <c r="BG225" s="344"/>
      <c r="BH225" s="54" t="str">
        <f t="shared" si="479"/>
        <v/>
      </c>
      <c r="BI225" s="238"/>
      <c r="BJ225" s="54" t="str">
        <f t="shared" si="480"/>
        <v/>
      </c>
      <c r="BK225" s="496">
        <f>+'Отчет о фин.рез.'!I47</f>
        <v>0</v>
      </c>
      <c r="BL225" s="38" t="str">
        <f t="shared" si="481"/>
        <v/>
      </c>
      <c r="BM225" s="470" t="str">
        <f t="shared" si="442"/>
        <v/>
      </c>
      <c r="BN225" s="470" t="str">
        <f t="shared" si="443"/>
        <v/>
      </c>
      <c r="BO225" s="344"/>
      <c r="BP225" s="54" t="str">
        <f t="shared" si="482"/>
        <v/>
      </c>
      <c r="BQ225" s="238"/>
      <c r="BR225" s="54" t="str">
        <f t="shared" si="483"/>
        <v/>
      </c>
      <c r="BS225" s="496">
        <f>+'Отчет о фин.рез.'!J47</f>
        <v>0</v>
      </c>
      <c r="BT225" s="38" t="str">
        <f t="shared" si="484"/>
        <v/>
      </c>
      <c r="BU225" s="470" t="str">
        <f t="shared" si="444"/>
        <v/>
      </c>
      <c r="BV225" s="470" t="str">
        <f t="shared" si="445"/>
        <v/>
      </c>
      <c r="BW225" s="344"/>
      <c r="BX225" s="54" t="str">
        <f t="shared" si="485"/>
        <v/>
      </c>
      <c r="BY225" s="238"/>
      <c r="BZ225" s="54" t="str">
        <f t="shared" si="486"/>
        <v/>
      </c>
      <c r="CA225" s="496">
        <f>+'Отчет о фин.рез.'!K47</f>
        <v>0</v>
      </c>
      <c r="CB225" s="38" t="str">
        <f t="shared" si="487"/>
        <v/>
      </c>
      <c r="CC225" s="470" t="str">
        <f t="shared" si="446"/>
        <v/>
      </c>
      <c r="CD225" s="470" t="str">
        <f t="shared" si="447"/>
        <v/>
      </c>
      <c r="CE225" s="344"/>
      <c r="CF225" s="54" t="str">
        <f t="shared" si="488"/>
        <v/>
      </c>
      <c r="CG225" s="238"/>
      <c r="CH225" s="54" t="str">
        <f t="shared" si="489"/>
        <v/>
      </c>
      <c r="CI225" s="496">
        <f>+'Отчет о фин.рез.'!L47</f>
        <v>0</v>
      </c>
      <c r="CJ225" s="38" t="str">
        <f t="shared" si="490"/>
        <v/>
      </c>
      <c r="CK225" s="470" t="str">
        <f t="shared" si="448"/>
        <v/>
      </c>
      <c r="CL225" s="470" t="str">
        <f t="shared" si="449"/>
        <v/>
      </c>
      <c r="CM225" s="344"/>
      <c r="CN225" s="54" t="str">
        <f t="shared" si="491"/>
        <v/>
      </c>
      <c r="CO225" s="238"/>
      <c r="CP225" s="54" t="str">
        <f t="shared" si="492"/>
        <v/>
      </c>
      <c r="CQ225" s="496">
        <f>+'Отчет о фин.рез.'!M47</f>
        <v>0</v>
      </c>
      <c r="CR225" s="38" t="str">
        <f t="shared" si="493"/>
        <v/>
      </c>
      <c r="CS225" s="470" t="str">
        <f t="shared" si="450"/>
        <v/>
      </c>
      <c r="CT225" s="470" t="str">
        <f t="shared" si="451"/>
        <v/>
      </c>
      <c r="CU225" s="344">
        <f t="shared" si="426"/>
        <v>0</v>
      </c>
      <c r="CV225" s="54" t="str">
        <f t="shared" si="452"/>
        <v/>
      </c>
      <c r="CW225" s="238">
        <f t="shared" si="427"/>
        <v>0</v>
      </c>
      <c r="CX225" s="54">
        <f t="shared" si="453"/>
        <v>0</v>
      </c>
      <c r="CY225" s="496">
        <f t="shared" si="454"/>
        <v>87.89085</v>
      </c>
      <c r="CZ225" s="38">
        <f t="shared" si="455"/>
        <v>1.7716700066828543E-3</v>
      </c>
      <c r="DA225" s="470" t="str">
        <f t="shared" si="456"/>
        <v/>
      </c>
      <c r="DB225" s="470" t="str">
        <f t="shared" si="457"/>
        <v/>
      </c>
    </row>
    <row r="226" spans="2:106" s="92" customFormat="1" ht="13.15" customHeight="1">
      <c r="B226" s="107" t="str">
        <f>+'Отчет о фин.рез.'!A48</f>
        <v>Резервы на ремонт</v>
      </c>
      <c r="C226" s="238"/>
      <c r="D226" s="54" t="str">
        <f t="shared" si="458"/>
        <v/>
      </c>
      <c r="E226" s="238"/>
      <c r="F226" s="54" t="str">
        <f t="shared" si="459"/>
        <v/>
      </c>
      <c r="G226" s="496">
        <f>+'Отчет о фин.рез.'!B48</f>
        <v>0</v>
      </c>
      <c r="H226" s="38" t="str">
        <f t="shared" si="460"/>
        <v/>
      </c>
      <c r="I226" s="470" t="str">
        <f t="shared" si="428"/>
        <v/>
      </c>
      <c r="J226" s="470" t="str">
        <f t="shared" si="429"/>
        <v/>
      </c>
      <c r="K226" s="238"/>
      <c r="L226" s="54" t="str">
        <f t="shared" si="461"/>
        <v/>
      </c>
      <c r="M226" s="238"/>
      <c r="N226" s="54" t="str">
        <f t="shared" si="462"/>
        <v/>
      </c>
      <c r="O226" s="496">
        <f>+'Отчет о фин.рез.'!C48</f>
        <v>0</v>
      </c>
      <c r="P226" s="38" t="str">
        <f t="shared" si="463"/>
        <v/>
      </c>
      <c r="Q226" s="470" t="str">
        <f t="shared" si="430"/>
        <v/>
      </c>
      <c r="R226" s="470" t="str">
        <f t="shared" si="431"/>
        <v/>
      </c>
      <c r="S226" s="238"/>
      <c r="T226" s="54" t="str">
        <f t="shared" si="464"/>
        <v/>
      </c>
      <c r="U226" s="238"/>
      <c r="V226" s="54" t="str">
        <f t="shared" si="465"/>
        <v/>
      </c>
      <c r="W226" s="496">
        <f>+'Отчет о фин.рез.'!D48</f>
        <v>0</v>
      </c>
      <c r="X226" s="38" t="str">
        <f t="shared" si="466"/>
        <v/>
      </c>
      <c r="Y226" s="470" t="str">
        <f t="shared" si="432"/>
        <v/>
      </c>
      <c r="Z226" s="470" t="str">
        <f t="shared" si="433"/>
        <v/>
      </c>
      <c r="AA226" s="238"/>
      <c r="AB226" s="54" t="str">
        <f t="shared" si="467"/>
        <v/>
      </c>
      <c r="AC226" s="238"/>
      <c r="AD226" s="54" t="str">
        <f t="shared" si="468"/>
        <v/>
      </c>
      <c r="AE226" s="496">
        <f>+'Отчет о фин.рез.'!E48</f>
        <v>0</v>
      </c>
      <c r="AF226" s="38" t="str">
        <f t="shared" si="469"/>
        <v/>
      </c>
      <c r="AG226" s="470" t="str">
        <f t="shared" si="434"/>
        <v/>
      </c>
      <c r="AH226" s="470" t="str">
        <f t="shared" si="435"/>
        <v/>
      </c>
      <c r="AI226" s="238"/>
      <c r="AJ226" s="54" t="str">
        <f t="shared" si="470"/>
        <v/>
      </c>
      <c r="AK226" s="238"/>
      <c r="AL226" s="54" t="str">
        <f t="shared" si="471"/>
        <v/>
      </c>
      <c r="AM226" s="496">
        <f>+'Отчет о фин.рез.'!F48</f>
        <v>0</v>
      </c>
      <c r="AN226" s="38" t="str">
        <f t="shared" si="472"/>
        <v/>
      </c>
      <c r="AO226" s="470" t="str">
        <f t="shared" si="436"/>
        <v/>
      </c>
      <c r="AP226" s="470" t="str">
        <f t="shared" si="437"/>
        <v/>
      </c>
      <c r="AQ226" s="344"/>
      <c r="AR226" s="54" t="str">
        <f t="shared" si="473"/>
        <v/>
      </c>
      <c r="AS226" s="238"/>
      <c r="AT226" s="54" t="str">
        <f t="shared" si="474"/>
        <v/>
      </c>
      <c r="AU226" s="496">
        <f>+'Отчет о фин.рез.'!G48</f>
        <v>0</v>
      </c>
      <c r="AV226" s="38" t="str">
        <f t="shared" si="475"/>
        <v/>
      </c>
      <c r="AW226" s="470" t="str">
        <f t="shared" si="438"/>
        <v/>
      </c>
      <c r="AX226" s="470" t="str">
        <f t="shared" si="439"/>
        <v/>
      </c>
      <c r="AY226" s="344"/>
      <c r="AZ226" s="54" t="str">
        <f t="shared" si="476"/>
        <v/>
      </c>
      <c r="BA226" s="238"/>
      <c r="BB226" s="54" t="str">
        <f t="shared" si="477"/>
        <v/>
      </c>
      <c r="BC226" s="496">
        <f>+'Отчет о фин.рез.'!H48</f>
        <v>0</v>
      </c>
      <c r="BD226" s="38" t="str">
        <f t="shared" si="478"/>
        <v/>
      </c>
      <c r="BE226" s="470" t="str">
        <f t="shared" si="440"/>
        <v/>
      </c>
      <c r="BF226" s="470" t="str">
        <f t="shared" si="441"/>
        <v/>
      </c>
      <c r="BG226" s="344"/>
      <c r="BH226" s="54" t="str">
        <f t="shared" si="479"/>
        <v/>
      </c>
      <c r="BI226" s="238"/>
      <c r="BJ226" s="54" t="str">
        <f t="shared" si="480"/>
        <v/>
      </c>
      <c r="BK226" s="496">
        <f>+'Отчет о фин.рез.'!I48</f>
        <v>0</v>
      </c>
      <c r="BL226" s="38" t="str">
        <f t="shared" si="481"/>
        <v/>
      </c>
      <c r="BM226" s="470" t="str">
        <f t="shared" si="442"/>
        <v/>
      </c>
      <c r="BN226" s="470" t="str">
        <f t="shared" si="443"/>
        <v/>
      </c>
      <c r="BO226" s="344"/>
      <c r="BP226" s="54" t="str">
        <f t="shared" si="482"/>
        <v/>
      </c>
      <c r="BQ226" s="238"/>
      <c r="BR226" s="54" t="str">
        <f t="shared" si="483"/>
        <v/>
      </c>
      <c r="BS226" s="496">
        <f>+'Отчет о фин.рез.'!J48</f>
        <v>0</v>
      </c>
      <c r="BT226" s="38" t="str">
        <f t="shared" si="484"/>
        <v/>
      </c>
      <c r="BU226" s="470" t="str">
        <f t="shared" si="444"/>
        <v/>
      </c>
      <c r="BV226" s="470" t="str">
        <f t="shared" si="445"/>
        <v/>
      </c>
      <c r="BW226" s="344"/>
      <c r="BX226" s="54" t="str">
        <f t="shared" si="485"/>
        <v/>
      </c>
      <c r="BY226" s="238"/>
      <c r="BZ226" s="54" t="str">
        <f t="shared" si="486"/>
        <v/>
      </c>
      <c r="CA226" s="496">
        <f>+'Отчет о фин.рез.'!K48</f>
        <v>0</v>
      </c>
      <c r="CB226" s="38" t="str">
        <f t="shared" si="487"/>
        <v/>
      </c>
      <c r="CC226" s="470" t="str">
        <f t="shared" si="446"/>
        <v/>
      </c>
      <c r="CD226" s="470" t="str">
        <f t="shared" si="447"/>
        <v/>
      </c>
      <c r="CE226" s="344"/>
      <c r="CF226" s="54" t="str">
        <f t="shared" si="488"/>
        <v/>
      </c>
      <c r="CG226" s="238"/>
      <c r="CH226" s="54" t="str">
        <f t="shared" si="489"/>
        <v/>
      </c>
      <c r="CI226" s="496">
        <f>+'Отчет о фин.рез.'!L48</f>
        <v>0</v>
      </c>
      <c r="CJ226" s="38" t="str">
        <f t="shared" si="490"/>
        <v/>
      </c>
      <c r="CK226" s="470" t="str">
        <f t="shared" si="448"/>
        <v/>
      </c>
      <c r="CL226" s="470" t="str">
        <f t="shared" si="449"/>
        <v/>
      </c>
      <c r="CM226" s="344"/>
      <c r="CN226" s="54" t="str">
        <f t="shared" si="491"/>
        <v/>
      </c>
      <c r="CO226" s="238"/>
      <c r="CP226" s="54" t="str">
        <f t="shared" si="492"/>
        <v/>
      </c>
      <c r="CQ226" s="496">
        <f>+'Отчет о фин.рез.'!M48</f>
        <v>0</v>
      </c>
      <c r="CR226" s="38" t="str">
        <f t="shared" si="493"/>
        <v/>
      </c>
      <c r="CS226" s="470" t="str">
        <f t="shared" si="450"/>
        <v/>
      </c>
      <c r="CT226" s="470" t="str">
        <f t="shared" si="451"/>
        <v/>
      </c>
      <c r="CU226" s="344">
        <f t="shared" si="426"/>
        <v>0</v>
      </c>
      <c r="CV226" s="54" t="str">
        <f t="shared" si="452"/>
        <v/>
      </c>
      <c r="CW226" s="238">
        <f t="shared" si="427"/>
        <v>0</v>
      </c>
      <c r="CX226" s="54">
        <f t="shared" si="453"/>
        <v>0</v>
      </c>
      <c r="CY226" s="496">
        <f t="shared" si="454"/>
        <v>0</v>
      </c>
      <c r="CZ226" s="38">
        <f t="shared" si="455"/>
        <v>0</v>
      </c>
      <c r="DA226" s="470" t="str">
        <f t="shared" si="456"/>
        <v/>
      </c>
      <c r="DB226" s="470" t="str">
        <f t="shared" si="457"/>
        <v/>
      </c>
    </row>
    <row r="227" spans="2:106" s="92" customFormat="1" ht="13.15" customHeight="1">
      <c r="B227" s="107" t="str">
        <f>+'Отчет о фин.рез.'!A49</f>
        <v>Скидка учредителям 50%</v>
      </c>
      <c r="C227" s="238"/>
      <c r="D227" s="54" t="str">
        <f t="shared" si="458"/>
        <v/>
      </c>
      <c r="E227" s="238"/>
      <c r="F227" s="54" t="str">
        <f t="shared" si="459"/>
        <v/>
      </c>
      <c r="G227" s="496">
        <f>+'Отчет о фин.рез.'!B49</f>
        <v>0</v>
      </c>
      <c r="H227" s="38" t="str">
        <f t="shared" si="460"/>
        <v/>
      </c>
      <c r="I227" s="470" t="str">
        <f t="shared" si="428"/>
        <v/>
      </c>
      <c r="J227" s="470" t="str">
        <f t="shared" si="429"/>
        <v/>
      </c>
      <c r="K227" s="238"/>
      <c r="L227" s="54" t="str">
        <f t="shared" si="461"/>
        <v/>
      </c>
      <c r="M227" s="238"/>
      <c r="N227" s="54" t="str">
        <f t="shared" si="462"/>
        <v/>
      </c>
      <c r="O227" s="496">
        <f>+'Отчет о фин.рез.'!C49</f>
        <v>0</v>
      </c>
      <c r="P227" s="38" t="str">
        <f t="shared" si="463"/>
        <v/>
      </c>
      <c r="Q227" s="470" t="str">
        <f t="shared" si="430"/>
        <v/>
      </c>
      <c r="R227" s="470" t="str">
        <f t="shared" si="431"/>
        <v/>
      </c>
      <c r="S227" s="238"/>
      <c r="T227" s="54" t="str">
        <f t="shared" si="464"/>
        <v/>
      </c>
      <c r="U227" s="238"/>
      <c r="V227" s="54" t="str">
        <f t="shared" si="465"/>
        <v/>
      </c>
      <c r="W227" s="496">
        <f>+'Отчет о фин.рез.'!D49</f>
        <v>0</v>
      </c>
      <c r="X227" s="38" t="str">
        <f t="shared" si="466"/>
        <v/>
      </c>
      <c r="Y227" s="470" t="str">
        <f t="shared" si="432"/>
        <v/>
      </c>
      <c r="Z227" s="470" t="str">
        <f t="shared" si="433"/>
        <v/>
      </c>
      <c r="AA227" s="238"/>
      <c r="AB227" s="54" t="str">
        <f t="shared" si="467"/>
        <v/>
      </c>
      <c r="AC227" s="238"/>
      <c r="AD227" s="54" t="str">
        <f t="shared" si="468"/>
        <v/>
      </c>
      <c r="AE227" s="496">
        <f>+'Отчет о фин.рез.'!E49</f>
        <v>0</v>
      </c>
      <c r="AF227" s="38" t="str">
        <f t="shared" si="469"/>
        <v/>
      </c>
      <c r="AG227" s="470" t="str">
        <f t="shared" si="434"/>
        <v/>
      </c>
      <c r="AH227" s="470" t="str">
        <f t="shared" si="435"/>
        <v/>
      </c>
      <c r="AI227" s="238"/>
      <c r="AJ227" s="54" t="str">
        <f t="shared" si="470"/>
        <v/>
      </c>
      <c r="AK227" s="238"/>
      <c r="AL227" s="54" t="str">
        <f t="shared" si="471"/>
        <v/>
      </c>
      <c r="AM227" s="496">
        <f>+'Отчет о фин.рез.'!F49</f>
        <v>0</v>
      </c>
      <c r="AN227" s="38" t="str">
        <f t="shared" si="472"/>
        <v/>
      </c>
      <c r="AO227" s="470" t="str">
        <f t="shared" si="436"/>
        <v/>
      </c>
      <c r="AP227" s="470" t="str">
        <f t="shared" si="437"/>
        <v/>
      </c>
      <c r="AQ227" s="344"/>
      <c r="AR227" s="54" t="str">
        <f t="shared" si="473"/>
        <v/>
      </c>
      <c r="AS227" s="238"/>
      <c r="AT227" s="54" t="str">
        <f t="shared" si="474"/>
        <v/>
      </c>
      <c r="AU227" s="496">
        <f>+'Отчет о фин.рез.'!G49</f>
        <v>0</v>
      </c>
      <c r="AV227" s="38" t="str">
        <f t="shared" si="475"/>
        <v/>
      </c>
      <c r="AW227" s="470" t="str">
        <f t="shared" si="438"/>
        <v/>
      </c>
      <c r="AX227" s="470" t="str">
        <f t="shared" si="439"/>
        <v/>
      </c>
      <c r="AY227" s="344"/>
      <c r="AZ227" s="54" t="str">
        <f t="shared" si="476"/>
        <v/>
      </c>
      <c r="BA227" s="238"/>
      <c r="BB227" s="54" t="str">
        <f t="shared" si="477"/>
        <v/>
      </c>
      <c r="BC227" s="496">
        <f>+'Отчет о фин.рез.'!H49</f>
        <v>0</v>
      </c>
      <c r="BD227" s="38" t="str">
        <f t="shared" si="478"/>
        <v/>
      </c>
      <c r="BE227" s="470" t="str">
        <f t="shared" si="440"/>
        <v/>
      </c>
      <c r="BF227" s="470" t="str">
        <f t="shared" si="441"/>
        <v/>
      </c>
      <c r="BG227" s="344"/>
      <c r="BH227" s="54" t="str">
        <f t="shared" si="479"/>
        <v/>
      </c>
      <c r="BI227" s="238"/>
      <c r="BJ227" s="54" t="str">
        <f t="shared" si="480"/>
        <v/>
      </c>
      <c r="BK227" s="496">
        <f>+'Отчет о фин.рез.'!I49</f>
        <v>0</v>
      </c>
      <c r="BL227" s="38" t="str">
        <f t="shared" si="481"/>
        <v/>
      </c>
      <c r="BM227" s="470" t="str">
        <f t="shared" si="442"/>
        <v/>
      </c>
      <c r="BN227" s="470" t="str">
        <f t="shared" si="443"/>
        <v/>
      </c>
      <c r="BO227" s="344"/>
      <c r="BP227" s="54" t="str">
        <f t="shared" si="482"/>
        <v/>
      </c>
      <c r="BQ227" s="238"/>
      <c r="BR227" s="54" t="str">
        <f t="shared" si="483"/>
        <v/>
      </c>
      <c r="BS227" s="496">
        <f>+'Отчет о фин.рез.'!J49</f>
        <v>0</v>
      </c>
      <c r="BT227" s="38" t="str">
        <f t="shared" si="484"/>
        <v/>
      </c>
      <c r="BU227" s="470" t="str">
        <f t="shared" si="444"/>
        <v/>
      </c>
      <c r="BV227" s="470" t="str">
        <f t="shared" si="445"/>
        <v/>
      </c>
      <c r="BW227" s="344"/>
      <c r="BX227" s="54" t="str">
        <f t="shared" si="485"/>
        <v/>
      </c>
      <c r="BY227" s="238"/>
      <c r="BZ227" s="54" t="str">
        <f t="shared" si="486"/>
        <v/>
      </c>
      <c r="CA227" s="496">
        <f>+'Отчет о фин.рез.'!K49</f>
        <v>0</v>
      </c>
      <c r="CB227" s="38" t="str">
        <f t="shared" si="487"/>
        <v/>
      </c>
      <c r="CC227" s="470" t="str">
        <f t="shared" si="446"/>
        <v/>
      </c>
      <c r="CD227" s="470" t="str">
        <f t="shared" si="447"/>
        <v/>
      </c>
      <c r="CE227" s="344"/>
      <c r="CF227" s="54" t="str">
        <f t="shared" si="488"/>
        <v/>
      </c>
      <c r="CG227" s="238"/>
      <c r="CH227" s="54" t="str">
        <f t="shared" si="489"/>
        <v/>
      </c>
      <c r="CI227" s="496">
        <f>+'Отчет о фин.рез.'!L49</f>
        <v>0</v>
      </c>
      <c r="CJ227" s="38" t="str">
        <f t="shared" si="490"/>
        <v/>
      </c>
      <c r="CK227" s="470" t="str">
        <f t="shared" si="448"/>
        <v/>
      </c>
      <c r="CL227" s="470" t="str">
        <f t="shared" si="449"/>
        <v/>
      </c>
      <c r="CM227" s="344"/>
      <c r="CN227" s="54" t="str">
        <f t="shared" si="491"/>
        <v/>
      </c>
      <c r="CO227" s="238"/>
      <c r="CP227" s="54" t="str">
        <f t="shared" si="492"/>
        <v/>
      </c>
      <c r="CQ227" s="496">
        <f>+'Отчет о фин.рез.'!M49</f>
        <v>0</v>
      </c>
      <c r="CR227" s="38" t="str">
        <f t="shared" si="493"/>
        <v/>
      </c>
      <c r="CS227" s="470" t="str">
        <f t="shared" si="450"/>
        <v/>
      </c>
      <c r="CT227" s="470" t="str">
        <f t="shared" si="451"/>
        <v/>
      </c>
      <c r="CU227" s="344">
        <f t="shared" si="426"/>
        <v>0</v>
      </c>
      <c r="CV227" s="54" t="str">
        <f t="shared" si="452"/>
        <v/>
      </c>
      <c r="CW227" s="238">
        <f t="shared" si="427"/>
        <v>0</v>
      </c>
      <c r="CX227" s="54">
        <f t="shared" si="453"/>
        <v>0</v>
      </c>
      <c r="CY227" s="496">
        <f t="shared" si="454"/>
        <v>0</v>
      </c>
      <c r="CZ227" s="38">
        <f t="shared" si="455"/>
        <v>0</v>
      </c>
      <c r="DA227" s="470" t="str">
        <f t="shared" si="456"/>
        <v/>
      </c>
      <c r="DB227" s="470" t="str">
        <f t="shared" si="457"/>
        <v/>
      </c>
    </row>
    <row r="228" spans="2:106" s="92" customFormat="1" ht="13.15" customHeight="1">
      <c r="B228" s="107" t="str">
        <f>+'Отчет о фин.рез.'!A50</f>
        <v>Фин.мотивация</v>
      </c>
      <c r="C228" s="238"/>
      <c r="D228" s="54" t="str">
        <f t="shared" si="458"/>
        <v/>
      </c>
      <c r="E228" s="238"/>
      <c r="F228" s="54" t="str">
        <f t="shared" si="459"/>
        <v/>
      </c>
      <c r="G228" s="496">
        <f>+'Отчет о фин.рез.'!B50</f>
        <v>0</v>
      </c>
      <c r="H228" s="38" t="str">
        <f t="shared" si="460"/>
        <v/>
      </c>
      <c r="I228" s="470" t="str">
        <f t="shared" si="428"/>
        <v/>
      </c>
      <c r="J228" s="470" t="str">
        <f t="shared" si="429"/>
        <v/>
      </c>
      <c r="K228" s="238"/>
      <c r="L228" s="54" t="str">
        <f t="shared" si="461"/>
        <v/>
      </c>
      <c r="M228" s="238"/>
      <c r="N228" s="54" t="str">
        <f t="shared" si="462"/>
        <v/>
      </c>
      <c r="O228" s="496">
        <f>+'Отчет о фин.рез.'!C50</f>
        <v>0</v>
      </c>
      <c r="P228" s="38" t="str">
        <f t="shared" si="463"/>
        <v/>
      </c>
      <c r="Q228" s="470" t="str">
        <f t="shared" si="430"/>
        <v/>
      </c>
      <c r="R228" s="470" t="str">
        <f t="shared" si="431"/>
        <v/>
      </c>
      <c r="S228" s="238"/>
      <c r="T228" s="54" t="str">
        <f t="shared" si="464"/>
        <v/>
      </c>
      <c r="U228" s="238"/>
      <c r="V228" s="54" t="str">
        <f t="shared" si="465"/>
        <v/>
      </c>
      <c r="W228" s="496">
        <f>+'Отчет о фин.рез.'!D50</f>
        <v>0</v>
      </c>
      <c r="X228" s="38" t="str">
        <f t="shared" si="466"/>
        <v/>
      </c>
      <c r="Y228" s="470" t="str">
        <f t="shared" si="432"/>
        <v/>
      </c>
      <c r="Z228" s="470" t="str">
        <f t="shared" si="433"/>
        <v/>
      </c>
      <c r="AA228" s="238"/>
      <c r="AB228" s="54" t="str">
        <f t="shared" si="467"/>
        <v/>
      </c>
      <c r="AC228" s="238"/>
      <c r="AD228" s="54" t="str">
        <f t="shared" si="468"/>
        <v/>
      </c>
      <c r="AE228" s="496">
        <f>+'Отчет о фин.рез.'!E50</f>
        <v>0</v>
      </c>
      <c r="AF228" s="38" t="str">
        <f t="shared" si="469"/>
        <v/>
      </c>
      <c r="AG228" s="470" t="str">
        <f t="shared" si="434"/>
        <v/>
      </c>
      <c r="AH228" s="470" t="str">
        <f t="shared" si="435"/>
        <v/>
      </c>
      <c r="AI228" s="238"/>
      <c r="AJ228" s="54" t="str">
        <f t="shared" si="470"/>
        <v/>
      </c>
      <c r="AK228" s="238"/>
      <c r="AL228" s="54" t="str">
        <f t="shared" si="471"/>
        <v/>
      </c>
      <c r="AM228" s="496">
        <f>+'Отчет о фин.рез.'!F50</f>
        <v>0</v>
      </c>
      <c r="AN228" s="38" t="str">
        <f t="shared" si="472"/>
        <v/>
      </c>
      <c r="AO228" s="470" t="str">
        <f t="shared" si="436"/>
        <v/>
      </c>
      <c r="AP228" s="470" t="str">
        <f t="shared" si="437"/>
        <v/>
      </c>
      <c r="AQ228" s="344"/>
      <c r="AR228" s="54" t="str">
        <f t="shared" si="473"/>
        <v/>
      </c>
      <c r="AS228" s="238"/>
      <c r="AT228" s="54" t="str">
        <f t="shared" si="474"/>
        <v/>
      </c>
      <c r="AU228" s="496">
        <f>+'Отчет о фин.рез.'!G50</f>
        <v>0</v>
      </c>
      <c r="AV228" s="38" t="str">
        <f t="shared" si="475"/>
        <v/>
      </c>
      <c r="AW228" s="470" t="str">
        <f t="shared" si="438"/>
        <v/>
      </c>
      <c r="AX228" s="470" t="str">
        <f t="shared" si="439"/>
        <v/>
      </c>
      <c r="AY228" s="344"/>
      <c r="AZ228" s="54" t="str">
        <f t="shared" si="476"/>
        <v/>
      </c>
      <c r="BA228" s="238"/>
      <c r="BB228" s="54" t="str">
        <f t="shared" si="477"/>
        <v/>
      </c>
      <c r="BC228" s="496">
        <f>+'Отчет о фин.рез.'!H50</f>
        <v>0</v>
      </c>
      <c r="BD228" s="38" t="str">
        <f t="shared" si="478"/>
        <v/>
      </c>
      <c r="BE228" s="470" t="str">
        <f t="shared" si="440"/>
        <v/>
      </c>
      <c r="BF228" s="470" t="str">
        <f t="shared" si="441"/>
        <v/>
      </c>
      <c r="BG228" s="344"/>
      <c r="BH228" s="54" t="str">
        <f t="shared" si="479"/>
        <v/>
      </c>
      <c r="BI228" s="238"/>
      <c r="BJ228" s="54" t="str">
        <f t="shared" si="480"/>
        <v/>
      </c>
      <c r="BK228" s="496">
        <f>+'Отчет о фин.рез.'!I50</f>
        <v>0</v>
      </c>
      <c r="BL228" s="38" t="str">
        <f t="shared" si="481"/>
        <v/>
      </c>
      <c r="BM228" s="470" t="str">
        <f t="shared" si="442"/>
        <v/>
      </c>
      <c r="BN228" s="470" t="str">
        <f t="shared" si="443"/>
        <v/>
      </c>
      <c r="BO228" s="344"/>
      <c r="BP228" s="54" t="str">
        <f t="shared" si="482"/>
        <v/>
      </c>
      <c r="BQ228" s="238"/>
      <c r="BR228" s="54" t="str">
        <f t="shared" si="483"/>
        <v/>
      </c>
      <c r="BS228" s="496">
        <f>+'Отчет о фин.рез.'!J50</f>
        <v>0</v>
      </c>
      <c r="BT228" s="38" t="str">
        <f t="shared" si="484"/>
        <v/>
      </c>
      <c r="BU228" s="470" t="str">
        <f t="shared" si="444"/>
        <v/>
      </c>
      <c r="BV228" s="470" t="str">
        <f t="shared" si="445"/>
        <v/>
      </c>
      <c r="BW228" s="344"/>
      <c r="BX228" s="54" t="str">
        <f t="shared" si="485"/>
        <v/>
      </c>
      <c r="BY228" s="238"/>
      <c r="BZ228" s="54" t="str">
        <f t="shared" si="486"/>
        <v/>
      </c>
      <c r="CA228" s="496">
        <f>+'Отчет о фин.рез.'!K50</f>
        <v>0</v>
      </c>
      <c r="CB228" s="38" t="str">
        <f t="shared" si="487"/>
        <v/>
      </c>
      <c r="CC228" s="470" t="str">
        <f t="shared" si="446"/>
        <v/>
      </c>
      <c r="CD228" s="470" t="str">
        <f t="shared" si="447"/>
        <v/>
      </c>
      <c r="CE228" s="344"/>
      <c r="CF228" s="54" t="str">
        <f t="shared" si="488"/>
        <v/>
      </c>
      <c r="CG228" s="238"/>
      <c r="CH228" s="54" t="str">
        <f t="shared" si="489"/>
        <v/>
      </c>
      <c r="CI228" s="496">
        <f>+'Отчет о фин.рез.'!L50</f>
        <v>0</v>
      </c>
      <c r="CJ228" s="38" t="str">
        <f t="shared" si="490"/>
        <v/>
      </c>
      <c r="CK228" s="470" t="str">
        <f t="shared" si="448"/>
        <v/>
      </c>
      <c r="CL228" s="470" t="str">
        <f t="shared" si="449"/>
        <v/>
      </c>
      <c r="CM228" s="344"/>
      <c r="CN228" s="54" t="str">
        <f t="shared" si="491"/>
        <v/>
      </c>
      <c r="CO228" s="238"/>
      <c r="CP228" s="54" t="str">
        <f t="shared" si="492"/>
        <v/>
      </c>
      <c r="CQ228" s="496">
        <f>+'Отчет о фин.рез.'!M50</f>
        <v>0</v>
      </c>
      <c r="CR228" s="38" t="str">
        <f t="shared" si="493"/>
        <v/>
      </c>
      <c r="CS228" s="470" t="str">
        <f t="shared" si="450"/>
        <v/>
      </c>
      <c r="CT228" s="470" t="str">
        <f t="shared" si="451"/>
        <v/>
      </c>
      <c r="CU228" s="344">
        <f t="shared" si="426"/>
        <v>0</v>
      </c>
      <c r="CV228" s="54" t="str">
        <f t="shared" si="452"/>
        <v/>
      </c>
      <c r="CW228" s="238">
        <f t="shared" si="427"/>
        <v>0</v>
      </c>
      <c r="CX228" s="54">
        <f t="shared" si="453"/>
        <v>0</v>
      </c>
      <c r="CY228" s="496">
        <f t="shared" si="454"/>
        <v>0</v>
      </c>
      <c r="CZ228" s="38">
        <f t="shared" si="455"/>
        <v>0</v>
      </c>
      <c r="DA228" s="470" t="str">
        <f t="shared" si="456"/>
        <v/>
      </c>
      <c r="DB228" s="470" t="str">
        <f t="shared" si="457"/>
        <v/>
      </c>
    </row>
    <row r="229" spans="2:106" s="92" customFormat="1" ht="13.15" customHeight="1">
      <c r="B229" s="107" t="str">
        <f>+'Отчет о фин.рез.'!A51</f>
        <v>Чрезвычайная ситуация</v>
      </c>
      <c r="C229" s="238"/>
      <c r="D229" s="54" t="str">
        <f t="shared" si="458"/>
        <v/>
      </c>
      <c r="E229" s="238"/>
      <c r="F229" s="54" t="str">
        <f t="shared" si="459"/>
        <v/>
      </c>
      <c r="G229" s="496">
        <f>+'Отчет о фин.рез.'!B51</f>
        <v>0</v>
      </c>
      <c r="H229" s="38" t="str">
        <f t="shared" si="460"/>
        <v/>
      </c>
      <c r="I229" s="470" t="str">
        <f t="shared" si="428"/>
        <v/>
      </c>
      <c r="J229" s="470" t="str">
        <f t="shared" si="429"/>
        <v/>
      </c>
      <c r="K229" s="238"/>
      <c r="L229" s="54" t="str">
        <f t="shared" si="461"/>
        <v/>
      </c>
      <c r="M229" s="238"/>
      <c r="N229" s="54" t="str">
        <f t="shared" si="462"/>
        <v/>
      </c>
      <c r="O229" s="496">
        <f>+'Отчет о фин.рез.'!C51</f>
        <v>0</v>
      </c>
      <c r="P229" s="38" t="str">
        <f t="shared" si="463"/>
        <v/>
      </c>
      <c r="Q229" s="470" t="str">
        <f t="shared" si="430"/>
        <v/>
      </c>
      <c r="R229" s="470" t="str">
        <f t="shared" si="431"/>
        <v/>
      </c>
      <c r="S229" s="238"/>
      <c r="T229" s="54" t="str">
        <f t="shared" si="464"/>
        <v/>
      </c>
      <c r="U229" s="238"/>
      <c r="V229" s="54" t="str">
        <f t="shared" si="465"/>
        <v/>
      </c>
      <c r="W229" s="496">
        <f>+'Отчет о фин.рез.'!D51</f>
        <v>0</v>
      </c>
      <c r="X229" s="38" t="str">
        <f t="shared" si="466"/>
        <v/>
      </c>
      <c r="Y229" s="470" t="str">
        <f t="shared" si="432"/>
        <v/>
      </c>
      <c r="Z229" s="470" t="str">
        <f t="shared" si="433"/>
        <v/>
      </c>
      <c r="AA229" s="238"/>
      <c r="AB229" s="54" t="str">
        <f t="shared" si="467"/>
        <v/>
      </c>
      <c r="AC229" s="238"/>
      <c r="AD229" s="54" t="str">
        <f t="shared" si="468"/>
        <v/>
      </c>
      <c r="AE229" s="496">
        <f>+'Отчет о фин.рез.'!E51</f>
        <v>0</v>
      </c>
      <c r="AF229" s="38" t="str">
        <f t="shared" si="469"/>
        <v/>
      </c>
      <c r="AG229" s="470" t="str">
        <f t="shared" si="434"/>
        <v/>
      </c>
      <c r="AH229" s="470" t="str">
        <f t="shared" si="435"/>
        <v/>
      </c>
      <c r="AI229" s="238"/>
      <c r="AJ229" s="54" t="str">
        <f t="shared" si="470"/>
        <v/>
      </c>
      <c r="AK229" s="238"/>
      <c r="AL229" s="54" t="str">
        <f t="shared" si="471"/>
        <v/>
      </c>
      <c r="AM229" s="496">
        <f>+'Отчет о фин.рез.'!F51</f>
        <v>0</v>
      </c>
      <c r="AN229" s="38" t="str">
        <f t="shared" si="472"/>
        <v/>
      </c>
      <c r="AO229" s="470" t="str">
        <f t="shared" si="436"/>
        <v/>
      </c>
      <c r="AP229" s="470" t="str">
        <f t="shared" si="437"/>
        <v/>
      </c>
      <c r="AQ229" s="344"/>
      <c r="AR229" s="54" t="str">
        <f t="shared" si="473"/>
        <v/>
      </c>
      <c r="AS229" s="238"/>
      <c r="AT229" s="54" t="str">
        <f t="shared" si="474"/>
        <v/>
      </c>
      <c r="AU229" s="496">
        <f>+'Отчет о фин.рез.'!G51</f>
        <v>0</v>
      </c>
      <c r="AV229" s="38" t="str">
        <f t="shared" si="475"/>
        <v/>
      </c>
      <c r="AW229" s="470" t="str">
        <f t="shared" si="438"/>
        <v/>
      </c>
      <c r="AX229" s="470" t="str">
        <f t="shared" si="439"/>
        <v/>
      </c>
      <c r="AY229" s="344"/>
      <c r="AZ229" s="54" t="str">
        <f t="shared" si="476"/>
        <v/>
      </c>
      <c r="BA229" s="238"/>
      <c r="BB229" s="54" t="str">
        <f t="shared" si="477"/>
        <v/>
      </c>
      <c r="BC229" s="496">
        <f>+'Отчет о фин.рез.'!H51</f>
        <v>0</v>
      </c>
      <c r="BD229" s="38" t="str">
        <f t="shared" si="478"/>
        <v/>
      </c>
      <c r="BE229" s="470" t="str">
        <f t="shared" si="440"/>
        <v/>
      </c>
      <c r="BF229" s="470" t="str">
        <f t="shared" si="441"/>
        <v/>
      </c>
      <c r="BG229" s="344"/>
      <c r="BH229" s="54" t="str">
        <f t="shared" si="479"/>
        <v/>
      </c>
      <c r="BI229" s="238"/>
      <c r="BJ229" s="54" t="str">
        <f t="shared" si="480"/>
        <v/>
      </c>
      <c r="BK229" s="496">
        <f>+'Отчет о фин.рез.'!I51</f>
        <v>0</v>
      </c>
      <c r="BL229" s="38" t="str">
        <f t="shared" si="481"/>
        <v/>
      </c>
      <c r="BM229" s="470" t="str">
        <f t="shared" si="442"/>
        <v/>
      </c>
      <c r="BN229" s="470" t="str">
        <f t="shared" si="443"/>
        <v/>
      </c>
      <c r="BO229" s="344"/>
      <c r="BP229" s="54" t="str">
        <f t="shared" si="482"/>
        <v/>
      </c>
      <c r="BQ229" s="238"/>
      <c r="BR229" s="54" t="str">
        <f t="shared" si="483"/>
        <v/>
      </c>
      <c r="BS229" s="496">
        <f>+'Отчет о фин.рез.'!J51</f>
        <v>0</v>
      </c>
      <c r="BT229" s="38" t="str">
        <f t="shared" si="484"/>
        <v/>
      </c>
      <c r="BU229" s="470" t="str">
        <f t="shared" si="444"/>
        <v/>
      </c>
      <c r="BV229" s="470" t="str">
        <f t="shared" si="445"/>
        <v/>
      </c>
      <c r="BW229" s="344"/>
      <c r="BX229" s="54" t="str">
        <f t="shared" si="485"/>
        <v/>
      </c>
      <c r="BY229" s="238"/>
      <c r="BZ229" s="54" t="str">
        <f t="shared" si="486"/>
        <v/>
      </c>
      <c r="CA229" s="496">
        <f>+'Отчет о фин.рез.'!K51</f>
        <v>0</v>
      </c>
      <c r="CB229" s="38" t="str">
        <f t="shared" si="487"/>
        <v/>
      </c>
      <c r="CC229" s="470" t="str">
        <f t="shared" si="446"/>
        <v/>
      </c>
      <c r="CD229" s="470" t="str">
        <f t="shared" si="447"/>
        <v/>
      </c>
      <c r="CE229" s="344"/>
      <c r="CF229" s="54" t="str">
        <f t="shared" si="488"/>
        <v/>
      </c>
      <c r="CG229" s="238"/>
      <c r="CH229" s="54" t="str">
        <f t="shared" si="489"/>
        <v/>
      </c>
      <c r="CI229" s="496">
        <f>+'Отчет о фин.рез.'!L51</f>
        <v>0</v>
      </c>
      <c r="CJ229" s="38" t="str">
        <f t="shared" si="490"/>
        <v/>
      </c>
      <c r="CK229" s="470" t="str">
        <f t="shared" si="448"/>
        <v/>
      </c>
      <c r="CL229" s="470" t="str">
        <f t="shared" si="449"/>
        <v/>
      </c>
      <c r="CM229" s="344"/>
      <c r="CN229" s="54" t="str">
        <f t="shared" si="491"/>
        <v/>
      </c>
      <c r="CO229" s="238"/>
      <c r="CP229" s="54" t="str">
        <f t="shared" si="492"/>
        <v/>
      </c>
      <c r="CQ229" s="496">
        <f>+'Отчет о фин.рез.'!M51</f>
        <v>0</v>
      </c>
      <c r="CR229" s="38" t="str">
        <f t="shared" si="493"/>
        <v/>
      </c>
      <c r="CS229" s="470" t="str">
        <f t="shared" si="450"/>
        <v/>
      </c>
      <c r="CT229" s="470" t="str">
        <f t="shared" si="451"/>
        <v/>
      </c>
      <c r="CU229" s="344">
        <f t="shared" si="426"/>
        <v>0</v>
      </c>
      <c r="CV229" s="54" t="str">
        <f t="shared" si="452"/>
        <v/>
      </c>
      <c r="CW229" s="238">
        <f t="shared" si="427"/>
        <v>0</v>
      </c>
      <c r="CX229" s="54">
        <f t="shared" si="453"/>
        <v>0</v>
      </c>
      <c r="CY229" s="496">
        <f t="shared" si="454"/>
        <v>0</v>
      </c>
      <c r="CZ229" s="38">
        <f t="shared" si="455"/>
        <v>0</v>
      </c>
      <c r="DA229" s="470" t="str">
        <f t="shared" si="456"/>
        <v/>
      </c>
      <c r="DB229" s="470" t="str">
        <f t="shared" si="457"/>
        <v/>
      </c>
    </row>
    <row r="230" spans="2:106" s="123" customFormat="1" ht="18" customHeight="1">
      <c r="B230" s="124" t="s">
        <v>47</v>
      </c>
      <c r="C230" s="365">
        <f>+C211-C216</f>
        <v>0</v>
      </c>
      <c r="D230" s="69" t="str">
        <f t="shared" si="458"/>
        <v/>
      </c>
      <c r="E230" s="365">
        <f>+E211-E216</f>
        <v>0</v>
      </c>
      <c r="F230" s="69" t="str">
        <f t="shared" si="459"/>
        <v/>
      </c>
      <c r="G230" s="365">
        <f>+G211-G216</f>
        <v>0</v>
      </c>
      <c r="H230" s="69" t="str">
        <f t="shared" si="460"/>
        <v/>
      </c>
      <c r="I230" s="497" t="str">
        <f t="shared" si="428"/>
        <v/>
      </c>
      <c r="J230" s="497" t="str">
        <f t="shared" si="429"/>
        <v/>
      </c>
      <c r="K230" s="365">
        <f>+K211-K216</f>
        <v>0</v>
      </c>
      <c r="L230" s="69" t="str">
        <f t="shared" si="461"/>
        <v/>
      </c>
      <c r="M230" s="365">
        <f>+M211-M216</f>
        <v>0</v>
      </c>
      <c r="N230" s="69" t="str">
        <f t="shared" si="462"/>
        <v/>
      </c>
      <c r="O230" s="365">
        <f>+O211-O216</f>
        <v>0</v>
      </c>
      <c r="P230" s="69" t="str">
        <f t="shared" si="463"/>
        <v/>
      </c>
      <c r="Q230" s="497" t="str">
        <f t="shared" si="430"/>
        <v/>
      </c>
      <c r="R230" s="497" t="str">
        <f t="shared" si="431"/>
        <v/>
      </c>
      <c r="S230" s="365">
        <f>+S211-S216</f>
        <v>0</v>
      </c>
      <c r="T230" s="69" t="str">
        <f t="shared" si="464"/>
        <v/>
      </c>
      <c r="U230" s="365">
        <f>+U211-U216</f>
        <v>0</v>
      </c>
      <c r="V230" s="69" t="str">
        <f t="shared" si="465"/>
        <v/>
      </c>
      <c r="W230" s="365">
        <f>+W211-W216</f>
        <v>1196.3515000000002</v>
      </c>
      <c r="X230" s="69">
        <f t="shared" si="466"/>
        <v>0.20174901769001169</v>
      </c>
      <c r="Y230" s="497" t="str">
        <f t="shared" si="432"/>
        <v/>
      </c>
      <c r="Z230" s="497" t="str">
        <f t="shared" si="433"/>
        <v/>
      </c>
      <c r="AA230" s="365">
        <f>+AA211-AA216</f>
        <v>0</v>
      </c>
      <c r="AB230" s="69" t="str">
        <f t="shared" si="467"/>
        <v/>
      </c>
      <c r="AC230" s="365">
        <f>+AC211-AC216</f>
        <v>2062.7575142000005</v>
      </c>
      <c r="AD230" s="69">
        <f t="shared" si="468"/>
        <v>0.15087636442497868</v>
      </c>
      <c r="AE230" s="365">
        <f>+AE211-AE216</f>
        <v>1794.5870600000014</v>
      </c>
      <c r="AF230" s="69">
        <f t="shared" si="469"/>
        <v>0.13086566665694377</v>
      </c>
      <c r="AG230" s="497">
        <f t="shared" si="434"/>
        <v>-0.13000580647696913</v>
      </c>
      <c r="AH230" s="497" t="str">
        <f t="shared" si="435"/>
        <v/>
      </c>
      <c r="AI230" s="365">
        <f>+AI211-AI216</f>
        <v>0</v>
      </c>
      <c r="AJ230" s="69" t="str">
        <f t="shared" si="470"/>
        <v/>
      </c>
      <c r="AK230" s="365">
        <f>+AK211-AK216</f>
        <v>2053.7373349999998</v>
      </c>
      <c r="AL230" s="69">
        <f t="shared" si="471"/>
        <v>0.1469895029344403</v>
      </c>
      <c r="AM230" s="365">
        <f>+AM211-AM216</f>
        <v>2072.8160900000007</v>
      </c>
      <c r="AN230" s="69">
        <f t="shared" si="472"/>
        <v>0.1319207138988544</v>
      </c>
      <c r="AO230" s="497">
        <f t="shared" si="436"/>
        <v>9.289773660369649E-3</v>
      </c>
      <c r="AP230" s="497" t="str">
        <f t="shared" si="437"/>
        <v/>
      </c>
      <c r="AQ230" s="365">
        <f>+AQ211-AQ216</f>
        <v>0</v>
      </c>
      <c r="AR230" s="69" t="str">
        <f t="shared" si="473"/>
        <v/>
      </c>
      <c r="AS230" s="365">
        <f>+AS211-AS216</f>
        <v>1509.5599999999995</v>
      </c>
      <c r="AT230" s="69">
        <f t="shared" si="474"/>
        <v>0.10010344827586204</v>
      </c>
      <c r="AU230" s="365">
        <f>+AU211-AU216</f>
        <v>1651.4345400000007</v>
      </c>
      <c r="AV230" s="69">
        <f t="shared" si="475"/>
        <v>0.11586289708293865</v>
      </c>
      <c r="AW230" s="497">
        <f t="shared" si="438"/>
        <v>9.3984035083071404E-2</v>
      </c>
      <c r="AX230" s="497" t="str">
        <f t="shared" si="439"/>
        <v/>
      </c>
      <c r="AY230" s="365">
        <f>+AY211-AY216</f>
        <v>0</v>
      </c>
      <c r="AZ230" s="69" t="str">
        <f t="shared" si="476"/>
        <v/>
      </c>
      <c r="BA230" s="365">
        <f>+BA211-BA216</f>
        <v>2026.2060743297516</v>
      </c>
      <c r="BB230" s="69">
        <f t="shared" si="477"/>
        <v>0.12932542360489876</v>
      </c>
      <c r="BC230" s="365">
        <f>+BC211-BC216</f>
        <v>0</v>
      </c>
      <c r="BD230" s="69" t="str">
        <f t="shared" si="478"/>
        <v/>
      </c>
      <c r="BE230" s="497">
        <f t="shared" si="440"/>
        <v>-1</v>
      </c>
      <c r="BF230" s="497" t="str">
        <f t="shared" si="441"/>
        <v/>
      </c>
      <c r="BG230" s="365">
        <f>+BG211-BG216</f>
        <v>0</v>
      </c>
      <c r="BH230" s="69" t="str">
        <f t="shared" si="479"/>
        <v/>
      </c>
      <c r="BI230" s="365">
        <f>+BI211-BI216</f>
        <v>2016.2657003835152</v>
      </c>
      <c r="BJ230" s="69">
        <f t="shared" si="480"/>
        <v>0.12869096539866062</v>
      </c>
      <c r="BK230" s="365">
        <f>+BK211-BK216</f>
        <v>0</v>
      </c>
      <c r="BL230" s="69" t="str">
        <f t="shared" si="481"/>
        <v/>
      </c>
      <c r="BM230" s="497">
        <f t="shared" si="442"/>
        <v>-1</v>
      </c>
      <c r="BN230" s="497" t="str">
        <f t="shared" si="443"/>
        <v/>
      </c>
      <c r="BO230" s="365">
        <f>+BO211-BO216</f>
        <v>0</v>
      </c>
      <c r="BP230" s="69" t="str">
        <f t="shared" si="482"/>
        <v/>
      </c>
      <c r="BQ230" s="365">
        <f>+BQ211-BQ216</f>
        <v>1358.6810927821066</v>
      </c>
      <c r="BR230" s="69">
        <f t="shared" si="483"/>
        <v>9.3831567181084707E-2</v>
      </c>
      <c r="BS230" s="365">
        <f>+BS211-BS216</f>
        <v>0</v>
      </c>
      <c r="BT230" s="69" t="str">
        <f t="shared" si="484"/>
        <v/>
      </c>
      <c r="BU230" s="497">
        <f t="shared" si="444"/>
        <v>-1</v>
      </c>
      <c r="BV230" s="497" t="str">
        <f t="shared" si="445"/>
        <v/>
      </c>
      <c r="BW230" s="365">
        <f>+BW211-BW216</f>
        <v>0</v>
      </c>
      <c r="BX230" s="69" t="str">
        <f t="shared" si="485"/>
        <v/>
      </c>
      <c r="BY230" s="365">
        <f>+BY211-BY216</f>
        <v>3544.2302942682804</v>
      </c>
      <c r="BZ230" s="69">
        <f t="shared" si="486"/>
        <v>0.2516488616773207</v>
      </c>
      <c r="CA230" s="365">
        <f>+CA211-CA216</f>
        <v>0</v>
      </c>
      <c r="CB230" s="69" t="str">
        <f t="shared" si="487"/>
        <v/>
      </c>
      <c r="CC230" s="497">
        <f t="shared" si="446"/>
        <v>-1</v>
      </c>
      <c r="CD230" s="497" t="str">
        <f t="shared" si="447"/>
        <v/>
      </c>
      <c r="CE230" s="365">
        <f>+CE211-CE216</f>
        <v>0</v>
      </c>
      <c r="CF230" s="69" t="str">
        <f t="shared" si="488"/>
        <v/>
      </c>
      <c r="CG230" s="365">
        <f>+CG211-CG216</f>
        <v>3634.9114683957987</v>
      </c>
      <c r="CH230" s="69">
        <f t="shared" si="489"/>
        <v>0.24997629887327591</v>
      </c>
      <c r="CI230" s="365">
        <f>+CI211-CI216</f>
        <v>0</v>
      </c>
      <c r="CJ230" s="69" t="str">
        <f t="shared" si="490"/>
        <v/>
      </c>
      <c r="CK230" s="497">
        <f t="shared" si="448"/>
        <v>-1</v>
      </c>
      <c r="CL230" s="497" t="str">
        <f t="shared" si="449"/>
        <v/>
      </c>
      <c r="CM230" s="365">
        <f>+CM211-CM216</f>
        <v>0</v>
      </c>
      <c r="CN230" s="69" t="str">
        <f t="shared" si="491"/>
        <v/>
      </c>
      <c r="CO230" s="365">
        <f>+CO211-CO216</f>
        <v>3824.6317359625345</v>
      </c>
      <c r="CP230" s="69">
        <f t="shared" si="492"/>
        <v>0.24761179841705291</v>
      </c>
      <c r="CQ230" s="365">
        <f>+CQ211-CQ216</f>
        <v>0</v>
      </c>
      <c r="CR230" s="69" t="str">
        <f t="shared" si="493"/>
        <v/>
      </c>
      <c r="CS230" s="497">
        <f t="shared" si="450"/>
        <v>-1</v>
      </c>
      <c r="CT230" s="497" t="str">
        <f t="shared" si="451"/>
        <v/>
      </c>
      <c r="CU230" s="365">
        <f t="shared" si="426"/>
        <v>0</v>
      </c>
      <c r="CV230" s="69" t="str">
        <f t="shared" si="452"/>
        <v/>
      </c>
      <c r="CW230" s="365">
        <f t="shared" si="427"/>
        <v>22030.981215321986</v>
      </c>
      <c r="CX230" s="69">
        <f t="shared" si="453"/>
        <v>0.16613366478658967</v>
      </c>
      <c r="CY230" s="365">
        <f t="shared" si="454"/>
        <v>6715.1891900000028</v>
      </c>
      <c r="CZ230" s="69">
        <f t="shared" si="455"/>
        <v>0.13536220524803133</v>
      </c>
      <c r="DA230" s="497">
        <f t="shared" si="456"/>
        <v>-0.69519336772300644</v>
      </c>
      <c r="DB230" s="497" t="str">
        <f t="shared" si="457"/>
        <v/>
      </c>
    </row>
    <row r="231" spans="2:106" s="123" customFormat="1" ht="18" customHeight="1">
      <c r="B231" s="125"/>
      <c r="C231" s="349"/>
      <c r="D231" s="71"/>
      <c r="E231" s="349"/>
      <c r="F231" s="71"/>
      <c r="G231" s="349"/>
      <c r="H231" s="71"/>
      <c r="I231" s="498"/>
      <c r="J231" s="498"/>
      <c r="K231" s="349"/>
      <c r="L231" s="71"/>
      <c r="M231" s="349"/>
      <c r="N231" s="71"/>
      <c r="O231" s="349"/>
      <c r="P231" s="71"/>
      <c r="Q231" s="498"/>
      <c r="R231" s="498"/>
      <c r="S231" s="349"/>
      <c r="T231" s="71"/>
      <c r="U231" s="349"/>
      <c r="V231" s="71"/>
      <c r="W231" s="349"/>
      <c r="X231" s="71"/>
      <c r="Y231" s="498"/>
      <c r="Z231" s="498"/>
      <c r="AA231" s="349"/>
      <c r="AB231" s="71"/>
      <c r="AC231" s="349"/>
      <c r="AD231" s="71"/>
      <c r="AE231" s="349"/>
      <c r="AF231" s="71"/>
      <c r="AG231" s="498"/>
      <c r="AH231" s="498"/>
      <c r="AI231" s="349"/>
      <c r="AJ231" s="71"/>
      <c r="AK231" s="349"/>
      <c r="AL231" s="71"/>
      <c r="AM231" s="349"/>
      <c r="AN231" s="71"/>
      <c r="AO231" s="498"/>
      <c r="AP231" s="498"/>
      <c r="AQ231" s="349"/>
      <c r="AR231" s="71"/>
      <c r="AS231" s="349"/>
      <c r="AT231" s="71"/>
      <c r="AU231" s="349"/>
      <c r="AV231" s="71"/>
      <c r="AW231" s="498"/>
      <c r="AX231" s="498"/>
      <c r="AY231" s="349"/>
      <c r="AZ231" s="71"/>
      <c r="BA231" s="349"/>
      <c r="BB231" s="71"/>
      <c r="BC231" s="349"/>
      <c r="BD231" s="71"/>
      <c r="BE231" s="498"/>
      <c r="BF231" s="498"/>
      <c r="BG231" s="349"/>
      <c r="BH231" s="71"/>
      <c r="BI231" s="349"/>
      <c r="BJ231" s="71"/>
      <c r="BK231" s="349"/>
      <c r="BL231" s="71"/>
      <c r="BM231" s="498"/>
      <c r="BN231" s="498"/>
      <c r="BO231" s="349"/>
      <c r="BP231" s="71"/>
      <c r="BQ231" s="349"/>
      <c r="BR231" s="71"/>
      <c r="BS231" s="349"/>
      <c r="BT231" s="71"/>
      <c r="BU231" s="498"/>
      <c r="BV231" s="498"/>
      <c r="BW231" s="349"/>
      <c r="BX231" s="71"/>
      <c r="BY231" s="349"/>
      <c r="BZ231" s="71"/>
      <c r="CA231" s="349"/>
      <c r="CB231" s="71"/>
      <c r="CC231" s="498"/>
      <c r="CD231" s="498"/>
      <c r="CE231" s="349"/>
      <c r="CF231" s="71"/>
      <c r="CG231" s="349"/>
      <c r="CH231" s="71"/>
      <c r="CI231" s="349"/>
      <c r="CJ231" s="71"/>
      <c r="CK231" s="498"/>
      <c r="CL231" s="498"/>
      <c r="CM231" s="349"/>
      <c r="CN231" s="71"/>
      <c r="CO231" s="349"/>
      <c r="CP231" s="71"/>
      <c r="CQ231" s="349"/>
      <c r="CR231" s="71"/>
      <c r="CS231" s="498"/>
      <c r="CT231" s="498"/>
      <c r="CU231" s="349">
        <f t="shared" si="426"/>
        <v>0</v>
      </c>
      <c r="CV231" s="71"/>
      <c r="CW231" s="349">
        <f t="shared" si="427"/>
        <v>0</v>
      </c>
      <c r="CX231" s="71"/>
      <c r="CY231" s="349"/>
      <c r="CZ231" s="71"/>
      <c r="DA231" s="498"/>
      <c r="DB231" s="498"/>
    </row>
    <row r="232" spans="2:106" s="123" customFormat="1" ht="18" customHeight="1">
      <c r="B232" s="126" t="s">
        <v>48</v>
      </c>
      <c r="C232" s="127"/>
      <c r="D232" s="72" t="str">
        <f>IF(IFERROR(C232/C$4,"")=0,"",IFERROR(C232/C$4,""))</f>
        <v/>
      </c>
      <c r="E232" s="127"/>
      <c r="F232" s="72" t="str">
        <f>IF(IFERROR(E232/E$4,"")=0,"",IFERROR(E232/E$4,""))</f>
        <v/>
      </c>
      <c r="G232" s="366"/>
      <c r="H232" s="72" t="str">
        <f>IF(IFERROR(G232/G$4,"")=0,"",IFERROR(G232/G$4,""))</f>
        <v/>
      </c>
      <c r="I232" s="499" t="str">
        <f>IF(IFERROR(G232/E232-1,"")=0,"",IFERROR(+G232/E232-1,""))</f>
        <v/>
      </c>
      <c r="J232" s="499" t="str">
        <f>IF(IFERROR(G232/C232-1,"")=0,"",IFERROR(+G232/C232-1,""))</f>
        <v/>
      </c>
      <c r="K232" s="127"/>
      <c r="L232" s="72" t="str">
        <f>IF(IFERROR(K232/K$4,"")=0,"",IFERROR(K232/K$4,""))</f>
        <v/>
      </c>
      <c r="M232" s="127"/>
      <c r="N232" s="72" t="str">
        <f>IF(IFERROR(M232/M$4,"")=0,"",IFERROR(M232/M$4,""))</f>
        <v/>
      </c>
      <c r="O232" s="366"/>
      <c r="P232" s="72" t="str">
        <f>IF(IFERROR(O232/O$4,"")=0,"",IFERROR(O232/O$4,""))</f>
        <v/>
      </c>
      <c r="Q232" s="499" t="str">
        <f>IF(IFERROR(O232/M232-1,"")=0,"",IFERROR(+O232/M232-1,""))</f>
        <v/>
      </c>
      <c r="R232" s="499" t="str">
        <f>IF(IFERROR(O232/K232-1,"")=0,"",IFERROR(+O232/K232-1,""))</f>
        <v/>
      </c>
      <c r="S232" s="127"/>
      <c r="T232" s="72" t="str">
        <f>IF(IFERROR(S232/S$4,"")=0,"",IFERROR(S232/S$4,""))</f>
        <v/>
      </c>
      <c r="U232" s="127"/>
      <c r="V232" s="72" t="str">
        <f>IF(IFERROR(U232/U$4,"")=0,"",IFERROR(U232/U$4,""))</f>
        <v/>
      </c>
      <c r="W232" s="366"/>
      <c r="X232" s="72" t="str">
        <f>IF(IFERROR(W232/W$4,"")=0,"",IFERROR(W232/W$4,""))</f>
        <v/>
      </c>
      <c r="Y232" s="499" t="str">
        <f>IF(IFERROR(W232/U232-1,"")=0,"",IFERROR(+W232/U232-1,""))</f>
        <v/>
      </c>
      <c r="Z232" s="499" t="str">
        <f>IF(IFERROR(W232/S232-1,"")=0,"",IFERROR(+W232/S232-1,""))</f>
        <v/>
      </c>
      <c r="AA232" s="127"/>
      <c r="AB232" s="72" t="str">
        <f>IF(IFERROR(AA232/AA$4,"")=0,"",IFERROR(AA232/AA$4,""))</f>
        <v/>
      </c>
      <c r="AC232" s="127"/>
      <c r="AD232" s="72" t="str">
        <f>IF(IFERROR(AC232/AC$4,"")=0,"",IFERROR(AC232/AC$4,""))</f>
        <v/>
      </c>
      <c r="AE232" s="366"/>
      <c r="AF232" s="72" t="str">
        <f>IF(IFERROR(AE232/AE$4,"")=0,"",IFERROR(AE232/AE$4,""))</f>
        <v/>
      </c>
      <c r="AG232" s="499" t="str">
        <f>IF(IFERROR(AE232/AC232-1,"")=0,"",IFERROR(+AE232/AC232-1,""))</f>
        <v/>
      </c>
      <c r="AH232" s="499" t="str">
        <f>IF(IFERROR(AE232/AA232-1,"")=0,"",IFERROR(+AE232/AA232-1,""))</f>
        <v/>
      </c>
      <c r="AI232" s="127"/>
      <c r="AJ232" s="72" t="str">
        <f>IF(IFERROR(AI232/AI$4,"")=0,"",IFERROR(AI232/AI$4,""))</f>
        <v/>
      </c>
      <c r="AK232" s="127"/>
      <c r="AL232" s="72" t="str">
        <f>IF(IFERROR(AK232/AK$4,"")=0,"",IFERROR(AK232/AK$4,""))</f>
        <v/>
      </c>
      <c r="AM232" s="366"/>
      <c r="AN232" s="72" t="str">
        <f>IF(IFERROR(AM232/AM$4,"")=0,"",IFERROR(AM232/AM$4,""))</f>
        <v/>
      </c>
      <c r="AO232" s="499" t="str">
        <f>IF(IFERROR(AM232/AK232-1,"")=0,"",IFERROR(+AM232/AK232-1,""))</f>
        <v/>
      </c>
      <c r="AP232" s="499" t="str">
        <f>IF(IFERROR(AM232/AI232-1,"")=0,"",IFERROR(+AM232/AI232-1,""))</f>
        <v/>
      </c>
      <c r="AQ232" s="232"/>
      <c r="AR232" s="233" t="str">
        <f>IF(IFERROR(AQ232/AQ$4,"")=0,"",IFERROR(AQ232/AQ$4,""))</f>
        <v/>
      </c>
      <c r="AS232" s="127"/>
      <c r="AT232" s="72" t="str">
        <f>IF(IFERROR(AS232/AS$4,"")=0,"",IFERROR(AS232/AS$4,""))</f>
        <v/>
      </c>
      <c r="AU232" s="366"/>
      <c r="AV232" s="72" t="str">
        <f>IF(IFERROR(AU232/AU$4,"")=0,"",IFERROR(AU232/AU$4,""))</f>
        <v/>
      </c>
      <c r="AW232" s="499" t="str">
        <f>IF(IFERROR(AU232/AS232-1,"")=0,"",IFERROR(+AU232/AS232-1,""))</f>
        <v/>
      </c>
      <c r="AX232" s="499" t="str">
        <f>IF(IFERROR(AU232/AQ232-1,"")=0,"",IFERROR(+AU232/AQ232-1,""))</f>
        <v/>
      </c>
      <c r="AY232" s="232"/>
      <c r="AZ232" s="233" t="str">
        <f>IF(IFERROR(AY232/AY$4,"")=0,"",IFERROR(AY232/AY$4,""))</f>
        <v/>
      </c>
      <c r="BA232" s="127"/>
      <c r="BB232" s="72" t="str">
        <f>IF(IFERROR(BA232/BA$4,"")=0,"",IFERROR(BA232/BA$4,""))</f>
        <v/>
      </c>
      <c r="BC232" s="366"/>
      <c r="BD232" s="72" t="str">
        <f>IF(IFERROR(BC232/BC$4,"")=0,"",IFERROR(BC232/BC$4,""))</f>
        <v/>
      </c>
      <c r="BE232" s="499" t="str">
        <f>IF(IFERROR(BC232/BA232-1,"")=0,"",IFERROR(+BC232/BA232-1,""))</f>
        <v/>
      </c>
      <c r="BF232" s="499" t="str">
        <f>IF(IFERROR(BC232/AY232-1,"")=0,"",IFERROR(+BC232/AY232-1,""))</f>
        <v/>
      </c>
      <c r="BG232" s="232"/>
      <c r="BH232" s="233" t="str">
        <f>IF(IFERROR(BG232/BG$4,"")=0,"",IFERROR(BG232/BG$4,""))</f>
        <v/>
      </c>
      <c r="BI232" s="127"/>
      <c r="BJ232" s="72" t="str">
        <f>IF(IFERROR(BI232/BI$4,"")=0,"",IFERROR(BI232/BI$4,""))</f>
        <v/>
      </c>
      <c r="BK232" s="366"/>
      <c r="BL232" s="72" t="str">
        <f>IF(IFERROR(BK232/BK$4,"")=0,"",IFERROR(BK232/BK$4,""))</f>
        <v/>
      </c>
      <c r="BM232" s="499" t="str">
        <f>IF(IFERROR(BK232/BI232-1,"")=0,"",IFERROR(+BK232/BI232-1,""))</f>
        <v/>
      </c>
      <c r="BN232" s="499" t="str">
        <f>IF(IFERROR(BK232/BG232-1,"")=0,"",IFERROR(+BK232/BG232-1,""))</f>
        <v/>
      </c>
      <c r="BO232" s="232"/>
      <c r="BP232" s="233" t="str">
        <f>IF(IFERROR(BO232/BO$4,"")=0,"",IFERROR(BO232/BO$4,""))</f>
        <v/>
      </c>
      <c r="BQ232" s="127"/>
      <c r="BR232" s="72" t="str">
        <f>IF(IFERROR(BQ232/BQ$4,"")=0,"",IFERROR(BQ232/BQ$4,""))</f>
        <v/>
      </c>
      <c r="BS232" s="366"/>
      <c r="BT232" s="72" t="str">
        <f>IF(IFERROR(BS232/BS$4,"")=0,"",IFERROR(BS232/BS$4,""))</f>
        <v/>
      </c>
      <c r="BU232" s="499" t="str">
        <f>IF(IFERROR(BS232/BQ232-1,"")=0,"",IFERROR(+BS232/BQ232-1,""))</f>
        <v/>
      </c>
      <c r="BV232" s="499" t="str">
        <f>IF(IFERROR(BS232/BO232-1,"")=0,"",IFERROR(+BS232/BO232-1,""))</f>
        <v/>
      </c>
      <c r="BW232" s="232"/>
      <c r="BX232" s="233" t="str">
        <f>IF(IFERROR(BW232/BW$4,"")=0,"",IFERROR(BW232/BW$4,""))</f>
        <v/>
      </c>
      <c r="BY232" s="127"/>
      <c r="BZ232" s="72" t="str">
        <f>IF(IFERROR(BY232/BY$4,"")=0,"",IFERROR(BY232/BY$4,""))</f>
        <v/>
      </c>
      <c r="CA232" s="366"/>
      <c r="CB232" s="72" t="str">
        <f>IF(IFERROR(CA232/CA$4,"")=0,"",IFERROR(CA232/CA$4,""))</f>
        <v/>
      </c>
      <c r="CC232" s="499" t="str">
        <f>IF(IFERROR(CA232/BY232-1,"")=0,"",IFERROR(+CA232/BY232-1,""))</f>
        <v/>
      </c>
      <c r="CD232" s="499" t="str">
        <f>IF(IFERROR(CA232/BW232-1,"")=0,"",IFERROR(+CA232/BW232-1,""))</f>
        <v/>
      </c>
      <c r="CE232" s="232"/>
      <c r="CF232" s="233" t="str">
        <f>IF(IFERROR(CE232/CE$4,"")=0,"",IFERROR(CE232/CE$4,""))</f>
        <v/>
      </c>
      <c r="CG232" s="127"/>
      <c r="CH232" s="72" t="str">
        <f>IF(IFERROR(CG232/CG$4,"")=0,"",IFERROR(CG232/CG$4,""))</f>
        <v/>
      </c>
      <c r="CI232" s="366"/>
      <c r="CJ232" s="72" t="str">
        <f>IF(IFERROR(CI232/CI$4,"")=0,"",IFERROR(CI232/CI$4,""))</f>
        <v/>
      </c>
      <c r="CK232" s="499" t="str">
        <f>IF(IFERROR(CI232/CG232-1,"")=0,"",IFERROR(+CI232/CG232-1,""))</f>
        <v/>
      </c>
      <c r="CL232" s="499" t="str">
        <f>IF(IFERROR(CI232/CE232-1,"")=0,"",IFERROR(+CI232/CE232-1,""))</f>
        <v/>
      </c>
      <c r="CM232" s="232"/>
      <c r="CN232" s="233" t="str">
        <f>IF(IFERROR(CM232/CM$4,"")=0,"",IFERROR(CM232/CM$4,""))</f>
        <v/>
      </c>
      <c r="CO232" s="127"/>
      <c r="CP232" s="72" t="str">
        <f>IF(IFERROR(CO232/CO$4,"")=0,"",IFERROR(CO232/CO$4,""))</f>
        <v/>
      </c>
      <c r="CQ232" s="366"/>
      <c r="CR232" s="72" t="str">
        <f>IF(IFERROR(CQ232/CQ$4,"")=0,"",IFERROR(CQ232/CQ$4,""))</f>
        <v/>
      </c>
      <c r="CS232" s="499" t="str">
        <f>IF(IFERROR(CQ232/CO232-1,"")=0,"",IFERROR(+CQ232/CO232-1,""))</f>
        <v/>
      </c>
      <c r="CT232" s="499" t="str">
        <f>IF(IFERROR(CQ232/CM232-1,"")=0,"",IFERROR(+CQ232/CM232-1,""))</f>
        <v/>
      </c>
      <c r="CU232" s="232">
        <f t="shared" si="426"/>
        <v>0</v>
      </c>
      <c r="CV232" s="233" t="str">
        <f>IFERROR(CU232/CU$4,"")</f>
        <v/>
      </c>
      <c r="CW232" s="127">
        <f t="shared" si="427"/>
        <v>0</v>
      </c>
      <c r="CX232" s="72">
        <f>IFERROR(CW232/CW$4,"")</f>
        <v>0</v>
      </c>
      <c r="CY232" s="366">
        <f>SUM(G232,O232,W232,AE232,AM232,AU232,BC232,BK232,BS232,CA232,CI232,CQ232)</f>
        <v>0</v>
      </c>
      <c r="CZ232" s="72">
        <f>IFERROR(CY232/CY$4,"")</f>
        <v>0</v>
      </c>
      <c r="DA232" s="499" t="str">
        <f>IF(IFERROR(CY232/CW232-1,"")=0,"",IFERROR(+CY232/CW232-1,""))</f>
        <v/>
      </c>
      <c r="DB232" s="499" t="str">
        <f>IF(IFERROR(CY232/CU232-1,"")=0,"",IFERROR(+CY232/CU232-1,""))</f>
        <v/>
      </c>
    </row>
  </sheetData>
  <mergeCells count="13">
    <mergeCell ref="CU1:DB1"/>
    <mergeCell ref="C1:J1"/>
    <mergeCell ref="K1:R1"/>
    <mergeCell ref="BO1:BV1"/>
    <mergeCell ref="AA1:AH1"/>
    <mergeCell ref="BG1:BN1"/>
    <mergeCell ref="S1:Z1"/>
    <mergeCell ref="AI1:AP1"/>
    <mergeCell ref="CE1:CL1"/>
    <mergeCell ref="AY1:BF1"/>
    <mergeCell ref="CM1:CT1"/>
    <mergeCell ref="AQ1:AX1"/>
    <mergeCell ref="BW1:CD1"/>
  </mergeCells>
  <conditionalFormatting sqref="I4:I48">
    <cfRule type="expression" dxfId="311" priority="937">
      <formula>AND(ISNUMBER($I4),$I4&lt;&gt;0,$I4&gt;0.1)</formula>
    </cfRule>
    <cfRule type="expression" dxfId="310" priority="938">
      <formula>AND(ISNUMBER($I4),$I4&lt;&gt;0,$I4&gt;0.03,$I4&lt;=0.1)</formula>
    </cfRule>
    <cfRule type="expression" dxfId="309" priority="939">
      <formula>AND(ISNUMBER($I4),$I4&lt;&gt;0,$I4&lt;-0.1)</formula>
    </cfRule>
    <cfRule type="expression" dxfId="308" priority="940">
      <formula>AND(ISNUMBER($I4),$I4&lt;&gt;0,$I4&lt;-0.03,$I4&gt;=-0.1)</formula>
    </cfRule>
  </conditionalFormatting>
  <conditionalFormatting sqref="I49:I210">
    <cfRule type="expression" dxfId="307" priority="949">
      <formula>AND(ISNUMBER($I49),$I49&lt;&gt;0,$I49&lt;-0.1)</formula>
    </cfRule>
    <cfRule type="expression" dxfId="306" priority="950">
      <formula>AND(ISNUMBER($I49),$I49&lt;&gt;0,$I49&lt;-0.03,$I49&gt;=-0.1)</formula>
    </cfRule>
    <cfRule type="expression" dxfId="305" priority="951">
      <formula>AND(ISNUMBER($I49),$I49&lt;&gt;0,$I49&gt;0.1)</formula>
    </cfRule>
    <cfRule type="expression" dxfId="304" priority="952">
      <formula>AND(ISNUMBER($I49),$I49&lt;&gt;0,$I49&gt;0.03,$I49&lt;=0.1)</formula>
    </cfRule>
  </conditionalFormatting>
  <conditionalFormatting sqref="I211:I232">
    <cfRule type="expression" dxfId="303" priority="953">
      <formula>AND(ISNUMBER($I211),$I211&lt;&gt;0,$I211&gt;0.1)</formula>
    </cfRule>
    <cfRule type="expression" dxfId="302" priority="954">
      <formula>AND(ISNUMBER($I211),$I211&lt;&gt;0,$I211&gt;0.03,$I211&lt;=0.1)</formula>
    </cfRule>
    <cfRule type="expression" dxfId="301" priority="955">
      <formula>AND(ISNUMBER($I211),$I211&lt;&gt;0,$I211&lt;-0.1)</formula>
    </cfRule>
    <cfRule type="expression" dxfId="300" priority="956">
      <formula>AND(ISNUMBER($I211),$I211&lt;&gt;0,$I211&lt;-0.03,$I211&gt;=-0.1)</formula>
    </cfRule>
  </conditionalFormatting>
  <conditionalFormatting sqref="J4:J48">
    <cfRule type="expression" dxfId="299" priority="965">
      <formula>AND(ISNUMBER($J4),$J4&lt;&gt;0,$J4&gt;0.1)</formula>
    </cfRule>
    <cfRule type="expression" dxfId="298" priority="966">
      <formula>AND(ISNUMBER($J4),$J4&lt;&gt;0,$J4&gt;0.03,$J4&lt;=0.1)</formula>
    </cfRule>
    <cfRule type="expression" dxfId="297" priority="967">
      <formula>AND(ISNUMBER($J4),$J4&lt;&gt;0,$J4&lt;-0.1)</formula>
    </cfRule>
    <cfRule type="expression" dxfId="296" priority="968">
      <formula>AND(ISNUMBER($J4),$J4&lt;&gt;0,$J4&lt;-0.03,$J4&gt;=-0.1)</formula>
    </cfRule>
  </conditionalFormatting>
  <conditionalFormatting sqref="J49:J210">
    <cfRule type="expression" dxfId="295" priority="977">
      <formula>AND(ISNUMBER($J49),$J49&lt;&gt;0,$J49&lt;-0.1)</formula>
    </cfRule>
    <cfRule type="expression" dxfId="294" priority="978">
      <formula>AND(ISNUMBER($J49),$J49&lt;&gt;0,$J49&lt;-0.03,$J49&gt;=-0.1)</formula>
    </cfRule>
    <cfRule type="expression" dxfId="293" priority="979">
      <formula>AND(ISNUMBER($J49),$J49&lt;&gt;0,$J49&gt;0.1)</formula>
    </cfRule>
    <cfRule type="expression" dxfId="292" priority="980">
      <formula>AND(ISNUMBER($J49),$J49&lt;&gt;0,$J49&gt;0.03,$J49&lt;=0.1)</formula>
    </cfRule>
  </conditionalFormatting>
  <conditionalFormatting sqref="J211:J232">
    <cfRule type="expression" dxfId="291" priority="981">
      <formula>AND(ISNUMBER($J211),$J211&lt;&gt;0,$J211&gt;0.1)</formula>
    </cfRule>
    <cfRule type="expression" dxfId="290" priority="982">
      <formula>AND(ISNUMBER($J211),$J211&lt;&gt;0,$J211&gt;0.03,$J211&lt;=0.1)</formula>
    </cfRule>
    <cfRule type="expression" dxfId="289" priority="983">
      <formula>AND(ISNUMBER($J211),$J211&lt;&gt;0,$J211&lt;-0.1)</formula>
    </cfRule>
    <cfRule type="expression" dxfId="288" priority="984">
      <formula>AND(ISNUMBER($J211),$J211&lt;&gt;0,$J211&lt;-0.03,$J211&gt;=-0.1)</formula>
    </cfRule>
  </conditionalFormatting>
  <conditionalFormatting sqref="Q4:Q48">
    <cfRule type="expression" dxfId="287" priority="993">
      <formula>AND(ISNUMBER($Q4),$Q4&lt;&gt;0,$Q4&gt;0.1)</formula>
    </cfRule>
    <cfRule type="expression" dxfId="286" priority="994">
      <formula>AND(ISNUMBER($Q4),$Q4&lt;&gt;0,$Q4&gt;0.03,$Q4&lt;=0.1)</formula>
    </cfRule>
    <cfRule type="expression" dxfId="285" priority="995">
      <formula>AND(ISNUMBER($Q4),$Q4&lt;&gt;0,$Q4&lt;-0.1)</formula>
    </cfRule>
    <cfRule type="expression" dxfId="284" priority="996">
      <formula>AND(ISNUMBER($Q4),$Q4&lt;&gt;0,$Q4&lt;-0.03,$Q4&gt;=-0.1)</formula>
    </cfRule>
  </conditionalFormatting>
  <conditionalFormatting sqref="Q49:Q210">
    <cfRule type="expression" dxfId="283" priority="1005">
      <formula>AND(ISNUMBER($Q49),$Q49&lt;&gt;0,$Q49&lt;-0.1)</formula>
    </cfRule>
    <cfRule type="expression" dxfId="282" priority="1006">
      <formula>AND(ISNUMBER($Q49),$Q49&lt;&gt;0,$Q49&lt;-0.03,$Q49&gt;=-0.1)</formula>
    </cfRule>
    <cfRule type="expression" dxfId="281" priority="1007">
      <formula>AND(ISNUMBER($Q49),$Q49&lt;&gt;0,$Q49&gt;0.1)</formula>
    </cfRule>
    <cfRule type="expression" dxfId="280" priority="1008">
      <formula>AND(ISNUMBER($Q49),$Q49&lt;&gt;0,$Q49&gt;0.03,$Q49&lt;=0.1)</formula>
    </cfRule>
  </conditionalFormatting>
  <conditionalFormatting sqref="Q211:Q232">
    <cfRule type="expression" dxfId="279" priority="1009">
      <formula>AND(ISNUMBER($Q211),$Q211&lt;&gt;0,$Q211&gt;0.1)</formula>
    </cfRule>
    <cfRule type="expression" dxfId="278" priority="1010">
      <formula>AND(ISNUMBER($Q211),$Q211&lt;&gt;0,$Q211&gt;0.03,$Q211&lt;=0.1)</formula>
    </cfRule>
    <cfRule type="expression" dxfId="277" priority="1011">
      <formula>AND(ISNUMBER($Q211),$Q211&lt;&gt;0,$Q211&lt;-0.1)</formula>
    </cfRule>
    <cfRule type="expression" dxfId="276" priority="1012">
      <formula>AND(ISNUMBER($Q211),$Q211&lt;&gt;0,$Q211&lt;-0.03,$Q211&gt;=-0.1)</formula>
    </cfRule>
  </conditionalFormatting>
  <conditionalFormatting sqref="R4:R48">
    <cfRule type="expression" dxfId="275" priority="1021">
      <formula>AND(ISNUMBER($R4),$R4&lt;&gt;0,$R4&gt;0.1)</formula>
    </cfRule>
    <cfRule type="expression" dxfId="274" priority="1022">
      <formula>AND(ISNUMBER($R4),$R4&lt;&gt;0,$R4&gt;0.03,$R4&lt;=0.1)</formula>
    </cfRule>
    <cfRule type="expression" dxfId="273" priority="1023">
      <formula>AND(ISNUMBER($R4),$R4&lt;&gt;0,$R4&lt;-0.1)</formula>
    </cfRule>
    <cfRule type="expression" dxfId="272" priority="1024">
      <formula>AND(ISNUMBER($R4),$R4&lt;&gt;0,$R4&lt;-0.03,$R4&gt;=-0.1)</formula>
    </cfRule>
  </conditionalFormatting>
  <conditionalFormatting sqref="R49:R210">
    <cfRule type="expression" dxfId="271" priority="1033">
      <formula>AND(ISNUMBER($R49),$R49&lt;&gt;0,$R49&lt;-0.1)</formula>
    </cfRule>
    <cfRule type="expression" dxfId="270" priority="1034">
      <formula>AND(ISNUMBER($R49),$R49&lt;&gt;0,$R49&lt;-0.03,$R49&gt;=-0.1)</formula>
    </cfRule>
    <cfRule type="expression" dxfId="269" priority="1035">
      <formula>AND(ISNUMBER($R49),$R49&lt;&gt;0,$R49&gt;0.1)</formula>
    </cfRule>
    <cfRule type="expression" dxfId="268" priority="1036">
      <formula>AND(ISNUMBER($R49),$R49&lt;&gt;0,$R49&gt;0.03,$R49&lt;=0.1)</formula>
    </cfRule>
  </conditionalFormatting>
  <conditionalFormatting sqref="R211:R232">
    <cfRule type="expression" dxfId="267" priority="1037">
      <formula>AND(ISNUMBER($R211),$R211&lt;&gt;0,$R211&gt;0.1)</formula>
    </cfRule>
    <cfRule type="expression" dxfId="266" priority="1038">
      <formula>AND(ISNUMBER($R211),$R211&lt;&gt;0,$R211&gt;0.03,$R211&lt;=0.1)</formula>
    </cfRule>
    <cfRule type="expression" dxfId="265" priority="1039">
      <formula>AND(ISNUMBER($R211),$R211&lt;&gt;0,$R211&lt;-0.1)</formula>
    </cfRule>
    <cfRule type="expression" dxfId="264" priority="1040">
      <formula>AND(ISNUMBER($R211),$R211&lt;&gt;0,$R211&lt;-0.03,$R211&gt;=-0.1)</formula>
    </cfRule>
  </conditionalFormatting>
  <conditionalFormatting sqref="Y4:Y48">
    <cfRule type="expression" dxfId="263" priority="1049">
      <formula>AND(ISNUMBER($Y4),$Y4&lt;&gt;0,$Y4&gt;0.1)</formula>
    </cfRule>
    <cfRule type="expression" dxfId="262" priority="1050">
      <formula>AND(ISNUMBER($Y4),$Y4&lt;&gt;0,$Y4&gt;0.03,$Y4&lt;=0.1)</formula>
    </cfRule>
    <cfRule type="expression" dxfId="261" priority="1051">
      <formula>AND(ISNUMBER($Y4),$Y4&lt;&gt;0,$Y4&lt;-0.1)</formula>
    </cfRule>
    <cfRule type="expression" dxfId="260" priority="1052">
      <formula>AND(ISNUMBER($Y4),$Y4&lt;&gt;0,$Y4&lt;-0.03,$Y4&gt;=-0.1)</formula>
    </cfRule>
  </conditionalFormatting>
  <conditionalFormatting sqref="Y49:Y210">
    <cfRule type="expression" dxfId="259" priority="1061">
      <formula>AND(ISNUMBER($Y49),$Y49&lt;&gt;0,$Y49&lt;-0.1)</formula>
    </cfRule>
    <cfRule type="expression" dxfId="258" priority="1062">
      <formula>AND(ISNUMBER($Y49),$Y49&lt;&gt;0,$Y49&lt;-0.03,$Y49&gt;=-0.1)</formula>
    </cfRule>
    <cfRule type="expression" dxfId="257" priority="1063">
      <formula>AND(ISNUMBER($Y49),$Y49&lt;&gt;0,$Y49&gt;0.1)</formula>
    </cfRule>
    <cfRule type="expression" dxfId="256" priority="1064">
      <formula>AND(ISNUMBER($Y49),$Y49&lt;&gt;0,$Y49&gt;0.03,$Y49&lt;=0.1)</formula>
    </cfRule>
  </conditionalFormatting>
  <conditionalFormatting sqref="Y211:Y232">
    <cfRule type="expression" dxfId="255" priority="1065">
      <formula>AND(ISNUMBER($Y211),$Y211&lt;&gt;0,$Y211&gt;0.1)</formula>
    </cfRule>
    <cfRule type="expression" dxfId="254" priority="1066">
      <formula>AND(ISNUMBER($Y211),$Y211&lt;&gt;0,$Y211&gt;0.03,$Y211&lt;=0.1)</formula>
    </cfRule>
    <cfRule type="expression" dxfId="253" priority="1067">
      <formula>AND(ISNUMBER($Y211),$Y211&lt;&gt;0,$Y211&lt;-0.1)</formula>
    </cfRule>
    <cfRule type="expression" dxfId="252" priority="1068">
      <formula>AND(ISNUMBER($Y211),$Y211&lt;&gt;0,$Y211&lt;-0.03,$Y211&gt;=-0.1)</formula>
    </cfRule>
  </conditionalFormatting>
  <conditionalFormatting sqref="Z4:Z48">
    <cfRule type="expression" dxfId="251" priority="1077">
      <formula>AND(ISNUMBER($Z4),$Z4&lt;&gt;0,$Z4&gt;0.1)</formula>
    </cfRule>
    <cfRule type="expression" dxfId="250" priority="1078">
      <formula>AND(ISNUMBER($Z4),$Z4&lt;&gt;0,$Z4&gt;0.03,$Z4&lt;=0.1)</formula>
    </cfRule>
    <cfRule type="expression" dxfId="249" priority="1079">
      <formula>AND(ISNUMBER($Z4),$Z4&lt;&gt;0,$Z4&lt;-0.1)</formula>
    </cfRule>
    <cfRule type="expression" dxfId="248" priority="1080">
      <formula>AND(ISNUMBER($Z4),$Z4&lt;&gt;0,$Z4&lt;-0.03,$Z4&gt;=-0.1)</formula>
    </cfRule>
  </conditionalFormatting>
  <conditionalFormatting sqref="Z49:Z210">
    <cfRule type="expression" dxfId="247" priority="1089">
      <formula>AND(ISNUMBER($Z49),$Z49&lt;&gt;0,$Z49&lt;-0.1)</formula>
    </cfRule>
    <cfRule type="expression" dxfId="246" priority="1090">
      <formula>AND(ISNUMBER($Z49),$Z49&lt;&gt;0,$Z49&lt;-0.03,$Z49&gt;=-0.1)</formula>
    </cfRule>
    <cfRule type="expression" dxfId="245" priority="1091">
      <formula>AND(ISNUMBER($Z49),$Z49&lt;&gt;0,$Z49&gt;0.1)</formula>
    </cfRule>
    <cfRule type="expression" dxfId="244" priority="1092">
      <formula>AND(ISNUMBER($Z49),$Z49&lt;&gt;0,$Z49&gt;0.03,$Z49&lt;=0.1)</formula>
    </cfRule>
  </conditionalFormatting>
  <conditionalFormatting sqref="Z211:Z232">
    <cfRule type="expression" dxfId="243" priority="1093">
      <formula>AND(ISNUMBER($Z211),$Z211&lt;&gt;0,$Z211&gt;0.1)</formula>
    </cfRule>
    <cfRule type="expression" dxfId="242" priority="1094">
      <formula>AND(ISNUMBER($Z211),$Z211&lt;&gt;0,$Z211&gt;0.03,$Z211&lt;=0.1)</formula>
    </cfRule>
    <cfRule type="expression" dxfId="241" priority="1095">
      <formula>AND(ISNUMBER($Z211),$Z211&lt;&gt;0,$Z211&lt;-0.1)</formula>
    </cfRule>
    <cfRule type="expression" dxfId="240" priority="1096">
      <formula>AND(ISNUMBER($Z211),$Z211&lt;&gt;0,$Z211&lt;-0.03,$Z211&gt;=-0.1)</formula>
    </cfRule>
  </conditionalFormatting>
  <conditionalFormatting sqref="AG4:AG48">
    <cfRule type="expression" dxfId="239" priority="1105">
      <formula>AND(ISNUMBER($AG4),$AG4&lt;&gt;0,$AG4&gt;0.1)</formula>
    </cfRule>
    <cfRule type="expression" dxfId="238" priority="1106">
      <formula>AND(ISNUMBER($AG4),$AG4&lt;&gt;0,$AG4&gt;0.03,$AG4&lt;=0.1)</formula>
    </cfRule>
    <cfRule type="expression" dxfId="237" priority="1107">
      <formula>AND(ISNUMBER($AG4),$AG4&lt;&gt;0,$AG4&lt;-0.1)</formula>
    </cfRule>
    <cfRule type="expression" dxfId="236" priority="1108">
      <formula>AND(ISNUMBER($AG4),$AG4&lt;&gt;0,$AG4&lt;-0.03,$AG4&gt;=-0.1)</formula>
    </cfRule>
  </conditionalFormatting>
  <conditionalFormatting sqref="AG49:AG210">
    <cfRule type="expression" dxfId="235" priority="1117">
      <formula>AND(ISNUMBER($AG49),$AG49&lt;&gt;0,$AG49&lt;-0.1)</formula>
    </cfRule>
    <cfRule type="expression" dxfId="234" priority="1118">
      <formula>AND(ISNUMBER($AG49),$AG49&lt;&gt;0,$AG49&lt;-0.03,$AG49&gt;=-0.1)</formula>
    </cfRule>
    <cfRule type="expression" dxfId="233" priority="1119">
      <formula>AND(ISNUMBER($AG49),$AG49&lt;&gt;0,$AG49&gt;0.1)</formula>
    </cfRule>
    <cfRule type="expression" dxfId="232" priority="1120">
      <formula>AND(ISNUMBER($AG49),$AG49&lt;&gt;0,$AG49&gt;0.03,$AG49&lt;=0.1)</formula>
    </cfRule>
  </conditionalFormatting>
  <conditionalFormatting sqref="AG211:AG232">
    <cfRule type="expression" dxfId="231" priority="1121">
      <formula>AND(ISNUMBER($AG211),$AG211&lt;&gt;0,$AG211&gt;0.1)</formula>
    </cfRule>
    <cfRule type="expression" dxfId="230" priority="1122">
      <formula>AND(ISNUMBER($AG211),$AG211&lt;&gt;0,$AG211&gt;0.03,$AG211&lt;=0.1)</formula>
    </cfRule>
    <cfRule type="expression" dxfId="229" priority="1123">
      <formula>AND(ISNUMBER($AG211),$AG211&lt;&gt;0,$AG211&lt;-0.1)</formula>
    </cfRule>
    <cfRule type="expression" dxfId="228" priority="1124">
      <formula>AND(ISNUMBER($AG211),$AG211&lt;&gt;0,$AG211&lt;-0.03,$AG211&gt;=-0.1)</formula>
    </cfRule>
  </conditionalFormatting>
  <conditionalFormatting sqref="AH4:AH48">
    <cfRule type="expression" dxfId="227" priority="1133">
      <formula>AND(ISNUMBER($AH4),$AH4&lt;&gt;0,$AH4&gt;0.1)</formula>
    </cfRule>
    <cfRule type="expression" dxfId="226" priority="1134">
      <formula>AND(ISNUMBER($AH4),$AH4&lt;&gt;0,$AH4&gt;0.03,$AH4&lt;=0.1)</formula>
    </cfRule>
    <cfRule type="expression" dxfId="225" priority="1135">
      <formula>AND(ISNUMBER($AH4),$AH4&lt;&gt;0,$AH4&lt;-0.1)</formula>
    </cfRule>
    <cfRule type="expression" dxfId="224" priority="1136">
      <formula>AND(ISNUMBER($AH4),$AH4&lt;&gt;0,$AH4&lt;-0.03,$AH4&gt;=-0.1)</formula>
    </cfRule>
  </conditionalFormatting>
  <conditionalFormatting sqref="AH49:AH210">
    <cfRule type="expression" dxfId="223" priority="1145">
      <formula>AND(ISNUMBER($AH49),$AH49&lt;&gt;0,$AH49&lt;-0.1)</formula>
    </cfRule>
    <cfRule type="expression" dxfId="222" priority="1146">
      <formula>AND(ISNUMBER($AH49),$AH49&lt;&gt;0,$AH49&lt;-0.03,$AH49&gt;=-0.1)</formula>
    </cfRule>
    <cfRule type="expression" dxfId="221" priority="1147">
      <formula>AND(ISNUMBER($AH49),$AH49&lt;&gt;0,$AH49&gt;0.1)</formula>
    </cfRule>
    <cfRule type="expression" dxfId="220" priority="1148">
      <formula>AND(ISNUMBER($AH49),$AH49&lt;&gt;0,$AH49&gt;0.03,$AH49&lt;=0.1)</formula>
    </cfRule>
  </conditionalFormatting>
  <conditionalFormatting sqref="AH211:AH232">
    <cfRule type="expression" dxfId="219" priority="1149">
      <formula>AND(ISNUMBER($AH211),$AH211&lt;&gt;0,$AH211&gt;0.1)</formula>
    </cfRule>
    <cfRule type="expression" dxfId="218" priority="1150">
      <formula>AND(ISNUMBER($AH211),$AH211&lt;&gt;0,$AH211&gt;0.03,$AH211&lt;=0.1)</formula>
    </cfRule>
    <cfRule type="expression" dxfId="217" priority="1151">
      <formula>AND(ISNUMBER($AH211),$AH211&lt;&gt;0,$AH211&lt;-0.1)</formula>
    </cfRule>
    <cfRule type="expression" dxfId="216" priority="1152">
      <formula>AND(ISNUMBER($AH211),$AH211&lt;&gt;0,$AH211&lt;-0.03,$AH211&gt;=-0.1)</formula>
    </cfRule>
  </conditionalFormatting>
  <conditionalFormatting sqref="AO4:AO48">
    <cfRule type="expression" dxfId="215" priority="1161">
      <formula>AND(ISNUMBER($AO4),$AO4&lt;&gt;0,$AO4&gt;0.1)</formula>
    </cfRule>
    <cfRule type="expression" dxfId="214" priority="1162">
      <formula>AND(ISNUMBER($AO4),$AO4&lt;&gt;0,$AO4&gt;0.03,$AO4&lt;=0.1)</formula>
    </cfRule>
    <cfRule type="expression" dxfId="213" priority="1163">
      <formula>AND(ISNUMBER($AO4),$AO4&lt;&gt;0,$AO4&lt;-0.1)</formula>
    </cfRule>
    <cfRule type="expression" dxfId="212" priority="1164">
      <formula>AND(ISNUMBER($AO4),$AO4&lt;&gt;0,$AO4&lt;-0.03,$AO4&gt;=-0.1)</formula>
    </cfRule>
  </conditionalFormatting>
  <conditionalFormatting sqref="AO49:AO210">
    <cfRule type="expression" dxfId="211" priority="1173">
      <formula>AND(ISNUMBER($AO49),$AO49&lt;&gt;0,$AO49&lt;-0.1)</formula>
    </cfRule>
    <cfRule type="expression" dxfId="210" priority="1174">
      <formula>AND(ISNUMBER($AO49),$AO49&lt;&gt;0,$AO49&lt;-0.03,$AO49&gt;=-0.1)</formula>
    </cfRule>
    <cfRule type="expression" dxfId="209" priority="1175">
      <formula>AND(ISNUMBER($AO49),$AO49&lt;&gt;0,$AO49&gt;0.1)</formula>
    </cfRule>
    <cfRule type="expression" dxfId="208" priority="1176">
      <formula>AND(ISNUMBER($AO49),$AO49&lt;&gt;0,$AO49&gt;0.03,$AO49&lt;=0.1)</formula>
    </cfRule>
  </conditionalFormatting>
  <conditionalFormatting sqref="AO211:AO232">
    <cfRule type="expression" dxfId="207" priority="1177">
      <formula>AND(ISNUMBER($AO211),$AO211&lt;&gt;0,$AO211&gt;0.1)</formula>
    </cfRule>
    <cfRule type="expression" dxfId="206" priority="1178">
      <formula>AND(ISNUMBER($AO211),$AO211&lt;&gt;0,$AO211&gt;0.03,$AO211&lt;=0.1)</formula>
    </cfRule>
    <cfRule type="expression" dxfId="205" priority="1179">
      <formula>AND(ISNUMBER($AO211),$AO211&lt;&gt;0,$AO211&lt;-0.1)</formula>
    </cfRule>
    <cfRule type="expression" dxfId="204" priority="1180">
      <formula>AND(ISNUMBER($AO211),$AO211&lt;&gt;0,$AO211&lt;-0.03,$AO211&gt;=-0.1)</formula>
    </cfRule>
  </conditionalFormatting>
  <conditionalFormatting sqref="AP4:AP48">
    <cfRule type="expression" dxfId="203" priority="1189">
      <formula>AND(ISNUMBER($AP4),$AP4&lt;&gt;0,$AP4&gt;0.1)</formula>
    </cfRule>
    <cfRule type="expression" dxfId="202" priority="1190">
      <formula>AND(ISNUMBER($AP4),$AP4&lt;&gt;0,$AP4&gt;0.03,$AP4&lt;=0.1)</formula>
    </cfRule>
    <cfRule type="expression" dxfId="201" priority="1191">
      <formula>AND(ISNUMBER($AP4),$AP4&lt;&gt;0,$AP4&lt;-0.1)</formula>
    </cfRule>
    <cfRule type="expression" dxfId="200" priority="1192">
      <formula>AND(ISNUMBER($AP4),$AP4&lt;&gt;0,$AP4&lt;-0.03,$AP4&gt;=-0.1)</formula>
    </cfRule>
  </conditionalFormatting>
  <conditionalFormatting sqref="AP49:AP210">
    <cfRule type="expression" dxfId="199" priority="1201">
      <formula>AND(ISNUMBER($AP49),$AP49&lt;&gt;0,$AP49&lt;-0.1)</formula>
    </cfRule>
    <cfRule type="expression" dxfId="198" priority="1202">
      <formula>AND(ISNUMBER($AP49),$AP49&lt;&gt;0,$AP49&lt;-0.03,$AP49&gt;=-0.1)</formula>
    </cfRule>
    <cfRule type="expression" dxfId="197" priority="1203">
      <formula>AND(ISNUMBER($AP49),$AP49&lt;&gt;0,$AP49&gt;0.1)</formula>
    </cfRule>
    <cfRule type="expression" dxfId="196" priority="1204">
      <formula>AND(ISNUMBER($AP49),$AP49&lt;&gt;0,$AP49&gt;0.03,$AP49&lt;=0.1)</formula>
    </cfRule>
  </conditionalFormatting>
  <conditionalFormatting sqref="AP211:AP232">
    <cfRule type="expression" dxfId="195" priority="1205">
      <formula>AND(ISNUMBER($AP211),$AP211&lt;&gt;0,$AP211&gt;0.1)</formula>
    </cfRule>
    <cfRule type="expression" dxfId="194" priority="1206">
      <formula>AND(ISNUMBER($AP211),$AP211&lt;&gt;0,$AP211&gt;0.03,$AP211&lt;=0.1)</formula>
    </cfRule>
    <cfRule type="expression" dxfId="193" priority="1207">
      <formula>AND(ISNUMBER($AP211),$AP211&lt;&gt;0,$AP211&lt;-0.1)</formula>
    </cfRule>
    <cfRule type="expression" dxfId="192" priority="1208">
      <formula>AND(ISNUMBER($AP211),$AP211&lt;&gt;0,$AP211&lt;-0.03,$AP211&gt;=-0.1)</formula>
    </cfRule>
  </conditionalFormatting>
  <conditionalFormatting sqref="AW4:AW48">
    <cfRule type="expression" dxfId="191" priority="1217">
      <formula>AND(ISNUMBER($AW4),$AW4&lt;&gt;0,$AW4&gt;0.1)</formula>
    </cfRule>
    <cfRule type="expression" dxfId="190" priority="1218">
      <formula>AND(ISNUMBER($AW4),$AW4&lt;&gt;0,$AW4&gt;0.03,$AW4&lt;=0.1)</formula>
    </cfRule>
    <cfRule type="expression" dxfId="189" priority="1219">
      <formula>AND(ISNUMBER($AW4),$AW4&lt;&gt;0,$AW4&lt;-0.1)</formula>
    </cfRule>
    <cfRule type="expression" dxfId="188" priority="1220">
      <formula>AND(ISNUMBER($AW4),$AW4&lt;&gt;0,$AW4&lt;-0.03,$AW4&gt;=-0.1)</formula>
    </cfRule>
  </conditionalFormatting>
  <conditionalFormatting sqref="AW49:AW210">
    <cfRule type="expression" dxfId="187" priority="1229">
      <formula>AND(ISNUMBER($AW49),$AW49&lt;&gt;0,$AW49&lt;-0.1)</formula>
    </cfRule>
    <cfRule type="expression" dxfId="186" priority="1230">
      <formula>AND(ISNUMBER($AW49),$AW49&lt;&gt;0,$AW49&lt;-0.03,$AW49&gt;=-0.1)</formula>
    </cfRule>
    <cfRule type="expression" dxfId="185" priority="1231">
      <formula>AND(ISNUMBER($AW49),$AW49&lt;&gt;0,$AW49&gt;0.1)</formula>
    </cfRule>
    <cfRule type="expression" dxfId="184" priority="1232">
      <formula>AND(ISNUMBER($AW49),$AW49&lt;&gt;0,$AW49&gt;0.03,$AW49&lt;=0.1)</formula>
    </cfRule>
  </conditionalFormatting>
  <conditionalFormatting sqref="AW211:AW232">
    <cfRule type="expression" dxfId="183" priority="1233">
      <formula>AND(ISNUMBER($AW211),$AW211&lt;&gt;0,$AW211&gt;0.1)</formula>
    </cfRule>
    <cfRule type="expression" dxfId="182" priority="1234">
      <formula>AND(ISNUMBER($AW211),$AW211&lt;&gt;0,$AW211&gt;0.03,$AW211&lt;=0.1)</formula>
    </cfRule>
    <cfRule type="expression" dxfId="181" priority="1235">
      <formula>AND(ISNUMBER($AW211),$AW211&lt;&gt;0,$AW211&lt;-0.1)</formula>
    </cfRule>
    <cfRule type="expression" dxfId="180" priority="1236">
      <formula>AND(ISNUMBER($AW211),$AW211&lt;&gt;0,$AW211&lt;-0.03,$AW211&gt;=-0.1)</formula>
    </cfRule>
  </conditionalFormatting>
  <conditionalFormatting sqref="AX4:AX48">
    <cfRule type="expression" dxfId="179" priority="1245">
      <formula>AND(ISNUMBER($AX4),$AX4&lt;&gt;0,$AX4&gt;0.1)</formula>
    </cfRule>
    <cfRule type="expression" dxfId="178" priority="1246">
      <formula>AND(ISNUMBER($AX4),$AX4&lt;&gt;0,$AX4&gt;0.03,$AX4&lt;=0.1)</formula>
    </cfRule>
    <cfRule type="expression" dxfId="177" priority="1247">
      <formula>AND(ISNUMBER($AX4),$AX4&lt;&gt;0,$AX4&lt;-0.1)</formula>
    </cfRule>
    <cfRule type="expression" dxfId="176" priority="1248">
      <formula>AND(ISNUMBER($AX4),$AX4&lt;&gt;0,$AX4&lt;-0.03,$AX4&gt;=-0.1)</formula>
    </cfRule>
  </conditionalFormatting>
  <conditionalFormatting sqref="AX49:AX210">
    <cfRule type="expression" dxfId="175" priority="1257">
      <formula>AND(ISNUMBER($AX49),$AX49&lt;&gt;0,$AX49&lt;-0.1)</formula>
    </cfRule>
    <cfRule type="expression" dxfId="174" priority="1258">
      <formula>AND(ISNUMBER($AX49),$AX49&lt;&gt;0,$AX49&lt;-0.03,$AX49&gt;=-0.1)</formula>
    </cfRule>
    <cfRule type="expression" dxfId="173" priority="1259">
      <formula>AND(ISNUMBER($AX49),$AX49&lt;&gt;0,$AX49&gt;0.1)</formula>
    </cfRule>
    <cfRule type="expression" dxfId="172" priority="1260">
      <formula>AND(ISNUMBER($AX49),$AX49&lt;&gt;0,$AX49&gt;0.03,$AX49&lt;=0.1)</formula>
    </cfRule>
  </conditionalFormatting>
  <conditionalFormatting sqref="AX211:AX232">
    <cfRule type="expression" dxfId="171" priority="1261">
      <formula>AND(ISNUMBER($AX211),$AX211&lt;&gt;0,$AX211&gt;0.1)</formula>
    </cfRule>
    <cfRule type="expression" dxfId="170" priority="1262">
      <formula>AND(ISNUMBER($AX211),$AX211&lt;&gt;0,$AX211&gt;0.03,$AX211&lt;=0.1)</formula>
    </cfRule>
    <cfRule type="expression" dxfId="169" priority="1263">
      <formula>AND(ISNUMBER($AX211),$AX211&lt;&gt;0,$AX211&lt;-0.1)</formula>
    </cfRule>
    <cfRule type="expression" dxfId="168" priority="1264">
      <formula>AND(ISNUMBER($AX211),$AX211&lt;&gt;0,$AX211&lt;-0.03,$AX211&gt;=-0.1)</formula>
    </cfRule>
  </conditionalFormatting>
  <conditionalFormatting sqref="BE4:BE48">
    <cfRule type="expression" dxfId="167" priority="1273">
      <formula>AND(ISNUMBER($BE4),$BE4&lt;&gt;0,$BE4&gt;0.1)</formula>
    </cfRule>
    <cfRule type="expression" dxfId="166" priority="1274">
      <formula>AND(ISNUMBER($BE4),$BE4&lt;&gt;0,$BE4&gt;0.03,$BE4&lt;=0.1)</formula>
    </cfRule>
    <cfRule type="expression" dxfId="165" priority="1275">
      <formula>AND(ISNUMBER($BE4),$BE4&lt;&gt;0,$BE4&lt;-0.1)</formula>
    </cfRule>
    <cfRule type="expression" dxfId="164" priority="1276">
      <formula>AND(ISNUMBER($BE4),$BE4&lt;&gt;0,$BE4&lt;-0.03,$BE4&gt;=-0.1)</formula>
    </cfRule>
  </conditionalFormatting>
  <conditionalFormatting sqref="BE49:BE210">
    <cfRule type="expression" dxfId="163" priority="1285">
      <formula>AND(ISNUMBER($BE49),$BE49&lt;&gt;0,$BE49&lt;-0.1)</formula>
    </cfRule>
    <cfRule type="expression" dxfId="162" priority="1286">
      <formula>AND(ISNUMBER($BE49),$BE49&lt;&gt;0,$BE49&lt;-0.03,$BE49&gt;=-0.1)</formula>
    </cfRule>
    <cfRule type="expression" dxfId="161" priority="1287">
      <formula>AND(ISNUMBER($BE49),$BE49&lt;&gt;0,$BE49&gt;0.1)</formula>
    </cfRule>
    <cfRule type="expression" dxfId="160" priority="1288">
      <formula>AND(ISNUMBER($BE49),$BE49&lt;&gt;0,$BE49&gt;0.03,$BE49&lt;=0.1)</formula>
    </cfRule>
  </conditionalFormatting>
  <conditionalFormatting sqref="BE211:BE232">
    <cfRule type="expression" dxfId="159" priority="1289">
      <formula>AND(ISNUMBER($BE211),$BE211&lt;&gt;0,$BE211&gt;0.1)</formula>
    </cfRule>
    <cfRule type="expression" dxfId="158" priority="1290">
      <formula>AND(ISNUMBER($BE211),$BE211&lt;&gt;0,$BE211&gt;0.03,$BE211&lt;=0.1)</formula>
    </cfRule>
    <cfRule type="expression" dxfId="157" priority="1291">
      <formula>AND(ISNUMBER($BE211),$BE211&lt;&gt;0,$BE211&lt;-0.1)</formula>
    </cfRule>
    <cfRule type="expression" dxfId="156" priority="1292">
      <formula>AND(ISNUMBER($BE211),$BE211&lt;&gt;0,$BE211&lt;-0.03,$BE211&gt;=-0.1)</formula>
    </cfRule>
  </conditionalFormatting>
  <conditionalFormatting sqref="BF4:BF48">
    <cfRule type="expression" dxfId="155" priority="1301">
      <formula>AND(ISNUMBER($BF4),$BF4&lt;&gt;0,$BF4&gt;0.1)</formula>
    </cfRule>
    <cfRule type="expression" dxfId="154" priority="1302">
      <formula>AND(ISNUMBER($BF4),$BF4&lt;&gt;0,$BF4&gt;0.03,$BF4&lt;=0.1)</formula>
    </cfRule>
    <cfRule type="expression" dxfId="153" priority="1303">
      <formula>AND(ISNUMBER($BF4),$BF4&lt;&gt;0,$BF4&lt;-0.1)</formula>
    </cfRule>
    <cfRule type="expression" dxfId="152" priority="1304">
      <formula>AND(ISNUMBER($BF4),$BF4&lt;&gt;0,$BF4&lt;-0.03,$BF4&gt;=-0.1)</formula>
    </cfRule>
  </conditionalFormatting>
  <conditionalFormatting sqref="BF49:BF210">
    <cfRule type="expression" dxfId="151" priority="1313">
      <formula>AND(ISNUMBER($BF49),$BF49&lt;&gt;0,$BF49&lt;-0.1)</formula>
    </cfRule>
    <cfRule type="expression" dxfId="150" priority="1314">
      <formula>AND(ISNUMBER($BF49),$BF49&lt;&gt;0,$BF49&lt;-0.03,$BF49&gt;=-0.1)</formula>
    </cfRule>
    <cfRule type="expression" dxfId="149" priority="1315">
      <formula>AND(ISNUMBER($BF49),$BF49&lt;&gt;0,$BF49&gt;0.1)</formula>
    </cfRule>
    <cfRule type="expression" dxfId="148" priority="1316">
      <formula>AND(ISNUMBER($BF49),$BF49&lt;&gt;0,$BF49&gt;0.03,$BF49&lt;=0.1)</formula>
    </cfRule>
  </conditionalFormatting>
  <conditionalFormatting sqref="BF211:BF232">
    <cfRule type="expression" dxfId="147" priority="1317">
      <formula>AND(ISNUMBER($BF211),$BF211&lt;&gt;0,$BF211&gt;0.1)</formula>
    </cfRule>
    <cfRule type="expression" dxfId="146" priority="1318">
      <formula>AND(ISNUMBER($BF211),$BF211&lt;&gt;0,$BF211&gt;0.03,$BF211&lt;=0.1)</formula>
    </cfRule>
    <cfRule type="expression" dxfId="145" priority="1319">
      <formula>AND(ISNUMBER($BF211),$BF211&lt;&gt;0,$BF211&lt;-0.1)</formula>
    </cfRule>
    <cfRule type="expression" dxfId="144" priority="1320">
      <formula>AND(ISNUMBER($BF211),$BF211&lt;&gt;0,$BF211&lt;-0.03,$BF211&gt;=-0.1)</formula>
    </cfRule>
  </conditionalFormatting>
  <conditionalFormatting sqref="BM4:BM48">
    <cfRule type="expression" dxfId="143" priority="1329">
      <formula>AND(ISNUMBER($BM4),$BM4&lt;&gt;0,$BM4&gt;0.1)</formula>
    </cfRule>
    <cfRule type="expression" dxfId="142" priority="1330">
      <formula>AND(ISNUMBER($BM4),$BM4&lt;&gt;0,$BM4&gt;0.03,$BM4&lt;=0.1)</formula>
    </cfRule>
    <cfRule type="expression" dxfId="141" priority="1331">
      <formula>AND(ISNUMBER($BM4),$BM4&lt;&gt;0,$BM4&lt;-0.1)</formula>
    </cfRule>
    <cfRule type="expression" dxfId="140" priority="1332">
      <formula>AND(ISNUMBER($BM4),$BM4&lt;&gt;0,$BM4&lt;-0.03,$BM4&gt;=-0.1)</formula>
    </cfRule>
  </conditionalFormatting>
  <conditionalFormatting sqref="BM49:BM210">
    <cfRule type="expression" dxfId="139" priority="1341">
      <formula>AND(ISNUMBER($BM49),$BM49&lt;&gt;0,$BM49&lt;-0.1)</formula>
    </cfRule>
    <cfRule type="expression" dxfId="138" priority="1342">
      <formula>AND(ISNUMBER($BM49),$BM49&lt;&gt;0,$BM49&lt;-0.03,$BM49&gt;=-0.1)</formula>
    </cfRule>
    <cfRule type="expression" dxfId="137" priority="1343">
      <formula>AND(ISNUMBER($BM49),$BM49&lt;&gt;0,$BM49&gt;0.1)</formula>
    </cfRule>
    <cfRule type="expression" dxfId="136" priority="1344">
      <formula>AND(ISNUMBER($BM49),$BM49&lt;&gt;0,$BM49&gt;0.03,$BM49&lt;=0.1)</formula>
    </cfRule>
  </conditionalFormatting>
  <conditionalFormatting sqref="BM211:BM232">
    <cfRule type="expression" dxfId="135" priority="1345">
      <formula>AND(ISNUMBER($BM211),$BM211&lt;&gt;0,$BM211&gt;0.1)</formula>
    </cfRule>
    <cfRule type="expression" dxfId="134" priority="1346">
      <formula>AND(ISNUMBER($BM211),$BM211&lt;&gt;0,$BM211&gt;0.03,$BM211&lt;=0.1)</formula>
    </cfRule>
    <cfRule type="expression" dxfId="133" priority="1347">
      <formula>AND(ISNUMBER($BM211),$BM211&lt;&gt;0,$BM211&lt;-0.1)</formula>
    </cfRule>
    <cfRule type="expression" dxfId="132" priority="1348">
      <formula>AND(ISNUMBER($BM211),$BM211&lt;&gt;0,$BM211&lt;-0.03,$BM211&gt;=-0.1)</formula>
    </cfRule>
  </conditionalFormatting>
  <conditionalFormatting sqref="BN4:BN48">
    <cfRule type="expression" dxfId="131" priority="1357">
      <formula>AND(ISNUMBER($BN4),$BN4&lt;&gt;0,$BN4&gt;0.1)</formula>
    </cfRule>
    <cfRule type="expression" dxfId="130" priority="1358">
      <formula>AND(ISNUMBER($BN4),$BN4&lt;&gt;0,$BN4&gt;0.03,$BN4&lt;=0.1)</formula>
    </cfRule>
    <cfRule type="expression" dxfId="129" priority="1359">
      <formula>AND(ISNUMBER($BN4),$BN4&lt;&gt;0,$BN4&lt;-0.1)</formula>
    </cfRule>
    <cfRule type="expression" dxfId="128" priority="1360">
      <formula>AND(ISNUMBER($BN4),$BN4&lt;&gt;0,$BN4&lt;-0.03,$BN4&gt;=-0.1)</formula>
    </cfRule>
  </conditionalFormatting>
  <conditionalFormatting sqref="BN49:BN210">
    <cfRule type="expression" dxfId="127" priority="1369">
      <formula>AND(ISNUMBER($BN49),$BN49&lt;&gt;0,$BN49&lt;-0.1)</formula>
    </cfRule>
    <cfRule type="expression" dxfId="126" priority="1370">
      <formula>AND(ISNUMBER($BN49),$BN49&lt;&gt;0,$BN49&lt;-0.03,$BN49&gt;=-0.1)</formula>
    </cfRule>
    <cfRule type="expression" dxfId="125" priority="1371">
      <formula>AND(ISNUMBER($BN49),$BN49&lt;&gt;0,$BN49&gt;0.1)</formula>
    </cfRule>
    <cfRule type="expression" dxfId="124" priority="1372">
      <formula>AND(ISNUMBER($BN49),$BN49&lt;&gt;0,$BN49&gt;0.03,$BN49&lt;=0.1)</formula>
    </cfRule>
  </conditionalFormatting>
  <conditionalFormatting sqref="BN211:BN232">
    <cfRule type="expression" dxfId="123" priority="1373">
      <formula>AND(ISNUMBER($BN211),$BN211&lt;&gt;0,$BN211&gt;0.1)</formula>
    </cfRule>
    <cfRule type="expression" dxfId="122" priority="1374">
      <formula>AND(ISNUMBER($BN211),$BN211&lt;&gt;0,$BN211&gt;0.03,$BN211&lt;=0.1)</formula>
    </cfRule>
    <cfRule type="expression" dxfId="121" priority="1375">
      <formula>AND(ISNUMBER($BN211),$BN211&lt;&gt;0,$BN211&lt;-0.1)</formula>
    </cfRule>
    <cfRule type="expression" dxfId="120" priority="1376">
      <formula>AND(ISNUMBER($BN211),$BN211&lt;&gt;0,$BN211&lt;-0.03,$BN211&gt;=-0.1)</formula>
    </cfRule>
  </conditionalFormatting>
  <conditionalFormatting sqref="BU4:BU48">
    <cfRule type="expression" dxfId="119" priority="1385">
      <formula>AND(ISNUMBER($BU4),$BU4&lt;&gt;0,$BU4&gt;0.1)</formula>
    </cfRule>
    <cfRule type="expression" dxfId="118" priority="1386">
      <formula>AND(ISNUMBER($BU4),$BU4&lt;&gt;0,$BU4&gt;0.03,$BU4&lt;=0.1)</formula>
    </cfRule>
    <cfRule type="expression" dxfId="117" priority="1387">
      <formula>AND(ISNUMBER($BU4),$BU4&lt;&gt;0,$BU4&lt;-0.1)</formula>
    </cfRule>
    <cfRule type="expression" dxfId="116" priority="1388">
      <formula>AND(ISNUMBER($BU4),$BU4&lt;&gt;0,$BU4&lt;-0.03,$BU4&gt;=-0.1)</formula>
    </cfRule>
  </conditionalFormatting>
  <conditionalFormatting sqref="BU49:BU210">
    <cfRule type="expression" dxfId="115" priority="1397">
      <formula>AND(ISNUMBER($BU49),$BU49&lt;&gt;0,$BU49&lt;-0.1)</formula>
    </cfRule>
    <cfRule type="expression" dxfId="114" priority="1398">
      <formula>AND(ISNUMBER($BU49),$BU49&lt;&gt;0,$BU49&lt;-0.03,$BU49&gt;=-0.1)</formula>
    </cfRule>
    <cfRule type="expression" dxfId="113" priority="1399">
      <formula>AND(ISNUMBER($BU49),$BU49&lt;&gt;0,$BU49&gt;0.1)</formula>
    </cfRule>
    <cfRule type="expression" dxfId="112" priority="1400">
      <formula>AND(ISNUMBER($BU49),$BU49&lt;&gt;0,$BU49&gt;0.03,$BU49&lt;=0.1)</formula>
    </cfRule>
  </conditionalFormatting>
  <conditionalFormatting sqref="BU211:BU232">
    <cfRule type="expression" dxfId="111" priority="1401">
      <formula>AND(ISNUMBER($BU211),$BU211&lt;&gt;0,$BU211&gt;0.1)</formula>
    </cfRule>
    <cfRule type="expression" dxfId="110" priority="1402">
      <formula>AND(ISNUMBER($BU211),$BU211&lt;&gt;0,$BU211&gt;0.03,$BU211&lt;=0.1)</formula>
    </cfRule>
    <cfRule type="expression" dxfId="109" priority="1403">
      <formula>AND(ISNUMBER($BU211),$BU211&lt;&gt;0,$BU211&lt;-0.1)</formula>
    </cfRule>
    <cfRule type="expression" dxfId="108" priority="1404">
      <formula>AND(ISNUMBER($BU211),$BU211&lt;&gt;0,$BU211&lt;-0.03,$BU211&gt;=-0.1)</formula>
    </cfRule>
  </conditionalFormatting>
  <conditionalFormatting sqref="BV4:BV48">
    <cfRule type="expression" dxfId="107" priority="1413">
      <formula>AND(ISNUMBER($BV4),$BV4&lt;&gt;0,$BV4&gt;0.1)</formula>
    </cfRule>
    <cfRule type="expression" dxfId="106" priority="1414">
      <formula>AND(ISNUMBER($BV4),$BV4&lt;&gt;0,$BV4&gt;0.03,$BV4&lt;=0.1)</formula>
    </cfRule>
    <cfRule type="expression" dxfId="105" priority="1415">
      <formula>AND(ISNUMBER($BV4),$BV4&lt;&gt;0,$BV4&lt;-0.1)</formula>
    </cfRule>
    <cfRule type="expression" dxfId="104" priority="1416">
      <formula>AND(ISNUMBER($BV4),$BV4&lt;&gt;0,$BV4&lt;-0.03,$BV4&gt;=-0.1)</formula>
    </cfRule>
  </conditionalFormatting>
  <conditionalFormatting sqref="BV49:BV210">
    <cfRule type="expression" dxfId="103" priority="1425">
      <formula>AND(ISNUMBER($BV49),$BV49&lt;&gt;0,$BV49&lt;-0.1)</formula>
    </cfRule>
    <cfRule type="expression" dxfId="102" priority="1426">
      <formula>AND(ISNUMBER($BV49),$BV49&lt;&gt;0,$BV49&lt;-0.03,$BV49&gt;=-0.1)</formula>
    </cfRule>
    <cfRule type="expression" dxfId="101" priority="1427">
      <formula>AND(ISNUMBER($BV49),$BV49&lt;&gt;0,$BV49&gt;0.1)</formula>
    </cfRule>
    <cfRule type="expression" dxfId="100" priority="1428">
      <formula>AND(ISNUMBER($BV49),$BV49&lt;&gt;0,$BV49&gt;0.03,$BV49&lt;=0.1)</formula>
    </cfRule>
  </conditionalFormatting>
  <conditionalFormatting sqref="BV211:BV232">
    <cfRule type="expression" dxfId="99" priority="1429">
      <formula>AND(ISNUMBER($BV211),$BV211&lt;&gt;0,$BV211&gt;0.1)</formula>
    </cfRule>
    <cfRule type="expression" dxfId="98" priority="1430">
      <formula>AND(ISNUMBER($BV211),$BV211&lt;&gt;0,$BV211&gt;0.03,$BV211&lt;=0.1)</formula>
    </cfRule>
    <cfRule type="expression" dxfId="97" priority="1431">
      <formula>AND(ISNUMBER($BV211),$BV211&lt;&gt;0,$BV211&lt;-0.1)</formula>
    </cfRule>
    <cfRule type="expression" dxfId="96" priority="1432">
      <formula>AND(ISNUMBER($BV211),$BV211&lt;&gt;0,$BV211&lt;-0.03,$BV211&gt;=-0.1)</formula>
    </cfRule>
  </conditionalFormatting>
  <conditionalFormatting sqref="CC4:CC48">
    <cfRule type="expression" dxfId="95" priority="1441">
      <formula>AND(ISNUMBER($CC4),$CC4&lt;&gt;0,$CC4&gt;0.1)</formula>
    </cfRule>
    <cfRule type="expression" dxfId="94" priority="1442">
      <formula>AND(ISNUMBER($CC4),$CC4&lt;&gt;0,$CC4&gt;0.03,$CC4&lt;=0.1)</formula>
    </cfRule>
    <cfRule type="expression" dxfId="93" priority="1443">
      <formula>AND(ISNUMBER($CC4),$CC4&lt;&gt;0,$CC4&lt;-0.1)</formula>
    </cfRule>
    <cfRule type="expression" dxfId="92" priority="1444">
      <formula>AND(ISNUMBER($CC4),$CC4&lt;&gt;0,$CC4&lt;-0.03,$CC4&gt;=-0.1)</formula>
    </cfRule>
  </conditionalFormatting>
  <conditionalFormatting sqref="CC49:CC210">
    <cfRule type="expression" dxfId="91" priority="1453">
      <formula>AND(ISNUMBER($CC49),$CC49&lt;&gt;0,$CC49&lt;-0.1)</formula>
    </cfRule>
    <cfRule type="expression" dxfId="90" priority="1454">
      <formula>AND(ISNUMBER($CC49),$CC49&lt;&gt;0,$CC49&lt;-0.03,$CC49&gt;=-0.1)</formula>
    </cfRule>
    <cfRule type="expression" dxfId="89" priority="1455">
      <formula>AND(ISNUMBER($CC49),$CC49&lt;&gt;0,$CC49&gt;0.1)</formula>
    </cfRule>
    <cfRule type="expression" dxfId="88" priority="1456">
      <formula>AND(ISNUMBER($CC49),$CC49&lt;&gt;0,$CC49&gt;0.03,$CC49&lt;=0.1)</formula>
    </cfRule>
  </conditionalFormatting>
  <conditionalFormatting sqref="CC211:CC232">
    <cfRule type="expression" dxfId="87" priority="1457">
      <formula>AND(ISNUMBER($CC211),$CC211&lt;&gt;0,$CC211&gt;0.1)</formula>
    </cfRule>
    <cfRule type="expression" dxfId="86" priority="1458">
      <formula>AND(ISNUMBER($CC211),$CC211&lt;&gt;0,$CC211&gt;0.03,$CC211&lt;=0.1)</formula>
    </cfRule>
    <cfRule type="expression" dxfId="85" priority="1459">
      <formula>AND(ISNUMBER($CC211),$CC211&lt;&gt;0,$CC211&lt;-0.1)</formula>
    </cfRule>
    <cfRule type="expression" dxfId="84" priority="1460">
      <formula>AND(ISNUMBER($CC211),$CC211&lt;&gt;0,$CC211&lt;-0.03,$CC211&gt;=-0.1)</formula>
    </cfRule>
  </conditionalFormatting>
  <conditionalFormatting sqref="CD4:CD48">
    <cfRule type="expression" dxfId="83" priority="1469">
      <formula>AND(ISNUMBER($CD4),$CD4&lt;&gt;0,$CD4&gt;0.1)</formula>
    </cfRule>
    <cfRule type="expression" dxfId="82" priority="1470">
      <formula>AND(ISNUMBER($CD4),$CD4&lt;&gt;0,$CD4&gt;0.03,$CD4&lt;=0.1)</formula>
    </cfRule>
    <cfRule type="expression" dxfId="81" priority="1471">
      <formula>AND(ISNUMBER($CD4),$CD4&lt;&gt;0,$CD4&lt;-0.1)</formula>
    </cfRule>
    <cfRule type="expression" dxfId="80" priority="1472">
      <formula>AND(ISNUMBER($CD4),$CD4&lt;&gt;0,$CD4&lt;-0.03,$CD4&gt;=-0.1)</formula>
    </cfRule>
  </conditionalFormatting>
  <conditionalFormatting sqref="CD49:CD210">
    <cfRule type="expression" dxfId="79" priority="1481">
      <formula>AND(ISNUMBER($CD49),$CD49&lt;&gt;0,$CD49&lt;-0.1)</formula>
    </cfRule>
    <cfRule type="expression" dxfId="78" priority="1482">
      <formula>AND(ISNUMBER($CD49),$CD49&lt;&gt;0,$CD49&lt;-0.03,$CD49&gt;=-0.1)</formula>
    </cfRule>
    <cfRule type="expression" dxfId="77" priority="1483">
      <formula>AND(ISNUMBER($CD49),$CD49&lt;&gt;0,$CD49&gt;0.1)</formula>
    </cfRule>
    <cfRule type="expression" dxfId="76" priority="1484">
      <formula>AND(ISNUMBER($CD49),$CD49&lt;&gt;0,$CD49&gt;0.03,$CD49&lt;=0.1)</formula>
    </cfRule>
  </conditionalFormatting>
  <conditionalFormatting sqref="CD211:CD232">
    <cfRule type="expression" dxfId="75" priority="1485">
      <formula>AND(ISNUMBER($CD211),$CD211&lt;&gt;0,$CD211&gt;0.1)</formula>
    </cfRule>
    <cfRule type="expression" dxfId="74" priority="1486">
      <formula>AND(ISNUMBER($CD211),$CD211&lt;&gt;0,$CD211&gt;0.03,$CD211&lt;=0.1)</formula>
    </cfRule>
    <cfRule type="expression" dxfId="73" priority="1487">
      <formula>AND(ISNUMBER($CD211),$CD211&lt;&gt;0,$CD211&lt;-0.1)</formula>
    </cfRule>
    <cfRule type="expression" dxfId="72" priority="1488">
      <formula>AND(ISNUMBER($CD211),$CD211&lt;&gt;0,$CD211&lt;-0.03,$CD211&gt;=-0.1)</formula>
    </cfRule>
  </conditionalFormatting>
  <conditionalFormatting sqref="CK4:CK48">
    <cfRule type="expression" dxfId="71" priority="1497">
      <formula>AND(ISNUMBER($CK4),$CK4&lt;&gt;0,$CK4&gt;0.1)</formula>
    </cfRule>
    <cfRule type="expression" dxfId="70" priority="1498">
      <formula>AND(ISNUMBER($CK4),$CK4&lt;&gt;0,$CK4&gt;0.03,$CK4&lt;=0.1)</formula>
    </cfRule>
    <cfRule type="expression" dxfId="69" priority="1499">
      <formula>AND(ISNUMBER($CK4),$CK4&lt;&gt;0,$CK4&lt;-0.1)</formula>
    </cfRule>
    <cfRule type="expression" dxfId="68" priority="1500">
      <formula>AND(ISNUMBER($CK4),$CK4&lt;&gt;0,$CK4&lt;-0.03,$CK4&gt;=-0.1)</formula>
    </cfRule>
  </conditionalFormatting>
  <conditionalFormatting sqref="CK49:CK210">
    <cfRule type="expression" dxfId="67" priority="1509">
      <formula>AND(ISNUMBER($CK49),$CK49&lt;&gt;0,$CK49&lt;-0.1)</formula>
    </cfRule>
    <cfRule type="expression" dxfId="66" priority="1510">
      <formula>AND(ISNUMBER($CK49),$CK49&lt;&gt;0,$CK49&lt;-0.03,$CK49&gt;=-0.1)</formula>
    </cfRule>
    <cfRule type="expression" dxfId="65" priority="1511">
      <formula>AND(ISNUMBER($CK49),$CK49&lt;&gt;0,$CK49&gt;0.1)</formula>
    </cfRule>
    <cfRule type="expression" dxfId="64" priority="1512">
      <formula>AND(ISNUMBER($CK49),$CK49&lt;&gt;0,$CK49&gt;0.03,$CK49&lt;=0.1)</formula>
    </cfRule>
  </conditionalFormatting>
  <conditionalFormatting sqref="CK211:CK232">
    <cfRule type="expression" dxfId="63" priority="1513">
      <formula>AND(ISNUMBER($CK211),$CK211&lt;&gt;0,$CK211&gt;0.1)</formula>
    </cfRule>
    <cfRule type="expression" dxfId="62" priority="1514">
      <formula>AND(ISNUMBER($CK211),$CK211&lt;&gt;0,$CK211&gt;0.03,$CK211&lt;=0.1)</formula>
    </cfRule>
    <cfRule type="expression" dxfId="61" priority="1515">
      <formula>AND(ISNUMBER($CK211),$CK211&lt;&gt;0,$CK211&lt;-0.1)</formula>
    </cfRule>
    <cfRule type="expression" dxfId="60" priority="1516">
      <formula>AND(ISNUMBER($CK211),$CK211&lt;&gt;0,$CK211&lt;-0.03,$CK211&gt;=-0.1)</formula>
    </cfRule>
  </conditionalFormatting>
  <conditionalFormatting sqref="CL4:CL48">
    <cfRule type="expression" dxfId="59" priority="1525">
      <formula>AND(ISNUMBER($CL4),$CL4&lt;&gt;0,$CL4&gt;0.1)</formula>
    </cfRule>
    <cfRule type="expression" dxfId="58" priority="1526">
      <formula>AND(ISNUMBER($CL4),$CL4&lt;&gt;0,$CL4&gt;0.03,$CL4&lt;=0.1)</formula>
    </cfRule>
    <cfRule type="expression" dxfId="57" priority="1527">
      <formula>AND(ISNUMBER($CL4),$CL4&lt;&gt;0,$CL4&lt;-0.1)</formula>
    </cfRule>
    <cfRule type="expression" dxfId="56" priority="1528">
      <formula>AND(ISNUMBER($CL4),$CL4&lt;&gt;0,$CL4&lt;-0.03,$CL4&gt;=-0.1)</formula>
    </cfRule>
  </conditionalFormatting>
  <conditionalFormatting sqref="CL49:CL210">
    <cfRule type="expression" dxfId="55" priority="1537">
      <formula>AND(ISNUMBER($CL49),$CL49&lt;&gt;0,$CL49&lt;-0.1)</formula>
    </cfRule>
    <cfRule type="expression" dxfId="54" priority="1538">
      <formula>AND(ISNUMBER($CL49),$CL49&lt;&gt;0,$CL49&lt;-0.03,$CL49&gt;=-0.1)</formula>
    </cfRule>
    <cfRule type="expression" dxfId="53" priority="1539">
      <formula>AND(ISNUMBER($CL49),$CL49&lt;&gt;0,$CL49&gt;0.1)</formula>
    </cfRule>
    <cfRule type="expression" dxfId="52" priority="1540">
      <formula>AND(ISNUMBER($CL49),$CL49&lt;&gt;0,$CL49&gt;0.03,$CL49&lt;=0.1)</formula>
    </cfRule>
  </conditionalFormatting>
  <conditionalFormatting sqref="CL211:CL232">
    <cfRule type="expression" dxfId="51" priority="1541">
      <formula>AND(ISNUMBER($CL211),$CL211&lt;&gt;0,$CL211&gt;0.1)</formula>
    </cfRule>
    <cfRule type="expression" dxfId="50" priority="1542">
      <formula>AND(ISNUMBER($CL211),$CL211&lt;&gt;0,$CL211&gt;0.03,$CL211&lt;=0.1)</formula>
    </cfRule>
    <cfRule type="expression" dxfId="49" priority="1543">
      <formula>AND(ISNUMBER($CL211),$CL211&lt;&gt;0,$CL211&lt;-0.1)</formula>
    </cfRule>
    <cfRule type="expression" dxfId="48" priority="1544">
      <formula>AND(ISNUMBER($CL211),$CL211&lt;&gt;0,$CL211&lt;-0.03,$CL211&gt;=-0.1)</formula>
    </cfRule>
  </conditionalFormatting>
  <conditionalFormatting sqref="CS4:CS48">
    <cfRule type="expression" dxfId="47" priority="1553">
      <formula>AND(ISNUMBER($CS4),$CS4&lt;&gt;0,$CS4&gt;0.1)</formula>
    </cfRule>
    <cfRule type="expression" dxfId="46" priority="1554">
      <formula>AND(ISNUMBER($CS4),$CS4&lt;&gt;0,$CS4&gt;0.03,$CS4&lt;=0.1)</formula>
    </cfRule>
    <cfRule type="expression" dxfId="45" priority="1555">
      <formula>AND(ISNUMBER($CS4),$CS4&lt;&gt;0,$CS4&lt;-0.1)</formula>
    </cfRule>
    <cfRule type="expression" dxfId="44" priority="1556">
      <formula>AND(ISNUMBER($CS4),$CS4&lt;&gt;0,$CS4&lt;-0.03,$CS4&gt;=-0.1)</formula>
    </cfRule>
  </conditionalFormatting>
  <conditionalFormatting sqref="CS49:CS210">
    <cfRule type="expression" dxfId="43" priority="1565">
      <formula>AND(ISNUMBER($CS49),$CS49&lt;&gt;0,$CS49&lt;-0.1)</formula>
    </cfRule>
    <cfRule type="expression" dxfId="42" priority="1566">
      <formula>AND(ISNUMBER($CS49),$CS49&lt;&gt;0,$CS49&lt;-0.03,$CS49&gt;=-0.1)</formula>
    </cfRule>
    <cfRule type="expression" dxfId="41" priority="1567">
      <formula>AND(ISNUMBER($CS49),$CS49&lt;&gt;0,$CS49&gt;0.1)</formula>
    </cfRule>
    <cfRule type="expression" dxfId="40" priority="1568">
      <formula>AND(ISNUMBER($CS49),$CS49&lt;&gt;0,$CS49&gt;0.03,$CS49&lt;=0.1)</formula>
    </cfRule>
  </conditionalFormatting>
  <conditionalFormatting sqref="CS211:CS232">
    <cfRule type="expression" dxfId="39" priority="1569">
      <formula>AND(ISNUMBER($CS211),$CS211&lt;&gt;0,$CS211&gt;0.1)</formula>
    </cfRule>
    <cfRule type="expression" dxfId="38" priority="1570">
      <formula>AND(ISNUMBER($CS211),$CS211&lt;&gt;0,$CS211&gt;0.03,$CS211&lt;=0.1)</formula>
    </cfRule>
    <cfRule type="expression" dxfId="37" priority="1571">
      <formula>AND(ISNUMBER($CS211),$CS211&lt;&gt;0,$CS211&lt;-0.1)</formula>
    </cfRule>
    <cfRule type="expression" dxfId="36" priority="1572">
      <formula>AND(ISNUMBER($CS211),$CS211&lt;&gt;0,$CS211&lt;-0.03,$CS211&gt;=-0.1)</formula>
    </cfRule>
  </conditionalFormatting>
  <conditionalFormatting sqref="CT4:CT48">
    <cfRule type="expression" dxfId="35" priority="1581">
      <formula>AND(ISNUMBER($CT4),$CT4&lt;&gt;0,$CT4&gt;0.1)</formula>
    </cfRule>
    <cfRule type="expression" dxfId="34" priority="1582">
      <formula>AND(ISNUMBER($CT4),$CT4&lt;&gt;0,$CT4&gt;0.03,$CT4&lt;=0.1)</formula>
    </cfRule>
    <cfRule type="expression" dxfId="33" priority="1583">
      <formula>AND(ISNUMBER($CT4),$CT4&lt;&gt;0,$CT4&lt;-0.1)</formula>
    </cfRule>
    <cfRule type="expression" dxfId="32" priority="1584">
      <formula>AND(ISNUMBER($CT4),$CT4&lt;&gt;0,$CT4&lt;-0.03,$CT4&gt;=-0.1)</formula>
    </cfRule>
  </conditionalFormatting>
  <conditionalFormatting sqref="CT49:CT210">
    <cfRule type="expression" dxfId="31" priority="1593">
      <formula>AND(ISNUMBER($CT49),$CT49&lt;&gt;0,$CT49&lt;-0.1)</formula>
    </cfRule>
    <cfRule type="expression" dxfId="30" priority="1594">
      <formula>AND(ISNUMBER($CT49),$CT49&lt;&gt;0,$CT49&lt;-0.03,$CT49&gt;=-0.1)</formula>
    </cfRule>
    <cfRule type="expression" dxfId="29" priority="1595">
      <formula>AND(ISNUMBER($CT49),$CT49&lt;&gt;0,$CT49&gt;0.1)</formula>
    </cfRule>
    <cfRule type="expression" dxfId="28" priority="1596">
      <formula>AND(ISNUMBER($CT49),$CT49&lt;&gt;0,$CT49&gt;0.03,$CT49&lt;=0.1)</formula>
    </cfRule>
  </conditionalFormatting>
  <conditionalFormatting sqref="CT211:CT232">
    <cfRule type="expression" dxfId="27" priority="1597">
      <formula>AND(ISNUMBER($CT211),$CT211&lt;&gt;0,$CT211&gt;0.1)</formula>
    </cfRule>
    <cfRule type="expression" dxfId="26" priority="1598">
      <formula>AND(ISNUMBER($CT211),$CT211&lt;&gt;0,$CT211&gt;0.03,$CT211&lt;=0.1)</formula>
    </cfRule>
    <cfRule type="expression" dxfId="25" priority="1599">
      <formula>AND(ISNUMBER($CT211),$CT211&lt;&gt;0,$CT211&lt;-0.1)</formula>
    </cfRule>
    <cfRule type="expression" dxfId="24" priority="1600">
      <formula>AND(ISNUMBER($CT211),$CT211&lt;&gt;0,$CT211&lt;-0.03,$CT211&gt;=-0.1)</formula>
    </cfRule>
  </conditionalFormatting>
  <conditionalFormatting sqref="DA4:DA48">
    <cfRule type="expression" dxfId="23" priority="1609">
      <formula>AND(ISNUMBER($DA4),$DA4&lt;&gt;0,$DA4&gt;0.1)</formula>
    </cfRule>
    <cfRule type="expression" dxfId="22" priority="1610">
      <formula>AND(ISNUMBER($DA4),$DA4&lt;&gt;0,$DA4&gt;0.03,$DA4&lt;=0.1)</formula>
    </cfRule>
    <cfRule type="expression" dxfId="21" priority="1611">
      <formula>AND(ISNUMBER($DA4),$DA4&lt;&gt;0,$DA4&lt;-0.1)</formula>
    </cfRule>
    <cfRule type="expression" dxfId="20" priority="1612">
      <formula>AND(ISNUMBER($DA4),$DA4&lt;&gt;0,$DA4&lt;-0.03,$DA4&gt;=-0.1)</formula>
    </cfRule>
  </conditionalFormatting>
  <conditionalFormatting sqref="DA49:DA210">
    <cfRule type="expression" dxfId="19" priority="1621">
      <formula>AND(ISNUMBER($DA49),$DA49&lt;&gt;0,$DA49&lt;-0.1)</formula>
    </cfRule>
    <cfRule type="expression" dxfId="18" priority="1622">
      <formula>AND(ISNUMBER($DA49),$DA49&lt;&gt;0,$DA49&lt;-0.03,$DA49&gt;=-0.1)</formula>
    </cfRule>
    <cfRule type="expression" dxfId="17" priority="1623">
      <formula>AND(ISNUMBER($DA49),$DA49&lt;&gt;0,$DA49&gt;0.1)</formula>
    </cfRule>
    <cfRule type="expression" dxfId="16" priority="1624">
      <formula>AND(ISNUMBER($DA49),$DA49&lt;&gt;0,$DA49&gt;0.03,$DA49&lt;=0.1)</formula>
    </cfRule>
  </conditionalFormatting>
  <conditionalFormatting sqref="DA211:DA232">
    <cfRule type="expression" dxfId="15" priority="1625">
      <formula>AND(ISNUMBER($DA211),$DA211&lt;&gt;0,$DA211&gt;0.1)</formula>
    </cfRule>
    <cfRule type="expression" dxfId="14" priority="1626">
      <formula>AND(ISNUMBER($DA211),$DA211&lt;&gt;0,$DA211&gt;0.03,$DA211&lt;=0.1)</formula>
    </cfRule>
    <cfRule type="expression" dxfId="13" priority="1627">
      <formula>AND(ISNUMBER($DA211),$DA211&lt;&gt;0,$DA211&lt;-0.1)</formula>
    </cfRule>
    <cfRule type="expression" dxfId="12" priority="1628">
      <formula>AND(ISNUMBER($DA211),$DA211&lt;&gt;0,$DA211&lt;-0.03,$DA211&gt;=-0.1)</formula>
    </cfRule>
  </conditionalFormatting>
  <conditionalFormatting sqref="DB4:DB48">
    <cfRule type="expression" dxfId="11" priority="1637">
      <formula>AND(ISNUMBER($DB4),$DB4&lt;&gt;0,$DB4&gt;0.1)</formula>
    </cfRule>
    <cfRule type="expression" dxfId="10" priority="1638">
      <formula>AND(ISNUMBER($DB4),$DB4&lt;&gt;0,$DB4&gt;0.03,$DB4&lt;=0.1)</formula>
    </cfRule>
    <cfRule type="expression" dxfId="9" priority="1639">
      <formula>AND(ISNUMBER($DB4),$DB4&lt;&gt;0,$DB4&lt;-0.1)</formula>
    </cfRule>
    <cfRule type="expression" dxfId="8" priority="1640">
      <formula>AND(ISNUMBER($DB4),$DB4&lt;&gt;0,$DB4&lt;-0.03,$DB4&gt;=-0.1)</formula>
    </cfRule>
  </conditionalFormatting>
  <conditionalFormatting sqref="DB49:DB210">
    <cfRule type="expression" dxfId="7" priority="1649">
      <formula>AND(ISNUMBER($DB49),$DB49&lt;&gt;0,$DB49&lt;-0.1)</formula>
    </cfRule>
    <cfRule type="expression" dxfId="6" priority="1650">
      <formula>AND(ISNUMBER($DB49),$DB49&lt;&gt;0,$DB49&lt;-0.03,$DB49&gt;=-0.1)</formula>
    </cfRule>
    <cfRule type="expression" dxfId="5" priority="1651">
      <formula>AND(ISNUMBER($DB49),$DB49&lt;&gt;0,$DB49&gt;0.1)</formula>
    </cfRule>
    <cfRule type="expression" dxfId="4" priority="1652">
      <formula>AND(ISNUMBER($DB49),$DB49&lt;&gt;0,$DB49&gt;0.03,$DB49&lt;=0.1)</formula>
    </cfRule>
  </conditionalFormatting>
  <conditionalFormatting sqref="DB211:DB232">
    <cfRule type="expression" dxfId="3" priority="1653">
      <formula>AND(ISNUMBER($DB211),$DB211&lt;&gt;0,$DB211&gt;0.1)</formula>
    </cfRule>
    <cfRule type="expression" dxfId="2" priority="1654">
      <formula>AND(ISNUMBER($DB211),$DB211&lt;&gt;0,$DB211&gt;0.03,$DB211&lt;=0.1)</formula>
    </cfRule>
    <cfRule type="expression" dxfId="1" priority="1655">
      <formula>AND(ISNUMBER($DB211),$DB211&lt;&gt;0,$DB211&lt;-0.1)</formula>
    </cfRule>
    <cfRule type="expression" dxfId="0" priority="1656">
      <formula>AND(ISNUMBER($DB211),$DB211&lt;&gt;0,$DB211&lt;-0.03,$DB211&gt;=-0.1)</formula>
    </cfRule>
  </conditionalFormatting>
  <pageMargins left="0.7" right="0.7" top="0.75" bottom="0.75" header="0.3" footer="0.3"/>
  <pageSetup paperSize="9" orientation="portrait" horizontalDpi="180" verticalDpi="18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N55"/>
  <sheetViews>
    <sheetView topLeftCell="A20" workbookViewId="0">
      <selection activeCell="N22" sqref="N22:N34"/>
    </sheetView>
  </sheetViews>
  <sheetFormatPr defaultRowHeight="15"/>
  <cols>
    <col min="3" max="3" width="19" style="82" customWidth="1"/>
    <col min="5" max="5" width="22" style="82" customWidth="1"/>
  </cols>
  <sheetData>
    <row r="2" spans="3:14">
      <c r="E2" s="213">
        <v>7193142.5800000001</v>
      </c>
    </row>
    <row r="3" spans="3:14">
      <c r="C3" s="211">
        <v>104.78</v>
      </c>
      <c r="E3" s="215">
        <v>104.78</v>
      </c>
      <c r="G3" s="173">
        <f t="shared" ref="G3:G34" si="0">C3-E3</f>
        <v>0</v>
      </c>
      <c r="J3" s="215">
        <v>244</v>
      </c>
      <c r="L3" s="211">
        <v>244</v>
      </c>
      <c r="N3" s="173">
        <f t="shared" ref="N3:N34" si="1">J3-L3</f>
        <v>0</v>
      </c>
    </row>
    <row r="4" spans="3:14">
      <c r="C4" s="211">
        <v>355.02</v>
      </c>
      <c r="E4" s="215">
        <v>355.02</v>
      </c>
      <c r="G4" s="173">
        <f t="shared" si="0"/>
        <v>0</v>
      </c>
      <c r="J4" s="215">
        <v>270</v>
      </c>
      <c r="L4" s="211">
        <v>270</v>
      </c>
      <c r="N4" s="173">
        <f t="shared" si="1"/>
        <v>0</v>
      </c>
    </row>
    <row r="5" spans="3:14">
      <c r="C5" s="211">
        <v>500</v>
      </c>
      <c r="E5" s="215">
        <v>500</v>
      </c>
      <c r="G5" s="173">
        <f t="shared" si="0"/>
        <v>0</v>
      </c>
      <c r="J5" s="215">
        <v>797.78</v>
      </c>
      <c r="L5" s="211">
        <v>797.78</v>
      </c>
      <c r="N5" s="173">
        <f t="shared" si="1"/>
        <v>0</v>
      </c>
    </row>
    <row r="6" spans="3:14">
      <c r="C6" s="211">
        <v>835</v>
      </c>
      <c r="E6" s="215">
        <v>835</v>
      </c>
      <c r="G6" s="173">
        <f t="shared" si="0"/>
        <v>0</v>
      </c>
      <c r="J6" s="214">
        <v>1000</v>
      </c>
      <c r="L6" s="210">
        <v>1000</v>
      </c>
      <c r="N6" s="173">
        <f t="shared" si="1"/>
        <v>0</v>
      </c>
    </row>
    <row r="7" spans="3:14">
      <c r="C7" s="210">
        <v>1057</v>
      </c>
      <c r="E7" s="214">
        <v>1057</v>
      </c>
      <c r="G7" s="173">
        <f t="shared" si="0"/>
        <v>0</v>
      </c>
      <c r="J7" s="214">
        <v>1218</v>
      </c>
      <c r="L7" s="210">
        <v>1218</v>
      </c>
      <c r="N7" s="173">
        <f t="shared" si="1"/>
        <v>0</v>
      </c>
    </row>
    <row r="8" spans="3:14">
      <c r="C8" s="210">
        <v>1240</v>
      </c>
      <c r="E8" s="214">
        <v>1240</v>
      </c>
      <c r="G8" s="173">
        <f t="shared" si="0"/>
        <v>0</v>
      </c>
      <c r="J8" s="214">
        <v>1905</v>
      </c>
      <c r="L8" s="210">
        <v>1905</v>
      </c>
      <c r="N8" s="173">
        <f t="shared" si="1"/>
        <v>0</v>
      </c>
    </row>
    <row r="9" spans="3:14">
      <c r="C9" s="210">
        <v>2362.0100000000002</v>
      </c>
      <c r="E9" s="214">
        <v>2362.0100000000002</v>
      </c>
      <c r="G9" s="173">
        <f t="shared" si="0"/>
        <v>0</v>
      </c>
      <c r="J9" s="214">
        <v>2000</v>
      </c>
      <c r="L9" s="210">
        <v>2000</v>
      </c>
      <c r="N9" s="173">
        <f t="shared" si="1"/>
        <v>0</v>
      </c>
    </row>
    <row r="10" spans="3:14">
      <c r="C10" s="210">
        <v>2977.82</v>
      </c>
      <c r="E10" s="214">
        <v>2977.82</v>
      </c>
      <c r="G10" s="173">
        <f t="shared" si="0"/>
        <v>0</v>
      </c>
      <c r="J10" s="214">
        <v>2450.4</v>
      </c>
      <c r="L10" s="210">
        <v>2450.4</v>
      </c>
      <c r="N10" s="173">
        <f t="shared" si="1"/>
        <v>0</v>
      </c>
    </row>
    <row r="11" spans="3:14">
      <c r="C11" s="210">
        <v>3000</v>
      </c>
      <c r="E11" s="214">
        <v>3000</v>
      </c>
      <c r="G11" s="173">
        <f t="shared" si="0"/>
        <v>0</v>
      </c>
      <c r="J11" s="214">
        <v>3096</v>
      </c>
      <c r="L11" s="210">
        <v>3096</v>
      </c>
      <c r="N11" s="173">
        <f t="shared" si="1"/>
        <v>0</v>
      </c>
    </row>
    <row r="12" spans="3:14">
      <c r="C12" s="210">
        <v>3192</v>
      </c>
      <c r="E12" s="214">
        <v>3192</v>
      </c>
      <c r="G12" s="173">
        <f t="shared" si="0"/>
        <v>0</v>
      </c>
      <c r="J12" s="214">
        <v>3180</v>
      </c>
      <c r="L12" s="210">
        <v>3180</v>
      </c>
      <c r="N12" s="173">
        <f t="shared" si="1"/>
        <v>0</v>
      </c>
    </row>
    <row r="13" spans="3:14">
      <c r="C13" s="212">
        <v>4064.62</v>
      </c>
      <c r="E13" s="214">
        <v>4064.62</v>
      </c>
      <c r="G13" s="173">
        <f t="shared" si="0"/>
        <v>0</v>
      </c>
      <c r="J13" s="214">
        <v>4000</v>
      </c>
      <c r="L13" s="210">
        <v>4000</v>
      </c>
      <c r="N13" s="173">
        <f t="shared" si="1"/>
        <v>0</v>
      </c>
    </row>
    <row r="14" spans="3:14">
      <c r="C14" s="210">
        <v>4392.8599999999997</v>
      </c>
      <c r="E14" s="214">
        <v>4392.8599999999997</v>
      </c>
      <c r="G14" s="173">
        <f t="shared" si="0"/>
        <v>0</v>
      </c>
      <c r="J14" s="214">
        <v>5129</v>
      </c>
      <c r="L14" s="210">
        <v>5129</v>
      </c>
      <c r="N14" s="173">
        <f t="shared" si="1"/>
        <v>0</v>
      </c>
    </row>
    <row r="15" spans="3:14">
      <c r="C15" s="212">
        <v>5250</v>
      </c>
      <c r="E15" s="214">
        <v>5250</v>
      </c>
      <c r="G15" s="173">
        <f t="shared" si="0"/>
        <v>0</v>
      </c>
      <c r="J15" s="214">
        <v>6203</v>
      </c>
      <c r="L15" s="210">
        <v>6203</v>
      </c>
      <c r="N15" s="173">
        <f t="shared" si="1"/>
        <v>0</v>
      </c>
    </row>
    <row r="16" spans="3:14">
      <c r="C16" s="216">
        <v>6493.29</v>
      </c>
      <c r="E16" s="214">
        <v>6493.29</v>
      </c>
      <c r="G16" s="173">
        <f t="shared" si="0"/>
        <v>0</v>
      </c>
      <c r="J16" s="214">
        <v>8060</v>
      </c>
      <c r="L16" s="210">
        <v>8060</v>
      </c>
      <c r="N16" s="173">
        <f t="shared" si="1"/>
        <v>0</v>
      </c>
    </row>
    <row r="17" spans="3:14">
      <c r="C17" s="210">
        <v>6629.9</v>
      </c>
      <c r="E17" s="214">
        <v>6629.9</v>
      </c>
      <c r="G17" s="173">
        <f t="shared" si="0"/>
        <v>0</v>
      </c>
      <c r="J17" s="214">
        <v>11751.56</v>
      </c>
      <c r="L17" s="210">
        <v>11751.56</v>
      </c>
      <c r="N17" s="173">
        <f t="shared" si="1"/>
        <v>0</v>
      </c>
    </row>
    <row r="18" spans="3:14">
      <c r="C18" s="210">
        <v>6886.9</v>
      </c>
      <c r="E18" s="214">
        <v>6886.9</v>
      </c>
      <c r="G18" s="173">
        <f t="shared" si="0"/>
        <v>0</v>
      </c>
      <c r="J18" s="214">
        <v>12019.23</v>
      </c>
      <c r="L18" s="210">
        <v>12019.23</v>
      </c>
      <c r="N18" s="173">
        <f t="shared" si="1"/>
        <v>0</v>
      </c>
    </row>
    <row r="19" spans="3:14">
      <c r="C19" s="210">
        <v>6924.74</v>
      </c>
      <c r="E19" s="214">
        <v>6924.74</v>
      </c>
      <c r="G19" s="173">
        <f t="shared" si="0"/>
        <v>0</v>
      </c>
      <c r="J19" s="214">
        <v>13207.2</v>
      </c>
      <c r="L19" s="210">
        <v>13207.2</v>
      </c>
      <c r="N19" s="173">
        <f t="shared" si="1"/>
        <v>0</v>
      </c>
    </row>
    <row r="20" spans="3:14">
      <c r="C20" s="210">
        <v>7372.35</v>
      </c>
      <c r="E20" s="214">
        <v>7372.35</v>
      </c>
      <c r="G20" s="173">
        <f t="shared" si="0"/>
        <v>0</v>
      </c>
      <c r="J20" s="214">
        <v>15491.07</v>
      </c>
      <c r="L20" s="210">
        <v>15491.07</v>
      </c>
      <c r="N20" s="173">
        <f t="shared" si="1"/>
        <v>0</v>
      </c>
    </row>
    <row r="21" spans="3:14">
      <c r="C21" s="212">
        <v>9324</v>
      </c>
      <c r="E21" s="214">
        <v>9324</v>
      </c>
      <c r="G21" s="173">
        <f t="shared" si="0"/>
        <v>0</v>
      </c>
      <c r="J21" s="214">
        <v>25110</v>
      </c>
      <c r="L21" s="210">
        <v>25110</v>
      </c>
      <c r="N21" s="173">
        <f t="shared" si="1"/>
        <v>0</v>
      </c>
    </row>
    <row r="22" spans="3:14">
      <c r="C22" s="210">
        <v>10500</v>
      </c>
      <c r="E22" s="214">
        <v>10500</v>
      </c>
      <c r="G22" s="173">
        <f t="shared" si="0"/>
        <v>0</v>
      </c>
      <c r="J22" s="214">
        <v>29717.34</v>
      </c>
      <c r="L22" s="210">
        <v>29717.34</v>
      </c>
      <c r="N22" s="173">
        <f t="shared" si="1"/>
        <v>0</v>
      </c>
    </row>
    <row r="23" spans="3:14">
      <c r="C23" s="210">
        <v>12000</v>
      </c>
      <c r="E23" s="214">
        <v>12000</v>
      </c>
      <c r="G23" s="173">
        <f t="shared" si="0"/>
        <v>0</v>
      </c>
      <c r="J23" s="214">
        <v>37455.620000000003</v>
      </c>
      <c r="L23" s="210">
        <v>37455.620000000003</v>
      </c>
      <c r="N23" s="173">
        <f t="shared" si="1"/>
        <v>0</v>
      </c>
    </row>
    <row r="24" spans="3:14">
      <c r="C24" s="210">
        <v>19050</v>
      </c>
      <c r="E24" s="214">
        <v>19050</v>
      </c>
      <c r="G24" s="173">
        <f t="shared" si="0"/>
        <v>0</v>
      </c>
      <c r="J24" s="214">
        <v>51232.55</v>
      </c>
      <c r="L24" s="210"/>
      <c r="N24" s="173">
        <f t="shared" si="1"/>
        <v>51232.55</v>
      </c>
    </row>
    <row r="25" spans="3:14">
      <c r="C25" s="210">
        <v>24665.91</v>
      </c>
      <c r="E25" s="214">
        <v>24665.91</v>
      </c>
      <c r="G25" s="173">
        <f t="shared" si="0"/>
        <v>0</v>
      </c>
      <c r="J25" s="214">
        <v>67143</v>
      </c>
      <c r="L25" s="210">
        <v>67143</v>
      </c>
      <c r="N25" s="173">
        <f t="shared" si="1"/>
        <v>0</v>
      </c>
    </row>
    <row r="26" spans="3:14">
      <c r="C26" s="210">
        <v>25151.11</v>
      </c>
      <c r="E26" s="214">
        <v>25151.11</v>
      </c>
      <c r="G26" s="173">
        <f t="shared" si="0"/>
        <v>0</v>
      </c>
      <c r="J26" s="214">
        <v>67195.13</v>
      </c>
      <c r="L26" s="210">
        <v>67195.13</v>
      </c>
      <c r="N26" s="173">
        <f t="shared" si="1"/>
        <v>0</v>
      </c>
    </row>
    <row r="27" spans="3:14">
      <c r="C27" s="210">
        <v>26605.47</v>
      </c>
      <c r="E27" s="214">
        <v>26605.47</v>
      </c>
      <c r="G27" s="173">
        <f t="shared" si="0"/>
        <v>0</v>
      </c>
      <c r="J27" s="214">
        <v>74874.63</v>
      </c>
      <c r="L27" s="210">
        <v>74874.63</v>
      </c>
      <c r="N27" s="173">
        <f t="shared" si="1"/>
        <v>0</v>
      </c>
    </row>
    <row r="28" spans="3:14">
      <c r="C28" s="217">
        <v>26880.1</v>
      </c>
      <c r="E28" s="214">
        <v>26880.1</v>
      </c>
      <c r="G28" s="173">
        <f t="shared" si="0"/>
        <v>0</v>
      </c>
      <c r="J28" s="214">
        <v>167700</v>
      </c>
      <c r="L28" s="210">
        <v>167700</v>
      </c>
      <c r="N28" s="173">
        <f t="shared" si="1"/>
        <v>0</v>
      </c>
    </row>
    <row r="29" spans="3:14">
      <c r="C29" s="210">
        <v>27872.7</v>
      </c>
      <c r="E29" s="214">
        <v>27872.7</v>
      </c>
      <c r="G29" s="173">
        <f t="shared" si="0"/>
        <v>0</v>
      </c>
      <c r="J29" s="214">
        <v>170476.23</v>
      </c>
      <c r="L29" s="210">
        <v>170476.23</v>
      </c>
      <c r="N29" s="173">
        <f t="shared" si="1"/>
        <v>0</v>
      </c>
    </row>
    <row r="30" spans="3:14">
      <c r="C30" s="210">
        <v>27960</v>
      </c>
      <c r="E30" s="214">
        <v>27960</v>
      </c>
      <c r="G30" s="173">
        <f t="shared" si="0"/>
        <v>0</v>
      </c>
      <c r="J30" s="214">
        <v>195161.29</v>
      </c>
      <c r="L30" s="210">
        <v>195161.29</v>
      </c>
      <c r="N30" s="173">
        <f t="shared" si="1"/>
        <v>0</v>
      </c>
    </row>
    <row r="31" spans="3:14">
      <c r="C31" s="210">
        <v>28940</v>
      </c>
      <c r="E31" s="214">
        <v>28940</v>
      </c>
      <c r="G31" s="173">
        <f t="shared" si="0"/>
        <v>0</v>
      </c>
      <c r="J31" s="214">
        <v>478220</v>
      </c>
      <c r="L31" s="210">
        <v>478220</v>
      </c>
      <c r="N31" s="173">
        <f t="shared" si="1"/>
        <v>0</v>
      </c>
    </row>
    <row r="32" spans="3:14">
      <c r="C32" s="210">
        <v>32725</v>
      </c>
      <c r="E32" s="214">
        <v>32725</v>
      </c>
      <c r="G32" s="173">
        <f t="shared" si="0"/>
        <v>0</v>
      </c>
      <c r="J32" s="214">
        <v>576436.43999999994</v>
      </c>
      <c r="L32" s="210">
        <v>576436.43999999994</v>
      </c>
      <c r="N32" s="173">
        <f t="shared" si="1"/>
        <v>0</v>
      </c>
    </row>
    <row r="33" spans="3:14">
      <c r="C33" s="210">
        <v>34401.4</v>
      </c>
      <c r="E33" s="214">
        <v>34401.4</v>
      </c>
      <c r="G33" s="173">
        <f t="shared" si="0"/>
        <v>0</v>
      </c>
      <c r="J33" s="214">
        <v>598690</v>
      </c>
      <c r="L33" s="210">
        <v>598690</v>
      </c>
      <c r="N33" s="173">
        <f t="shared" si="1"/>
        <v>0</v>
      </c>
    </row>
    <row r="34" spans="3:14">
      <c r="C34" s="212">
        <v>39292.9</v>
      </c>
      <c r="E34" s="214">
        <v>39292.9</v>
      </c>
      <c r="G34" s="173">
        <f t="shared" si="0"/>
        <v>0</v>
      </c>
      <c r="N34" s="173">
        <f t="shared" si="1"/>
        <v>0</v>
      </c>
    </row>
    <row r="35" spans="3:14">
      <c r="C35" s="210">
        <v>44325.64</v>
      </c>
      <c r="E35" s="214">
        <v>44325.64</v>
      </c>
      <c r="G35" s="173">
        <f t="shared" ref="G35:G55" si="2">C35-E35</f>
        <v>0</v>
      </c>
    </row>
    <row r="36" spans="3:14">
      <c r="C36" s="210">
        <v>45044.07</v>
      </c>
      <c r="E36" s="214">
        <v>45044.07</v>
      </c>
      <c r="G36" s="173">
        <f t="shared" si="2"/>
        <v>0</v>
      </c>
    </row>
    <row r="37" spans="3:14">
      <c r="C37" s="210">
        <v>49458.71</v>
      </c>
      <c r="E37" s="214">
        <v>49458.71</v>
      </c>
      <c r="G37" s="173">
        <f t="shared" si="2"/>
        <v>0</v>
      </c>
    </row>
    <row r="38" spans="3:14">
      <c r="C38" s="210">
        <v>49748</v>
      </c>
      <c r="E38" s="214">
        <v>49748</v>
      </c>
      <c r="G38" s="173">
        <f t="shared" si="2"/>
        <v>0</v>
      </c>
    </row>
    <row r="39" spans="3:14">
      <c r="C39" s="210">
        <v>53340</v>
      </c>
      <c r="E39" s="214">
        <v>53340</v>
      </c>
      <c r="G39" s="173">
        <f t="shared" si="2"/>
        <v>0</v>
      </c>
    </row>
    <row r="40" spans="3:14">
      <c r="C40" s="210">
        <v>57489</v>
      </c>
      <c r="E40" s="214">
        <v>57489</v>
      </c>
      <c r="G40" s="173">
        <f t="shared" si="2"/>
        <v>0</v>
      </c>
    </row>
    <row r="41" spans="3:14">
      <c r="C41" s="210">
        <v>65643</v>
      </c>
      <c r="E41" s="214">
        <v>65643</v>
      </c>
      <c r="G41" s="173">
        <f t="shared" si="2"/>
        <v>0</v>
      </c>
    </row>
    <row r="42" spans="3:14">
      <c r="C42" s="210">
        <v>91256.19</v>
      </c>
      <c r="E42" s="214">
        <v>91256.19</v>
      </c>
      <c r="G42" s="173">
        <f t="shared" si="2"/>
        <v>0</v>
      </c>
    </row>
    <row r="43" spans="3:14">
      <c r="C43" s="210">
        <v>100000</v>
      </c>
      <c r="E43" s="214">
        <v>100000</v>
      </c>
      <c r="G43" s="173">
        <f t="shared" si="2"/>
        <v>0</v>
      </c>
    </row>
    <row r="44" spans="3:14">
      <c r="C44" s="210">
        <v>108334.85</v>
      </c>
      <c r="E44" s="214">
        <v>108334.85</v>
      </c>
      <c r="G44" s="173">
        <f t="shared" si="2"/>
        <v>0</v>
      </c>
    </row>
    <row r="45" spans="3:14">
      <c r="C45" s="212">
        <v>110870.94</v>
      </c>
      <c r="E45" s="214">
        <v>110870.94</v>
      </c>
      <c r="G45" s="173">
        <f t="shared" si="2"/>
        <v>0</v>
      </c>
    </row>
    <row r="46" spans="3:14">
      <c r="C46" s="212"/>
      <c r="E46" s="214">
        <v>168938.29</v>
      </c>
      <c r="G46" s="173">
        <f t="shared" si="2"/>
        <v>-168938.29</v>
      </c>
    </row>
    <row r="47" spans="3:14">
      <c r="C47" s="210">
        <v>219170.35</v>
      </c>
      <c r="E47" s="214">
        <v>219170.35</v>
      </c>
      <c r="G47" s="173">
        <f t="shared" si="2"/>
        <v>0</v>
      </c>
    </row>
    <row r="48" spans="3:14">
      <c r="C48" s="210">
        <v>303202.05</v>
      </c>
      <c r="E48" s="214">
        <v>303202.05</v>
      </c>
      <c r="G48" s="173">
        <f t="shared" si="2"/>
        <v>0</v>
      </c>
    </row>
    <row r="49" spans="3:7">
      <c r="C49" s="216">
        <v>389600</v>
      </c>
      <c r="E49" s="214">
        <v>389600</v>
      </c>
      <c r="G49" s="173">
        <f t="shared" si="2"/>
        <v>0</v>
      </c>
    </row>
    <row r="50" spans="3:7">
      <c r="C50" s="216">
        <v>447330</v>
      </c>
      <c r="E50" s="214">
        <v>447330</v>
      </c>
      <c r="G50" s="173">
        <f t="shared" si="2"/>
        <v>0</v>
      </c>
    </row>
    <row r="51" spans="3:7">
      <c r="C51" s="217">
        <v>550000</v>
      </c>
      <c r="E51" s="214">
        <v>550000</v>
      </c>
      <c r="G51" s="173">
        <f t="shared" si="2"/>
        <v>0</v>
      </c>
    </row>
    <row r="52" spans="3:7">
      <c r="C52" s="216">
        <v>1112200.05</v>
      </c>
      <c r="E52" s="214">
        <v>1112200.05</v>
      </c>
      <c r="G52" s="173">
        <f t="shared" si="2"/>
        <v>0</v>
      </c>
    </row>
    <row r="53" spans="3:7">
      <c r="C53" s="212">
        <v>1349074.56</v>
      </c>
      <c r="E53" s="214">
        <v>1349074.56</v>
      </c>
      <c r="G53" s="173">
        <f t="shared" si="2"/>
        <v>0</v>
      </c>
    </row>
    <row r="54" spans="3:7">
      <c r="C54" s="218">
        <v>1469110</v>
      </c>
      <c r="E54" s="214">
        <v>1469110</v>
      </c>
      <c r="G54" s="173">
        <f t="shared" si="2"/>
        <v>0</v>
      </c>
    </row>
    <row r="55" spans="3:7" ht="18.75" customHeight="1">
      <c r="C55" s="393">
        <v>12000</v>
      </c>
      <c r="G55" s="173">
        <f t="shared" si="2"/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Отчет о фин.рез.</vt:lpstr>
      <vt:lpstr>Расходы</vt:lpstr>
      <vt:lpstr>расходы Доп.подразделение</vt:lpstr>
      <vt:lpstr>баланс</vt:lpstr>
      <vt:lpstr>Деление БарКухня</vt:lpstr>
      <vt:lpstr>Аналитическая форма</vt:lpstr>
      <vt:lpstr>Лист2</vt:lpstr>
      <vt:lpstr>'Отчет о фин.рез.'!Область_печати</vt:lpstr>
      <vt:lpstr>Расходы!Область_печати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Коротченко</cp:lastModifiedBy>
  <cp:lastPrinted>2026-06-08T07:25:18Z</cp:lastPrinted>
  <dcterms:created xsi:type="dcterms:W3CDTF">2006-09-28T05:33:49Z</dcterms:created>
  <dcterms:modified xsi:type="dcterms:W3CDTF">2026-07-08T11:07:36Z</dcterms:modified>
</cp:coreProperties>
</file>